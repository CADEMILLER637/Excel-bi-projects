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ader\Downloads\"/>
    </mc:Choice>
  </mc:AlternateContent>
  <xr:revisionPtr revIDLastSave="0" documentId="13_ncr:1_{5E4B1145-DF86-4648-8CC2-ECBCFBD22186}" xr6:coauthVersionLast="47" xr6:coauthVersionMax="47" xr10:uidLastSave="{00000000-0000-0000-0000-000000000000}"/>
  <bookViews>
    <workbookView xWindow="-120" yWindow="-120" windowWidth="29040" windowHeight="15720" activeTab="7" xr2:uid="{15E4172B-F801-4063-BECC-6B2CC7DA007D}"/>
  </bookViews>
  <sheets>
    <sheet name="V3&amp;V4" sheetId="14" r:id="rId1"/>
    <sheet name="V2&amp;V4" sheetId="13" r:id="rId2"/>
    <sheet name="V2&amp;V3" sheetId="12" r:id="rId3"/>
    <sheet name="V1&amp;V4" sheetId="11" r:id="rId4"/>
    <sheet name="V1&amp;V3" sheetId="10" r:id="rId5"/>
    <sheet name="V1&amp;V2" sheetId="9" r:id="rId6"/>
    <sheet name="V4" sheetId="8" r:id="rId7"/>
    <sheet name="V3" sheetId="7" r:id="rId8"/>
    <sheet name="V2" sheetId="6" r:id="rId9"/>
    <sheet name="V1" sheetId="5" r:id="rId10"/>
    <sheet name="Reservation_Dataset_Cleaned" sheetId="1" r:id="rId11"/>
    <sheet name="Data Dictionary" sheetId="2" r:id="rId12"/>
    <sheet name="Source" sheetId="3" r:id="rId13"/>
  </sheets>
  <definedNames>
    <definedName name="_xlchart.v1.0" hidden="1">Reservation_Dataset_Cleaned!$H$1</definedName>
    <definedName name="_xlchart.v1.1" hidden="1">Reservation_Dataset_Cleaned!$H$2:$H$701</definedName>
    <definedName name="_xlchart.v1.2" hidden="1">Reservation_Dataset_Cleaned!$K$1</definedName>
    <definedName name="_xlchart.v1.3" hidden="1">Reservation_Dataset_Cleaned!$K$2:$K$701</definedName>
  </definedNames>
  <calcPr calcId="191028"/>
  <pivotCaches>
    <pivotCache cacheId="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4" l="1"/>
  <c r="M8" i="1"/>
  <c r="M9" i="1"/>
  <c r="M10" i="1" s="1"/>
  <c r="M3" i="1"/>
  <c r="M4" i="1"/>
  <c r="M5" i="1" s="1"/>
  <c r="M6" i="1" s="1"/>
  <c r="M7" i="1" s="1"/>
  <c r="M2" i="1"/>
  <c r="A13" i="2" l="1"/>
  <c r="A12" i="2"/>
  <c r="A11" i="2"/>
  <c r="A10" i="2"/>
  <c r="A9" i="2"/>
  <c r="A8" i="2"/>
  <c r="A7" i="2"/>
  <c r="A6" i="2"/>
  <c r="A5" i="2"/>
  <c r="A4" i="2"/>
</calcChain>
</file>

<file path=xl/sharedStrings.xml><?xml version="1.0" encoding="utf-8"?>
<sst xmlns="http://schemas.openxmlformats.org/spreadsheetml/2006/main" count="4167" uniqueCount="1009">
  <si>
    <t>Booking_ID</t>
  </si>
  <si>
    <t>no_of_adults</t>
  </si>
  <si>
    <t>no_of_children</t>
  </si>
  <si>
    <t>no_of_weekend_nights</t>
  </si>
  <si>
    <t>no_of_week_nights</t>
  </si>
  <si>
    <t>type_of_meal_plan</t>
  </si>
  <si>
    <t>room_type_reserved</t>
  </si>
  <si>
    <t>lead_time</t>
  </si>
  <si>
    <t>arrival_date</t>
  </si>
  <si>
    <t>market_segment_type</t>
  </si>
  <si>
    <t>avg_price_per_room</t>
  </si>
  <si>
    <t>booking_status</t>
  </si>
  <si>
    <t>INN00001</t>
  </si>
  <si>
    <t>Meal Plan 1</t>
  </si>
  <si>
    <t>Room_Type 1</t>
  </si>
  <si>
    <t>Offline</t>
  </si>
  <si>
    <t>Not_Canceled</t>
  </si>
  <si>
    <t>INN00002</t>
  </si>
  <si>
    <t>Not Selected</t>
  </si>
  <si>
    <t>Online</t>
  </si>
  <si>
    <t>INN00003</t>
  </si>
  <si>
    <t>28-02-2018</t>
  </si>
  <si>
    <t>Canceled</t>
  </si>
  <si>
    <t>INN00004</t>
  </si>
  <si>
    <t>20-05-2018</t>
  </si>
  <si>
    <t>INN00005</t>
  </si>
  <si>
    <t>INN00006</t>
  </si>
  <si>
    <t>Meal Plan 2</t>
  </si>
  <si>
    <t>13-09-2018</t>
  </si>
  <si>
    <t>INN00007</t>
  </si>
  <si>
    <t>15-10-2017</t>
  </si>
  <si>
    <t>INN00008</t>
  </si>
  <si>
    <t>Room_Type 4</t>
  </si>
  <si>
    <t>26-12-2018</t>
  </si>
  <si>
    <t>INN00009</t>
  </si>
  <si>
    <t>INN00010</t>
  </si>
  <si>
    <t>18-10-2018</t>
  </si>
  <si>
    <t>INN00011</t>
  </si>
  <si>
    <t>INN00012</t>
  </si>
  <si>
    <t>30-04-2018</t>
  </si>
  <si>
    <t>INN00013</t>
  </si>
  <si>
    <t>26-11-2018</t>
  </si>
  <si>
    <t>INN00014</t>
  </si>
  <si>
    <t>20-11-2018</t>
  </si>
  <si>
    <t>INN00015</t>
  </si>
  <si>
    <t>20-10-2017</t>
  </si>
  <si>
    <t>INN00016</t>
  </si>
  <si>
    <t>15-06-2018</t>
  </si>
  <si>
    <t>INN00017</t>
  </si>
  <si>
    <t>INN00018</t>
  </si>
  <si>
    <t>INN00019</t>
  </si>
  <si>
    <t>30-10-2017</t>
  </si>
  <si>
    <t>INN00020</t>
  </si>
  <si>
    <t>INN00021</t>
  </si>
  <si>
    <t>INN00022</t>
  </si>
  <si>
    <t>25-11-2018</t>
  </si>
  <si>
    <t>Corporate</t>
  </si>
  <si>
    <t>INN00023</t>
  </si>
  <si>
    <t>20-03-2018</t>
  </si>
  <si>
    <t>INN00024</t>
  </si>
  <si>
    <t>13-10-2018</t>
  </si>
  <si>
    <t>INN00025</t>
  </si>
  <si>
    <t>22-05-2018</t>
  </si>
  <si>
    <t>INN00026</t>
  </si>
  <si>
    <t>28-04-2018</t>
  </si>
  <si>
    <t>INN00027</t>
  </si>
  <si>
    <t>21-09-2017</t>
  </si>
  <si>
    <t>INN00028</t>
  </si>
  <si>
    <t>19-05-2018</t>
  </si>
  <si>
    <t>Aviation</t>
  </si>
  <si>
    <t>INN00029</t>
  </si>
  <si>
    <t>INN00030</t>
  </si>
  <si>
    <t>17-09-2017</t>
  </si>
  <si>
    <t>INN00031</t>
  </si>
  <si>
    <t>19-09-2017</t>
  </si>
  <si>
    <t>INN00032</t>
  </si>
  <si>
    <t>13-11-2018</t>
  </si>
  <si>
    <t>INN00033</t>
  </si>
  <si>
    <t>Room_Type 2</t>
  </si>
  <si>
    <t>INN00034</t>
  </si>
  <si>
    <t>INN00035</t>
  </si>
  <si>
    <t>INN00036</t>
  </si>
  <si>
    <t>27-04-2018</t>
  </si>
  <si>
    <t>INN00037</t>
  </si>
  <si>
    <t>19-06-2018</t>
  </si>
  <si>
    <t>INN00038</t>
  </si>
  <si>
    <t>17-10-2017</t>
  </si>
  <si>
    <t>INN00039</t>
  </si>
  <si>
    <t>19-11-2018</t>
  </si>
  <si>
    <t>INN00040</t>
  </si>
  <si>
    <t>30-07-2018</t>
  </si>
  <si>
    <t>INN00041</t>
  </si>
  <si>
    <t>INN00042</t>
  </si>
  <si>
    <t>21-06-2018</t>
  </si>
  <si>
    <t>INN00043</t>
  </si>
  <si>
    <t>INN00044</t>
  </si>
  <si>
    <t>27-06-2018</t>
  </si>
  <si>
    <t>INN00045</t>
  </si>
  <si>
    <t>18-11-2017</t>
  </si>
  <si>
    <t>INN00046</t>
  </si>
  <si>
    <t>29-12-2017</t>
  </si>
  <si>
    <t>INN00047</t>
  </si>
  <si>
    <t>20-11-2017</t>
  </si>
  <si>
    <t>INN00048</t>
  </si>
  <si>
    <t>INN00049</t>
  </si>
  <si>
    <t>INN00050</t>
  </si>
  <si>
    <t>29-12-2018</t>
  </si>
  <si>
    <t>INN00051</t>
  </si>
  <si>
    <t>30-05-2018</t>
  </si>
  <si>
    <t>INN00052</t>
  </si>
  <si>
    <t>22-04-2018</t>
  </si>
  <si>
    <t>INN00053</t>
  </si>
  <si>
    <t>16-05-2018</t>
  </si>
  <si>
    <t>INN00054</t>
  </si>
  <si>
    <t>INN00055</t>
  </si>
  <si>
    <t>13-06-2018</t>
  </si>
  <si>
    <t>INN00056</t>
  </si>
  <si>
    <t>INN00057</t>
  </si>
  <si>
    <t>28-07-2018</t>
  </si>
  <si>
    <t>INN00058</t>
  </si>
  <si>
    <t>INN00059</t>
  </si>
  <si>
    <t>20-04-2018</t>
  </si>
  <si>
    <t>INN00060</t>
  </si>
  <si>
    <t>INN00061</t>
  </si>
  <si>
    <t>Room_Type 6</t>
  </si>
  <si>
    <t>INN00062</t>
  </si>
  <si>
    <t>INN00063</t>
  </si>
  <si>
    <t>24-06-2018</t>
  </si>
  <si>
    <t>INN00064</t>
  </si>
  <si>
    <t>Complementary</t>
  </si>
  <si>
    <t>INN00065</t>
  </si>
  <si>
    <t>18-12-2018</t>
  </si>
  <si>
    <t>INN00066</t>
  </si>
  <si>
    <t>INN00067</t>
  </si>
  <si>
    <t>INN00068</t>
  </si>
  <si>
    <t>15-04-2018</t>
  </si>
  <si>
    <t>INN00069</t>
  </si>
  <si>
    <t>INN00070</t>
  </si>
  <si>
    <t>25-04-2018</t>
  </si>
  <si>
    <t>INN00071</t>
  </si>
  <si>
    <t>25-08-2018</t>
  </si>
  <si>
    <t>INN00072</t>
  </si>
  <si>
    <t>14-11-2018</t>
  </si>
  <si>
    <t>INN00073</t>
  </si>
  <si>
    <t>29-08-2018</t>
  </si>
  <si>
    <t>INN00074</t>
  </si>
  <si>
    <t>INN00075</t>
  </si>
  <si>
    <t>25-10-2017</t>
  </si>
  <si>
    <t>INN00076</t>
  </si>
  <si>
    <t>INN00077</t>
  </si>
  <si>
    <t>31-12-2018</t>
  </si>
  <si>
    <t>INN00078</t>
  </si>
  <si>
    <t>INN00079</t>
  </si>
  <si>
    <t>28-06-2018</t>
  </si>
  <si>
    <t>INN00080</t>
  </si>
  <si>
    <t>29-03-2018</t>
  </si>
  <si>
    <t>INN00081</t>
  </si>
  <si>
    <t>INN00082</t>
  </si>
  <si>
    <t>INN00083</t>
  </si>
  <si>
    <t>25-12-2018</t>
  </si>
  <si>
    <t>INN00084</t>
  </si>
  <si>
    <t>14-03-2018</t>
  </si>
  <si>
    <t>INN00085</t>
  </si>
  <si>
    <t>INN00086</t>
  </si>
  <si>
    <t>17-10-2018</t>
  </si>
  <si>
    <t>INN00087</t>
  </si>
  <si>
    <t>INN00088</t>
  </si>
  <si>
    <t>INN00089</t>
  </si>
  <si>
    <t>INN00090</t>
  </si>
  <si>
    <t>Room_Type 5</t>
  </si>
  <si>
    <t>INN00091</t>
  </si>
  <si>
    <t>INN00092</t>
  </si>
  <si>
    <t>18-03-2018</t>
  </si>
  <si>
    <t>INN00093</t>
  </si>
  <si>
    <t>INN00094</t>
  </si>
  <si>
    <t>INN00095</t>
  </si>
  <si>
    <t>30-08-2018</t>
  </si>
  <si>
    <t>INN00096</t>
  </si>
  <si>
    <t>INN00097</t>
  </si>
  <si>
    <t>18-08-2018</t>
  </si>
  <si>
    <t>INN00098</t>
  </si>
  <si>
    <t>13-04-2018</t>
  </si>
  <si>
    <t>INN00099</t>
  </si>
  <si>
    <t>17-11-2018</t>
  </si>
  <si>
    <t>INN00100</t>
  </si>
  <si>
    <t>22-12-2018</t>
  </si>
  <si>
    <t>INN00101</t>
  </si>
  <si>
    <t>23-10-2018</t>
  </si>
  <si>
    <t>INN00102</t>
  </si>
  <si>
    <t>13-05-2018</t>
  </si>
  <si>
    <t>INN00103</t>
  </si>
  <si>
    <t>13-12-2018</t>
  </si>
  <si>
    <t>INN00104</t>
  </si>
  <si>
    <t>31-10-2017</t>
  </si>
  <si>
    <t>INN00105</t>
  </si>
  <si>
    <t>INN00106</t>
  </si>
  <si>
    <t>16-02-2018</t>
  </si>
  <si>
    <t>INN00107</t>
  </si>
  <si>
    <t>INN00108</t>
  </si>
  <si>
    <t>INN00109</t>
  </si>
  <si>
    <t>30-06-2018</t>
  </si>
  <si>
    <t>INN00110</t>
  </si>
  <si>
    <t>INN00111</t>
  </si>
  <si>
    <t>30-09-2018</t>
  </si>
  <si>
    <t>INN00112</t>
  </si>
  <si>
    <t>INN00113</t>
  </si>
  <si>
    <t>16-06-2018</t>
  </si>
  <si>
    <t>INN00114</t>
  </si>
  <si>
    <t>INN00115</t>
  </si>
  <si>
    <t>26-06-2018</t>
  </si>
  <si>
    <t>INN00116</t>
  </si>
  <si>
    <t>13-08-2018</t>
  </si>
  <si>
    <t>INN00117</t>
  </si>
  <si>
    <t>INN00118</t>
  </si>
  <si>
    <t>INN00119</t>
  </si>
  <si>
    <t>29-04-2018</t>
  </si>
  <si>
    <t>INN00120</t>
  </si>
  <si>
    <t>14-11-2017</t>
  </si>
  <si>
    <t>INN00121</t>
  </si>
  <si>
    <t>INN00122</t>
  </si>
  <si>
    <t>16-09-2018</t>
  </si>
  <si>
    <t>INN00123</t>
  </si>
  <si>
    <t>INN00124</t>
  </si>
  <si>
    <t>INN00125</t>
  </si>
  <si>
    <t>24-04-2018</t>
  </si>
  <si>
    <t>INN00126</t>
  </si>
  <si>
    <t>30-03-2018</t>
  </si>
  <si>
    <t>INN00127</t>
  </si>
  <si>
    <t>INN00128</t>
  </si>
  <si>
    <t>14-10-2018</t>
  </si>
  <si>
    <t>INN00129</t>
  </si>
  <si>
    <t>INN00130</t>
  </si>
  <si>
    <t>13-07-2018</t>
  </si>
  <si>
    <t>INN00131</t>
  </si>
  <si>
    <t>20-10-2018</t>
  </si>
  <si>
    <t>INN00132</t>
  </si>
  <si>
    <t>INN00133</t>
  </si>
  <si>
    <t>28-12-2018</t>
  </si>
  <si>
    <t>INN00134</t>
  </si>
  <si>
    <t>19-10-2017</t>
  </si>
  <si>
    <t>INN00135</t>
  </si>
  <si>
    <t>INN00136</t>
  </si>
  <si>
    <t>INN00137</t>
  </si>
  <si>
    <t>25-07-2018</t>
  </si>
  <si>
    <t>INN00138</t>
  </si>
  <si>
    <t>INN00139</t>
  </si>
  <si>
    <t>INN00140</t>
  </si>
  <si>
    <t>INN00141</t>
  </si>
  <si>
    <t>INN00142</t>
  </si>
  <si>
    <t>17-06-2018</t>
  </si>
  <si>
    <t>INN00143</t>
  </si>
  <si>
    <t>18-11-2018</t>
  </si>
  <si>
    <t>INN00144</t>
  </si>
  <si>
    <t>30-10-2018</t>
  </si>
  <si>
    <t>INN00145</t>
  </si>
  <si>
    <t>28-03-2018</t>
  </si>
  <si>
    <t>INN00146</t>
  </si>
  <si>
    <t>INN00147</t>
  </si>
  <si>
    <t>INN00148</t>
  </si>
  <si>
    <t>INN00149</t>
  </si>
  <si>
    <t>INN00150</t>
  </si>
  <si>
    <t>INN00151</t>
  </si>
  <si>
    <t>INN00152</t>
  </si>
  <si>
    <t>29-09-2018</t>
  </si>
  <si>
    <t>INN00153</t>
  </si>
  <si>
    <t>INN00154</t>
  </si>
  <si>
    <t>17-07-2017</t>
  </si>
  <si>
    <t>INN00155</t>
  </si>
  <si>
    <t>INN00156</t>
  </si>
  <si>
    <t>INN00157</t>
  </si>
  <si>
    <t>24-05-2018</t>
  </si>
  <si>
    <t>INN00158</t>
  </si>
  <si>
    <t>17-02-2018</t>
  </si>
  <si>
    <t>INN00159</t>
  </si>
  <si>
    <t>14-04-2018</t>
  </si>
  <si>
    <t>INN00160</t>
  </si>
  <si>
    <t>INN00161</t>
  </si>
  <si>
    <t>INN00162</t>
  </si>
  <si>
    <t>17-04-2018</t>
  </si>
  <si>
    <t>INN00163</t>
  </si>
  <si>
    <t>Room_Type 7</t>
  </si>
  <si>
    <t>INN00164</t>
  </si>
  <si>
    <t>INN00165</t>
  </si>
  <si>
    <t>INN00166</t>
  </si>
  <si>
    <t>INN00167</t>
  </si>
  <si>
    <t>INN00168</t>
  </si>
  <si>
    <t>16-11-2018</t>
  </si>
  <si>
    <t>INN00169</t>
  </si>
  <si>
    <t>19-09-2018</t>
  </si>
  <si>
    <t>INN00170</t>
  </si>
  <si>
    <t>13-09-2017</t>
  </si>
  <si>
    <t>INN00171</t>
  </si>
  <si>
    <t>15-09-2018</t>
  </si>
  <si>
    <t>INN00172</t>
  </si>
  <si>
    <t>16-12-2018</t>
  </si>
  <si>
    <t>INN00173</t>
  </si>
  <si>
    <t>INN00174</t>
  </si>
  <si>
    <t>INN00175</t>
  </si>
  <si>
    <t>INN00176</t>
  </si>
  <si>
    <t>22-03-2018</t>
  </si>
  <si>
    <t>INN00177</t>
  </si>
  <si>
    <t>17-08-2018</t>
  </si>
  <si>
    <t>INN00178</t>
  </si>
  <si>
    <t>INN00179</t>
  </si>
  <si>
    <t>24-10-2017</t>
  </si>
  <si>
    <t>INN00180</t>
  </si>
  <si>
    <t>21-07-2018</t>
  </si>
  <si>
    <t>INN00181</t>
  </si>
  <si>
    <t>INN00182</t>
  </si>
  <si>
    <t>31-03-2018</t>
  </si>
  <si>
    <t>INN00183</t>
  </si>
  <si>
    <t>INN00184</t>
  </si>
  <si>
    <t>INN00185</t>
  </si>
  <si>
    <t>22-08-2018</t>
  </si>
  <si>
    <t>INN00186</t>
  </si>
  <si>
    <t>INN00187</t>
  </si>
  <si>
    <t>INN00188</t>
  </si>
  <si>
    <t>15-08-2018</t>
  </si>
  <si>
    <t>INN00189</t>
  </si>
  <si>
    <t>19-08-2018</t>
  </si>
  <si>
    <t>INN00190</t>
  </si>
  <si>
    <t>INN00191</t>
  </si>
  <si>
    <t>INN00192</t>
  </si>
  <si>
    <t>INN00193</t>
  </si>
  <si>
    <t>INN00194</t>
  </si>
  <si>
    <t>25-03-2018</t>
  </si>
  <si>
    <t>INN00195</t>
  </si>
  <si>
    <t>INN00196</t>
  </si>
  <si>
    <t>INN00197</t>
  </si>
  <si>
    <t>INN00198</t>
  </si>
  <si>
    <t>INN00199</t>
  </si>
  <si>
    <t>23-03-2018</t>
  </si>
  <si>
    <t>INN00200</t>
  </si>
  <si>
    <t>26-09-2018</t>
  </si>
  <si>
    <t>INN00201</t>
  </si>
  <si>
    <t>24-08-2018</t>
  </si>
  <si>
    <t>INN00202</t>
  </si>
  <si>
    <t>16-07-2017</t>
  </si>
  <si>
    <t>INN00203</t>
  </si>
  <si>
    <t>INN00204</t>
  </si>
  <si>
    <t>INN00205</t>
  </si>
  <si>
    <t>INN00206</t>
  </si>
  <si>
    <t>INN00207</t>
  </si>
  <si>
    <t>INN00208</t>
  </si>
  <si>
    <t>21-08-2018</t>
  </si>
  <si>
    <t>INN00209</t>
  </si>
  <si>
    <t>INN00210</t>
  </si>
  <si>
    <t>27-02-2018</t>
  </si>
  <si>
    <t>INN00211</t>
  </si>
  <si>
    <t>22-09-2017</t>
  </si>
  <si>
    <t>INN00212</t>
  </si>
  <si>
    <t>18-07-2018</t>
  </si>
  <si>
    <t>INN00213</t>
  </si>
  <si>
    <t>INN00214</t>
  </si>
  <si>
    <t>INN00215</t>
  </si>
  <si>
    <t>INN00216</t>
  </si>
  <si>
    <t>INN00217</t>
  </si>
  <si>
    <t>INN00218</t>
  </si>
  <si>
    <t>INN00219</t>
  </si>
  <si>
    <t>INN00220</t>
  </si>
  <si>
    <t>22-08-2017</t>
  </si>
  <si>
    <t>INN00221</t>
  </si>
  <si>
    <t>INN00222</t>
  </si>
  <si>
    <t>INN00223</t>
  </si>
  <si>
    <t>INN00224</t>
  </si>
  <si>
    <t>INN00225</t>
  </si>
  <si>
    <t>INN00226</t>
  </si>
  <si>
    <t>INN00227</t>
  </si>
  <si>
    <t>27-05-2018</t>
  </si>
  <si>
    <t>INN00228</t>
  </si>
  <si>
    <t>INN00229</t>
  </si>
  <si>
    <t>INN00230</t>
  </si>
  <si>
    <t>INN00231</t>
  </si>
  <si>
    <t>INN00232</t>
  </si>
  <si>
    <t>INN00233</t>
  </si>
  <si>
    <t>28-10-2018</t>
  </si>
  <si>
    <t>INN00234</t>
  </si>
  <si>
    <t>18-10-2017</t>
  </si>
  <si>
    <t>INN00235</t>
  </si>
  <si>
    <t>INN00236</t>
  </si>
  <si>
    <t>14-08-2017</t>
  </si>
  <si>
    <t>INN00237</t>
  </si>
  <si>
    <t>INN00238</t>
  </si>
  <si>
    <t>INN00239</t>
  </si>
  <si>
    <t>INN00240</t>
  </si>
  <si>
    <t>INN00241</t>
  </si>
  <si>
    <t>INN00242</t>
  </si>
  <si>
    <t>INN00243</t>
  </si>
  <si>
    <t>INN00244</t>
  </si>
  <si>
    <t>14-09-2018</t>
  </si>
  <si>
    <t>INN00245</t>
  </si>
  <si>
    <t>INN00246</t>
  </si>
  <si>
    <t>INN00247</t>
  </si>
  <si>
    <t>24-03-2018</t>
  </si>
  <si>
    <t>INN00248</t>
  </si>
  <si>
    <t>31-05-2018</t>
  </si>
  <si>
    <t>INN00249</t>
  </si>
  <si>
    <t>INN00250</t>
  </si>
  <si>
    <t>INN00251</t>
  </si>
  <si>
    <t>INN00252</t>
  </si>
  <si>
    <t>INN00253</t>
  </si>
  <si>
    <t>26-07-2018</t>
  </si>
  <si>
    <t>INN00254</t>
  </si>
  <si>
    <t>21-05-2018</t>
  </si>
  <si>
    <t>INN00255</t>
  </si>
  <si>
    <t>INN00256</t>
  </si>
  <si>
    <t>15-11-2017</t>
  </si>
  <si>
    <t>INN00257</t>
  </si>
  <si>
    <t>16-09-2017</t>
  </si>
  <si>
    <t>INN00258</t>
  </si>
  <si>
    <t>16-10-2017</t>
  </si>
  <si>
    <t>INN00259</t>
  </si>
  <si>
    <t>INN00260</t>
  </si>
  <si>
    <t>23-07-2018</t>
  </si>
  <si>
    <t>INN00261</t>
  </si>
  <si>
    <t>INN00262</t>
  </si>
  <si>
    <t>16-01-2018</t>
  </si>
  <si>
    <t>INN00263</t>
  </si>
  <si>
    <t>14-09-2017</t>
  </si>
  <si>
    <t>INN00264</t>
  </si>
  <si>
    <t>INN00265</t>
  </si>
  <si>
    <t>15-10-2018</t>
  </si>
  <si>
    <t>INN00266</t>
  </si>
  <si>
    <t>INN00267</t>
  </si>
  <si>
    <t>INN00268</t>
  </si>
  <si>
    <t>23-08-2017</t>
  </si>
  <si>
    <t>INN00269</t>
  </si>
  <si>
    <t>INN00270</t>
  </si>
  <si>
    <t>INN00271</t>
  </si>
  <si>
    <t>INN00272</t>
  </si>
  <si>
    <t>28-08-2018</t>
  </si>
  <si>
    <t>INN00273</t>
  </si>
  <si>
    <t>INN00274</t>
  </si>
  <si>
    <t>INN00275</t>
  </si>
  <si>
    <t>INN00276</t>
  </si>
  <si>
    <t>INN00277</t>
  </si>
  <si>
    <t>INN00278</t>
  </si>
  <si>
    <t>INN00279</t>
  </si>
  <si>
    <t>18-08-2017</t>
  </si>
  <si>
    <t>INN00280</t>
  </si>
  <si>
    <t>21-04-2018</t>
  </si>
  <si>
    <t>INN00281</t>
  </si>
  <si>
    <t>18-06-2018</t>
  </si>
  <si>
    <t>INN00282</t>
  </si>
  <si>
    <t>INN00283</t>
  </si>
  <si>
    <t>INN00284</t>
  </si>
  <si>
    <t>INN00285</t>
  </si>
  <si>
    <t>INN00286</t>
  </si>
  <si>
    <t>INN00287</t>
  </si>
  <si>
    <t>INN00288</t>
  </si>
  <si>
    <t>INN00289</t>
  </si>
  <si>
    <t>INN00290</t>
  </si>
  <si>
    <t>INN00291</t>
  </si>
  <si>
    <t>17-03-2018</t>
  </si>
  <si>
    <t>INN00292</t>
  </si>
  <si>
    <t>INN00293</t>
  </si>
  <si>
    <t>INN00294</t>
  </si>
  <si>
    <t>INN00295</t>
  </si>
  <si>
    <t>INN00296</t>
  </si>
  <si>
    <t>INN00297</t>
  </si>
  <si>
    <t>INN00298</t>
  </si>
  <si>
    <t>INN00299</t>
  </si>
  <si>
    <t>27-12-2017</t>
  </si>
  <si>
    <t>INN00300</t>
  </si>
  <si>
    <t>INN00301</t>
  </si>
  <si>
    <t>INN00302</t>
  </si>
  <si>
    <t>INN00303</t>
  </si>
  <si>
    <t>INN00304</t>
  </si>
  <si>
    <t>INN00305</t>
  </si>
  <si>
    <t>INN00306</t>
  </si>
  <si>
    <t>20-02-2018</t>
  </si>
  <si>
    <t>INN00307</t>
  </si>
  <si>
    <t>INN00308</t>
  </si>
  <si>
    <t>INN00309</t>
  </si>
  <si>
    <t>30-09-2017</t>
  </si>
  <si>
    <t>INN00310</t>
  </si>
  <si>
    <t>INN00311</t>
  </si>
  <si>
    <t>INN00312</t>
  </si>
  <si>
    <t>INN00313</t>
  </si>
  <si>
    <t>26-12-2017</t>
  </si>
  <si>
    <t>INN00314</t>
  </si>
  <si>
    <t>INN00315</t>
  </si>
  <si>
    <t>INN00316</t>
  </si>
  <si>
    <t>INN00317</t>
  </si>
  <si>
    <t>INN00318</t>
  </si>
  <si>
    <t>INN00319</t>
  </si>
  <si>
    <t>17-07-2018</t>
  </si>
  <si>
    <t>INN00320</t>
  </si>
  <si>
    <t>INN00321</t>
  </si>
  <si>
    <t>22-02-2018</t>
  </si>
  <si>
    <t>INN00322</t>
  </si>
  <si>
    <t>INN00323</t>
  </si>
  <si>
    <t>INN00324</t>
  </si>
  <si>
    <t>INN00325</t>
  </si>
  <si>
    <t>INN00326</t>
  </si>
  <si>
    <t>INN00327</t>
  </si>
  <si>
    <t>INN00328</t>
  </si>
  <si>
    <t>INN00329</t>
  </si>
  <si>
    <t>INN00330</t>
  </si>
  <si>
    <t>INN00331</t>
  </si>
  <si>
    <t>INN00332</t>
  </si>
  <si>
    <t>INN00333</t>
  </si>
  <si>
    <t>25-07-2017</t>
  </si>
  <si>
    <t>INN00334</t>
  </si>
  <si>
    <t>15-12-2017</t>
  </si>
  <si>
    <t>INN00335</t>
  </si>
  <si>
    <t>23-10-2017</t>
  </si>
  <si>
    <t>INN00336</t>
  </si>
  <si>
    <t>INN00337</t>
  </si>
  <si>
    <t>INN00338</t>
  </si>
  <si>
    <t>INN00339</t>
  </si>
  <si>
    <t>INN00340</t>
  </si>
  <si>
    <t>INN00341</t>
  </si>
  <si>
    <t>INN00342</t>
  </si>
  <si>
    <t>21-12-2018</t>
  </si>
  <si>
    <t>INN00343</t>
  </si>
  <si>
    <t>INN00344</t>
  </si>
  <si>
    <t>INN00345</t>
  </si>
  <si>
    <t>INN00346</t>
  </si>
  <si>
    <t>INN00347</t>
  </si>
  <si>
    <t>INN00348</t>
  </si>
  <si>
    <t>INN00349</t>
  </si>
  <si>
    <t>24-02-2018</t>
  </si>
  <si>
    <t>INN00350</t>
  </si>
  <si>
    <t>INN00351</t>
  </si>
  <si>
    <t>INN00352</t>
  </si>
  <si>
    <t>INN00353</t>
  </si>
  <si>
    <t>INN00354</t>
  </si>
  <si>
    <t>INN00355</t>
  </si>
  <si>
    <t>14-05-2018</t>
  </si>
  <si>
    <t>INN00356</t>
  </si>
  <si>
    <t>22-10-2018</t>
  </si>
  <si>
    <t>INN00357</t>
  </si>
  <si>
    <t>INN00358</t>
  </si>
  <si>
    <t>INN00359</t>
  </si>
  <si>
    <t>INN00360</t>
  </si>
  <si>
    <t>18-09-2018</t>
  </si>
  <si>
    <t>INN00361</t>
  </si>
  <si>
    <t>INN00362</t>
  </si>
  <si>
    <t>INN00363</t>
  </si>
  <si>
    <t>22-09-2018</t>
  </si>
  <si>
    <t>INN00364</t>
  </si>
  <si>
    <t>INN00365</t>
  </si>
  <si>
    <t>19-11-2017</t>
  </si>
  <si>
    <t>INN00366</t>
  </si>
  <si>
    <t>INN00367</t>
  </si>
  <si>
    <t>INN00368</t>
  </si>
  <si>
    <t>INN00369</t>
  </si>
  <si>
    <t>INN00370</t>
  </si>
  <si>
    <t>INN00371</t>
  </si>
  <si>
    <t>INN00372</t>
  </si>
  <si>
    <t>INN00373</t>
  </si>
  <si>
    <t>INN00374</t>
  </si>
  <si>
    <t>25-09-2017</t>
  </si>
  <si>
    <t>INN00375</t>
  </si>
  <si>
    <t>INN00376</t>
  </si>
  <si>
    <t>INN00377</t>
  </si>
  <si>
    <t>27-10-2018</t>
  </si>
  <si>
    <t>INN00378</t>
  </si>
  <si>
    <t>INN00379</t>
  </si>
  <si>
    <t>INN00380</t>
  </si>
  <si>
    <t>INN00381</t>
  </si>
  <si>
    <t>INN00382</t>
  </si>
  <si>
    <t>INN00383</t>
  </si>
  <si>
    <t>INN00384</t>
  </si>
  <si>
    <t>INN00385</t>
  </si>
  <si>
    <t>INN00386</t>
  </si>
  <si>
    <t>INN00387</t>
  </si>
  <si>
    <t>INN00388</t>
  </si>
  <si>
    <t>INN00389</t>
  </si>
  <si>
    <t>INN00390</t>
  </si>
  <si>
    <t>15-09-2017</t>
  </si>
  <si>
    <t>INN00391</t>
  </si>
  <si>
    <t>19-02-2018</t>
  </si>
  <si>
    <t>INN00392</t>
  </si>
  <si>
    <t>INN00393</t>
  </si>
  <si>
    <t>INN00394</t>
  </si>
  <si>
    <t>INN00395</t>
  </si>
  <si>
    <t>INN00396</t>
  </si>
  <si>
    <t>INN00397</t>
  </si>
  <si>
    <t>INN00398</t>
  </si>
  <si>
    <t>28-09-2018</t>
  </si>
  <si>
    <t>INN00399</t>
  </si>
  <si>
    <t>INN00400</t>
  </si>
  <si>
    <t>INN00401</t>
  </si>
  <si>
    <t>INN00402</t>
  </si>
  <si>
    <t>INN00403</t>
  </si>
  <si>
    <t>INN00404</t>
  </si>
  <si>
    <t>29-01-2018</t>
  </si>
  <si>
    <t>INN00405</t>
  </si>
  <si>
    <t>INN00406</t>
  </si>
  <si>
    <t>INN00407</t>
  </si>
  <si>
    <t>INN00408</t>
  </si>
  <si>
    <t>INN00409</t>
  </si>
  <si>
    <t>INN00410</t>
  </si>
  <si>
    <t>INN00411</t>
  </si>
  <si>
    <t>INN00412</t>
  </si>
  <si>
    <t>INN00413</t>
  </si>
  <si>
    <t>INN00414</t>
  </si>
  <si>
    <t>29-05-2018</t>
  </si>
  <si>
    <t>INN00415</t>
  </si>
  <si>
    <t>20-01-2018</t>
  </si>
  <si>
    <t>INN00416</t>
  </si>
  <si>
    <t>INN00417</t>
  </si>
  <si>
    <t>INN00418</t>
  </si>
  <si>
    <t>INN00419</t>
  </si>
  <si>
    <t>INN00420</t>
  </si>
  <si>
    <t>INN00421</t>
  </si>
  <si>
    <t>INN00422</t>
  </si>
  <si>
    <t>INN00423</t>
  </si>
  <si>
    <t>INN00424</t>
  </si>
  <si>
    <t>INN00425</t>
  </si>
  <si>
    <t>INN00426</t>
  </si>
  <si>
    <t>INN00427</t>
  </si>
  <si>
    <t>27-09-2018</t>
  </si>
  <si>
    <t>INN00428</t>
  </si>
  <si>
    <t>INN00429</t>
  </si>
  <si>
    <t>INN00430</t>
  </si>
  <si>
    <t>INN00431</t>
  </si>
  <si>
    <t>21-10-2017</t>
  </si>
  <si>
    <t>INN00432</t>
  </si>
  <si>
    <t>INN00433</t>
  </si>
  <si>
    <t>INN00434</t>
  </si>
  <si>
    <t>INN00435</t>
  </si>
  <si>
    <t>INN00436</t>
  </si>
  <si>
    <t>INN00437</t>
  </si>
  <si>
    <t>16-03-2018</t>
  </si>
  <si>
    <t>INN00438</t>
  </si>
  <si>
    <t>INN00439</t>
  </si>
  <si>
    <t>24-10-2018</t>
  </si>
  <si>
    <t>INN00440</t>
  </si>
  <si>
    <t>INN00441</t>
  </si>
  <si>
    <t>INN00442</t>
  </si>
  <si>
    <t>INN00443</t>
  </si>
  <si>
    <t>INN00444</t>
  </si>
  <si>
    <t>INN00445</t>
  </si>
  <si>
    <t>INN00446</t>
  </si>
  <si>
    <t>INN00447</t>
  </si>
  <si>
    <t>INN00448</t>
  </si>
  <si>
    <t>13-10-2017</t>
  </si>
  <si>
    <t>INN00449</t>
  </si>
  <si>
    <t>INN00450</t>
  </si>
  <si>
    <t>INN00451</t>
  </si>
  <si>
    <t>16-10-2018</t>
  </si>
  <si>
    <t>INN00452</t>
  </si>
  <si>
    <t>INN00453</t>
  </si>
  <si>
    <t>INN00454</t>
  </si>
  <si>
    <t>INN00455</t>
  </si>
  <si>
    <t>INN00456</t>
  </si>
  <si>
    <t>INN00457</t>
  </si>
  <si>
    <t>31-10-2018</t>
  </si>
  <si>
    <t>INN00458</t>
  </si>
  <si>
    <t>INN00459</t>
  </si>
  <si>
    <t>18-09-2017</t>
  </si>
  <si>
    <t>INN00460</t>
  </si>
  <si>
    <t>23-06-2018</t>
  </si>
  <si>
    <t>INN00461</t>
  </si>
  <si>
    <t>INN00462</t>
  </si>
  <si>
    <t>INN00463</t>
  </si>
  <si>
    <t>26-08-2017</t>
  </si>
  <si>
    <t>INN00464</t>
  </si>
  <si>
    <t>INN00465</t>
  </si>
  <si>
    <t>INN00466</t>
  </si>
  <si>
    <t>INN00467</t>
  </si>
  <si>
    <t>INN00468</t>
  </si>
  <si>
    <t>INN00469</t>
  </si>
  <si>
    <t>INN00470</t>
  </si>
  <si>
    <t>INN00471</t>
  </si>
  <si>
    <t>INN00472</t>
  </si>
  <si>
    <t>INN00473</t>
  </si>
  <si>
    <t>INN00474</t>
  </si>
  <si>
    <t>INN00475</t>
  </si>
  <si>
    <t>INN00476</t>
  </si>
  <si>
    <t>INN00477</t>
  </si>
  <si>
    <t>INN00478</t>
  </si>
  <si>
    <t>INN00479</t>
  </si>
  <si>
    <t>INN00480</t>
  </si>
  <si>
    <t>19-10-2018</t>
  </si>
  <si>
    <t>INN00481</t>
  </si>
  <si>
    <t>INN00482</t>
  </si>
  <si>
    <t>INN00483</t>
  </si>
  <si>
    <t>INN00484</t>
  </si>
  <si>
    <t>INN00485</t>
  </si>
  <si>
    <t>22-10-2017</t>
  </si>
  <si>
    <t>INN00486</t>
  </si>
  <si>
    <t>INN00487</t>
  </si>
  <si>
    <t>INN00488</t>
  </si>
  <si>
    <t>INN00489</t>
  </si>
  <si>
    <t>INN00490</t>
  </si>
  <si>
    <t>INN00491</t>
  </si>
  <si>
    <t>INN00492</t>
  </si>
  <si>
    <t>INN00493</t>
  </si>
  <si>
    <t>INN00494</t>
  </si>
  <si>
    <t>INN00495</t>
  </si>
  <si>
    <t>23-11-2018</t>
  </si>
  <si>
    <t>INN00496</t>
  </si>
  <si>
    <t>INN00497</t>
  </si>
  <si>
    <t>INN00498</t>
  </si>
  <si>
    <t>INN00499</t>
  </si>
  <si>
    <t>INN00500</t>
  </si>
  <si>
    <t>INN00501</t>
  </si>
  <si>
    <t>23-04-2018</t>
  </si>
  <si>
    <t>INN00502</t>
  </si>
  <si>
    <t>INN00503</t>
  </si>
  <si>
    <t>INN00504</t>
  </si>
  <si>
    <t>INN00505</t>
  </si>
  <si>
    <t>INN00506</t>
  </si>
  <si>
    <t>INN00507</t>
  </si>
  <si>
    <t>21-10-2018</t>
  </si>
  <si>
    <t>INN00508</t>
  </si>
  <si>
    <t>INN00509</t>
  </si>
  <si>
    <t>INN00510</t>
  </si>
  <si>
    <t>INN00511</t>
  </si>
  <si>
    <t>INN00512</t>
  </si>
  <si>
    <t>INN00513</t>
  </si>
  <si>
    <t>INN00514</t>
  </si>
  <si>
    <t>INN00515</t>
  </si>
  <si>
    <t>INN00516</t>
  </si>
  <si>
    <t>INN00517</t>
  </si>
  <si>
    <t>INN00518</t>
  </si>
  <si>
    <t>14-10-2017</t>
  </si>
  <si>
    <t>INN00519</t>
  </si>
  <si>
    <t>INN00520</t>
  </si>
  <si>
    <t>24-12-2017</t>
  </si>
  <si>
    <t>INN00521</t>
  </si>
  <si>
    <t>INN00522</t>
  </si>
  <si>
    <t>INN00523</t>
  </si>
  <si>
    <t>INN00524</t>
  </si>
  <si>
    <t>14-06-2018</t>
  </si>
  <si>
    <t>INN00525</t>
  </si>
  <si>
    <t>INN00526</t>
  </si>
  <si>
    <t>INN00527</t>
  </si>
  <si>
    <t>INN00528</t>
  </si>
  <si>
    <t>INN00529</t>
  </si>
  <si>
    <t>INN00530</t>
  </si>
  <si>
    <t>INN00531</t>
  </si>
  <si>
    <t>INN00532</t>
  </si>
  <si>
    <t>INN00533</t>
  </si>
  <si>
    <t>17-12-2017</t>
  </si>
  <si>
    <t>INN00534</t>
  </si>
  <si>
    <t>INN00535</t>
  </si>
  <si>
    <t>INN00536</t>
  </si>
  <si>
    <t>INN00537</t>
  </si>
  <si>
    <t>31-08-2018</t>
  </si>
  <si>
    <t>INN00538</t>
  </si>
  <si>
    <t>INN00539</t>
  </si>
  <si>
    <t>INN00540</t>
  </si>
  <si>
    <t>INN00541</t>
  </si>
  <si>
    <t>INN00542</t>
  </si>
  <si>
    <t>INN00543</t>
  </si>
  <si>
    <t>INN00544</t>
  </si>
  <si>
    <t>INN00545</t>
  </si>
  <si>
    <t>INN00546</t>
  </si>
  <si>
    <t>INN00547</t>
  </si>
  <si>
    <t>INN00548</t>
  </si>
  <si>
    <t>INN00549</t>
  </si>
  <si>
    <t>INN00550</t>
  </si>
  <si>
    <t>INN00551</t>
  </si>
  <si>
    <t>29-11-2018</t>
  </si>
  <si>
    <t>INN00552</t>
  </si>
  <si>
    <t>INN00553</t>
  </si>
  <si>
    <t>INN00554</t>
  </si>
  <si>
    <t>INN00555</t>
  </si>
  <si>
    <t>INN00556</t>
  </si>
  <si>
    <t>INN00557</t>
  </si>
  <si>
    <t>19-03-2018</t>
  </si>
  <si>
    <t>INN00558</t>
  </si>
  <si>
    <t>INN00559</t>
  </si>
  <si>
    <t>INN00560</t>
  </si>
  <si>
    <t>INN00561</t>
  </si>
  <si>
    <t>INN00562</t>
  </si>
  <si>
    <t>INN00563</t>
  </si>
  <si>
    <t>INN00564</t>
  </si>
  <si>
    <t>INN00565</t>
  </si>
  <si>
    <t>INN00566</t>
  </si>
  <si>
    <t>INN00567</t>
  </si>
  <si>
    <t>INN00568</t>
  </si>
  <si>
    <t>INN00569</t>
  </si>
  <si>
    <t>INN00570</t>
  </si>
  <si>
    <t>INN00571</t>
  </si>
  <si>
    <t>26-04-2018</t>
  </si>
  <si>
    <t>INN00572</t>
  </si>
  <si>
    <t>INN00573</t>
  </si>
  <si>
    <t>INN00574</t>
  </si>
  <si>
    <t>INN00575</t>
  </si>
  <si>
    <t>INN00576</t>
  </si>
  <si>
    <t>INN00577</t>
  </si>
  <si>
    <t>INN00578</t>
  </si>
  <si>
    <t>INN00579</t>
  </si>
  <si>
    <t>INN00580</t>
  </si>
  <si>
    <t>30-12-2017</t>
  </si>
  <si>
    <t>INN00581</t>
  </si>
  <si>
    <t>INN00582</t>
  </si>
  <si>
    <t>25-06-2018</t>
  </si>
  <si>
    <t>INN00583</t>
  </si>
  <si>
    <t>INN00584</t>
  </si>
  <si>
    <t>INN00585</t>
  </si>
  <si>
    <t>INN00586</t>
  </si>
  <si>
    <t>INN00587</t>
  </si>
  <si>
    <t>INN00588</t>
  </si>
  <si>
    <t>INN00589</t>
  </si>
  <si>
    <t>30-12-2018</t>
  </si>
  <si>
    <t>INN00590</t>
  </si>
  <si>
    <t>INN00591</t>
  </si>
  <si>
    <t>INN00592</t>
  </si>
  <si>
    <t>INN00593</t>
  </si>
  <si>
    <t>INN00594</t>
  </si>
  <si>
    <t>INN00595</t>
  </si>
  <si>
    <t>13-03-2018</t>
  </si>
  <si>
    <t>INN00596</t>
  </si>
  <si>
    <t>INN00597</t>
  </si>
  <si>
    <t>INN00598</t>
  </si>
  <si>
    <t>29-06-2018</t>
  </si>
  <si>
    <t>INN00599</t>
  </si>
  <si>
    <t>27-07-2017</t>
  </si>
  <si>
    <t>INN00600</t>
  </si>
  <si>
    <t>20-06-2018</t>
  </si>
  <si>
    <t>INN00601</t>
  </si>
  <si>
    <t>26-02-2018</t>
  </si>
  <si>
    <t>INN00602</t>
  </si>
  <si>
    <t>INN00603</t>
  </si>
  <si>
    <t>INN00604</t>
  </si>
  <si>
    <t>INN00605</t>
  </si>
  <si>
    <t>INN00606</t>
  </si>
  <si>
    <t>INN00607</t>
  </si>
  <si>
    <t>INN00608</t>
  </si>
  <si>
    <t>14-07-2018</t>
  </si>
  <si>
    <t>INN00609</t>
  </si>
  <si>
    <t>INN00610</t>
  </si>
  <si>
    <t>INN00611</t>
  </si>
  <si>
    <t>27-07-2018</t>
  </si>
  <si>
    <t>INN00612</t>
  </si>
  <si>
    <t>INN00613</t>
  </si>
  <si>
    <t>INN00614</t>
  </si>
  <si>
    <t>INN00615</t>
  </si>
  <si>
    <t>INN00616</t>
  </si>
  <si>
    <t>INN00617</t>
  </si>
  <si>
    <t>INN00618</t>
  </si>
  <si>
    <t>INN00619</t>
  </si>
  <si>
    <t>INN00620</t>
  </si>
  <si>
    <t>INN00621</t>
  </si>
  <si>
    <t>INN00622</t>
  </si>
  <si>
    <t>INN00623</t>
  </si>
  <si>
    <t>25-08-2017</t>
  </si>
  <si>
    <t>INN00624</t>
  </si>
  <si>
    <t>INN00625</t>
  </si>
  <si>
    <t>INN00626</t>
  </si>
  <si>
    <t>INN00627</t>
  </si>
  <si>
    <t>INN00628</t>
  </si>
  <si>
    <t>INN00629</t>
  </si>
  <si>
    <t>INN00630</t>
  </si>
  <si>
    <t>INN00631</t>
  </si>
  <si>
    <t>INN00632</t>
  </si>
  <si>
    <t>INN00633</t>
  </si>
  <si>
    <t>INN00634</t>
  </si>
  <si>
    <t>INN00635</t>
  </si>
  <si>
    <t>INN00636</t>
  </si>
  <si>
    <t>INN00637</t>
  </si>
  <si>
    <t>INN00638</t>
  </si>
  <si>
    <t>INN00639</t>
  </si>
  <si>
    <t>INN00640</t>
  </si>
  <si>
    <t>INN00641</t>
  </si>
  <si>
    <t>INN00642</t>
  </si>
  <si>
    <t>INN00643</t>
  </si>
  <si>
    <t>INN00644</t>
  </si>
  <si>
    <t>INN00645</t>
  </si>
  <si>
    <t>INN00646</t>
  </si>
  <si>
    <t>INN00647</t>
  </si>
  <si>
    <t>INN00648</t>
  </si>
  <si>
    <t>INN00649</t>
  </si>
  <si>
    <t>INN00650</t>
  </si>
  <si>
    <t>INN00651</t>
  </si>
  <si>
    <t>26-10-2018</t>
  </si>
  <si>
    <t>INN00652</t>
  </si>
  <si>
    <t>INN00653</t>
  </si>
  <si>
    <t>INN00654</t>
  </si>
  <si>
    <t>INN00655</t>
  </si>
  <si>
    <t>INN00656</t>
  </si>
  <si>
    <t>INN00657</t>
  </si>
  <si>
    <t>INN00658</t>
  </si>
  <si>
    <t>INN00659</t>
  </si>
  <si>
    <t>INN00660</t>
  </si>
  <si>
    <t>23-11-2017</t>
  </si>
  <si>
    <t>INN00661</t>
  </si>
  <si>
    <t>INN00662</t>
  </si>
  <si>
    <t>20-09-2018</t>
  </si>
  <si>
    <t>INN00663</t>
  </si>
  <si>
    <t>28-01-2018</t>
  </si>
  <si>
    <t>INN00664</t>
  </si>
  <si>
    <t>INN00665</t>
  </si>
  <si>
    <t>INN00666</t>
  </si>
  <si>
    <t>INN00667</t>
  </si>
  <si>
    <t>INN00668</t>
  </si>
  <si>
    <t>INN00669</t>
  </si>
  <si>
    <t>INN00670</t>
  </si>
  <si>
    <t>INN00671</t>
  </si>
  <si>
    <t>INN00672</t>
  </si>
  <si>
    <t>INN00673</t>
  </si>
  <si>
    <t>25-02-2018</t>
  </si>
  <si>
    <t>INN00674</t>
  </si>
  <si>
    <t>INN00675</t>
  </si>
  <si>
    <t>INN00676</t>
  </si>
  <si>
    <t>INN00677</t>
  </si>
  <si>
    <t>INN00678</t>
  </si>
  <si>
    <t>INN00679</t>
  </si>
  <si>
    <t>INN00680</t>
  </si>
  <si>
    <t>INN00681</t>
  </si>
  <si>
    <t>INN00682</t>
  </si>
  <si>
    <t>INN00683</t>
  </si>
  <si>
    <t>INN00684</t>
  </si>
  <si>
    <t>INN00685</t>
  </si>
  <si>
    <t>INN00686</t>
  </si>
  <si>
    <t>21-03-2018</t>
  </si>
  <si>
    <t>INN00687</t>
  </si>
  <si>
    <t>INN00688</t>
  </si>
  <si>
    <t>INN00689</t>
  </si>
  <si>
    <t>INN00690</t>
  </si>
  <si>
    <t>INN00691</t>
  </si>
  <si>
    <t>INN00692</t>
  </si>
  <si>
    <t>14-12-2018</t>
  </si>
  <si>
    <t>INN00693</t>
  </si>
  <si>
    <t>INN00694</t>
  </si>
  <si>
    <t>INN00695</t>
  </si>
  <si>
    <t>INN00696</t>
  </si>
  <si>
    <t>INN00697</t>
  </si>
  <si>
    <t>INN00698</t>
  </si>
  <si>
    <t>INN00699</t>
  </si>
  <si>
    <t>15-03-2018</t>
  </si>
  <si>
    <t>INN00700</t>
  </si>
  <si>
    <t>Variable Name</t>
  </si>
  <si>
    <t>Type</t>
  </si>
  <si>
    <t>Description</t>
  </si>
  <si>
    <t>Categorical</t>
  </si>
  <si>
    <t>An Identifier for each booking</t>
  </si>
  <si>
    <t>Quantitative</t>
  </si>
  <si>
    <t>Number of adults in the reservation</t>
  </si>
  <si>
    <t>Number of children in the reservation</t>
  </si>
  <si>
    <t>How many nights of the reservation are on the weekend</t>
  </si>
  <si>
    <t>How many nights of the reservation are during the week</t>
  </si>
  <si>
    <t>Meal plan chosen by reservation</t>
  </si>
  <si>
    <t>Room chosen by reservation</t>
  </si>
  <si>
    <t>Difference between time booked and time arrived</t>
  </si>
  <si>
    <t xml:space="preserve">Arrival date </t>
  </si>
  <si>
    <t>The market segment that the reservation belongs to</t>
  </si>
  <si>
    <t>Average price per room</t>
  </si>
  <si>
    <t>Status of the booking</t>
  </si>
  <si>
    <t>Source Data</t>
  </si>
  <si>
    <t>Where this data was aquired</t>
  </si>
  <si>
    <t>Web-Kaggle</t>
  </si>
  <si>
    <t>https://www.kaggle.com/datasets/saritas95/hotel-reservation-analysis</t>
  </si>
  <si>
    <t>Dataset Description</t>
  </si>
  <si>
    <t xml:space="preserve">Why I was interested in this dataset? </t>
  </si>
  <si>
    <t>This dataset interested me for many reasons, I think its a great example of how to view database warehousing and modeling. The hotel industry, like nearly all others, is incredibly reliant on data analytics, so it feels like a great  real world example to use for this assignment. And the assignment fits all the criteria of the rubric.</t>
  </si>
  <si>
    <t>Questions</t>
  </si>
  <si>
    <t>2. What booking lead time, family size, room type, etc. lead to the most cancellations, and what can the hotel do to improve occupancy.</t>
  </si>
  <si>
    <t>ID</t>
  </si>
  <si>
    <t>Date</t>
  </si>
  <si>
    <t>Booking ID was changed to ID</t>
  </si>
  <si>
    <t>Arrival Time was changed to Date</t>
  </si>
  <si>
    <t>Revisions from deliverable 1</t>
  </si>
  <si>
    <t>Questions 1 and 3</t>
  </si>
  <si>
    <r>
      <t>This transactional dataset holds 700 records of bookings, the dataset has 12 variables, with 4 being categorical, a date, an identifier, and the other 6 being q</t>
    </r>
    <r>
      <rPr>
        <sz val="11"/>
        <rFont val="Aptos Narrow"/>
        <family val="2"/>
        <scheme val="minor"/>
      </rPr>
      <t>uantitative</t>
    </r>
    <r>
      <rPr>
        <sz val="11"/>
        <color theme="1"/>
        <rFont val="Aptos Narrow"/>
        <family val="2"/>
        <scheme val="minor"/>
      </rPr>
      <t>. These variables show the demographics of who is staying at the hotel, the details of each stay, pricing, and weather the booking came to fruition or was cancelled. This data could be useful to find more information about cancellations, management, and booking patterns for future seasons.</t>
    </r>
  </si>
  <si>
    <t>Dataset description changes</t>
  </si>
  <si>
    <t>1. What market segment has the highest average room price, and how can the hotel use that information to maximize marketing efficiency.</t>
  </si>
  <si>
    <t>3. How does the average room price and the booking volume fluctuate based on the months, and how could we use that data to improve our staffing efficiency</t>
  </si>
  <si>
    <t>Row Labels</t>
  </si>
  <si>
    <t>Grand Total</t>
  </si>
  <si>
    <t>Column Labels</t>
  </si>
  <si>
    <t>Count of Booking_ID</t>
  </si>
  <si>
    <t>0-50</t>
  </si>
  <si>
    <t>50-100</t>
  </si>
  <si>
    <t>100-150</t>
  </si>
  <si>
    <t>150-200</t>
  </si>
  <si>
    <t>200-250</t>
  </si>
  <si>
    <t>250-300</t>
  </si>
  <si>
    <t>Count of avg_price_per_room</t>
  </si>
  <si>
    <t>avg_price_per_room ($)</t>
  </si>
  <si>
    <t>Bin</t>
  </si>
  <si>
    <t>More</t>
  </si>
  <si>
    <t>Frequency</t>
  </si>
  <si>
    <t>Column1</t>
  </si>
  <si>
    <t>Mean</t>
  </si>
  <si>
    <t>Standard Error</t>
  </si>
  <si>
    <t>Median</t>
  </si>
  <si>
    <t>Mode</t>
  </si>
  <si>
    <t>Standard Deviation</t>
  </si>
  <si>
    <t>Sample Variance</t>
  </si>
  <si>
    <t>Kurtosis</t>
  </si>
  <si>
    <t>Skewness</t>
  </si>
  <si>
    <t>Range</t>
  </si>
  <si>
    <t>Minimum</t>
  </si>
  <si>
    <t>Maximum</t>
  </si>
  <si>
    <t>Sum</t>
  </si>
  <si>
    <t>Count</t>
  </si>
  <si>
    <t>0-29</t>
  </si>
  <si>
    <t>30-59</t>
  </si>
  <si>
    <t>60-89</t>
  </si>
  <si>
    <t>90-119</t>
  </si>
  <si>
    <t>120-149</t>
  </si>
  <si>
    <t>150-179</t>
  </si>
  <si>
    <t>180-209</t>
  </si>
  <si>
    <t>210-239</t>
  </si>
  <si>
    <t>240-269</t>
  </si>
  <si>
    <t>Count of lead_time</t>
  </si>
  <si>
    <t>270-300</t>
  </si>
  <si>
    <t>&gt;300</t>
  </si>
  <si>
    <t>lead_time (Days)</t>
  </si>
  <si>
    <t>avg_price_per_room($)</t>
  </si>
  <si>
    <t>Correlation Between Price and Lead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</si>
</sst>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ptos Narrow"/>
      <charset val="1"/>
    </font>
    <font>
      <sz val="11"/>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6">
    <xf numFmtId="0" fontId="0" fillId="0" borderId="0" xfId="0"/>
    <xf numFmtId="14" fontId="0" fillId="0" borderId="0" xfId="0" applyNumberFormat="1"/>
    <xf numFmtId="0" fontId="16" fillId="0" borderId="0" xfId="0" applyFont="1" applyAlignment="1">
      <alignment horizontal="center"/>
    </xf>
    <xf numFmtId="0" fontId="16" fillId="33" borderId="0" xfId="0" applyFont="1" applyFill="1" applyAlignment="1">
      <alignment horizontal="center"/>
    </xf>
    <xf numFmtId="0" fontId="16" fillId="33" borderId="0" xfId="0" applyFont="1" applyFill="1"/>
    <xf numFmtId="0" fontId="18" fillId="0" borderId="0" xfId="42"/>
    <xf numFmtId="0" fontId="19" fillId="0" borderId="0" xfId="0" applyFont="1"/>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xf numFmtId="0" fontId="0" fillId="0" borderId="10" xfId="0" applyBorder="1"/>
    <xf numFmtId="0" fontId="21" fillId="0" borderId="11" xfId="0" applyFont="1" applyBorder="1" applyAlignment="1">
      <alignment horizontal="center"/>
    </xf>
    <xf numFmtId="0" fontId="21" fillId="0" borderId="11" xfId="0" applyFont="1" applyBorder="1" applyAlignment="1">
      <alignment horizontal="centerContinuous"/>
    </xf>
    <xf numFmtId="170" fontId="0" fillId="0" borderId="0" xfId="0" applyNumberFormat="1"/>
    <xf numFmtId="170" fontId="0" fillId="0" borderId="1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a:t>
            </a:r>
            <a:r>
              <a:rPr lang="en-US" baseline="0"/>
              <a:t> by Lead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Reservation_Dataset_Cleaned!$K$1</c:f>
              <c:strCache>
                <c:ptCount val="1"/>
                <c:pt idx="0">
                  <c:v>avg_price_per_room</c:v>
                </c:pt>
              </c:strCache>
            </c:strRef>
          </c:tx>
          <c:spPr>
            <a:ln w="38100" cap="rnd">
              <a:noFill/>
              <a:round/>
            </a:ln>
            <a:effectLst/>
          </c:spPr>
          <c:marker>
            <c:symbol val="circle"/>
            <c:size val="5"/>
            <c:spPr>
              <a:solidFill>
                <a:schemeClr val="accent1"/>
              </a:solidFill>
              <a:ln w="9525">
                <a:solidFill>
                  <a:schemeClr val="accent1"/>
                </a:solidFill>
              </a:ln>
              <a:effectLst/>
            </c:spPr>
          </c:marker>
          <c:xVal>
            <c:numRef>
              <c:f>Reservation_Dataset_Cleaned!$H$2:$H$701</c:f>
              <c:numCache>
                <c:formatCode>General</c:formatCode>
                <c:ptCount val="700"/>
                <c:pt idx="0">
                  <c:v>224</c:v>
                </c:pt>
                <c:pt idx="1">
                  <c:v>5</c:v>
                </c:pt>
                <c:pt idx="2">
                  <c:v>1</c:v>
                </c:pt>
                <c:pt idx="3">
                  <c:v>211</c:v>
                </c:pt>
                <c:pt idx="4">
                  <c:v>48</c:v>
                </c:pt>
                <c:pt idx="5">
                  <c:v>346</c:v>
                </c:pt>
                <c:pt idx="6">
                  <c:v>34</c:v>
                </c:pt>
                <c:pt idx="7">
                  <c:v>83</c:v>
                </c:pt>
                <c:pt idx="8">
                  <c:v>121</c:v>
                </c:pt>
                <c:pt idx="9">
                  <c:v>44</c:v>
                </c:pt>
                <c:pt idx="10">
                  <c:v>0</c:v>
                </c:pt>
                <c:pt idx="11">
                  <c:v>35</c:v>
                </c:pt>
                <c:pt idx="12">
                  <c:v>30</c:v>
                </c:pt>
                <c:pt idx="13">
                  <c:v>95</c:v>
                </c:pt>
                <c:pt idx="14">
                  <c:v>47</c:v>
                </c:pt>
                <c:pt idx="15">
                  <c:v>256</c:v>
                </c:pt>
                <c:pt idx="16">
                  <c:v>0</c:v>
                </c:pt>
                <c:pt idx="17">
                  <c:v>1</c:v>
                </c:pt>
                <c:pt idx="18">
                  <c:v>99</c:v>
                </c:pt>
                <c:pt idx="19">
                  <c:v>12</c:v>
                </c:pt>
                <c:pt idx="20">
                  <c:v>99</c:v>
                </c:pt>
                <c:pt idx="21">
                  <c:v>122</c:v>
                </c:pt>
                <c:pt idx="22">
                  <c:v>2</c:v>
                </c:pt>
                <c:pt idx="23">
                  <c:v>37</c:v>
                </c:pt>
                <c:pt idx="24">
                  <c:v>130</c:v>
                </c:pt>
                <c:pt idx="25">
                  <c:v>99</c:v>
                </c:pt>
                <c:pt idx="26">
                  <c:v>60</c:v>
                </c:pt>
                <c:pt idx="27">
                  <c:v>2</c:v>
                </c:pt>
                <c:pt idx="28">
                  <c:v>37</c:v>
                </c:pt>
                <c:pt idx="29">
                  <c:v>56</c:v>
                </c:pt>
                <c:pt idx="30">
                  <c:v>3</c:v>
                </c:pt>
                <c:pt idx="31">
                  <c:v>107</c:v>
                </c:pt>
                <c:pt idx="32">
                  <c:v>56</c:v>
                </c:pt>
                <c:pt idx="33">
                  <c:v>2</c:v>
                </c:pt>
                <c:pt idx="34">
                  <c:v>72</c:v>
                </c:pt>
                <c:pt idx="35">
                  <c:v>23</c:v>
                </c:pt>
                <c:pt idx="36">
                  <c:v>34</c:v>
                </c:pt>
                <c:pt idx="37">
                  <c:v>289</c:v>
                </c:pt>
                <c:pt idx="38">
                  <c:v>247</c:v>
                </c:pt>
                <c:pt idx="39">
                  <c:v>186</c:v>
                </c:pt>
                <c:pt idx="40">
                  <c:v>64</c:v>
                </c:pt>
                <c:pt idx="41">
                  <c:v>35</c:v>
                </c:pt>
                <c:pt idx="42">
                  <c:v>96</c:v>
                </c:pt>
                <c:pt idx="43">
                  <c:v>41</c:v>
                </c:pt>
                <c:pt idx="44">
                  <c:v>55</c:v>
                </c:pt>
                <c:pt idx="45">
                  <c:v>146</c:v>
                </c:pt>
                <c:pt idx="46">
                  <c:v>32</c:v>
                </c:pt>
                <c:pt idx="47">
                  <c:v>55</c:v>
                </c:pt>
                <c:pt idx="48">
                  <c:v>57</c:v>
                </c:pt>
                <c:pt idx="49">
                  <c:v>7</c:v>
                </c:pt>
                <c:pt idx="50">
                  <c:v>124</c:v>
                </c:pt>
                <c:pt idx="51">
                  <c:v>169</c:v>
                </c:pt>
                <c:pt idx="52">
                  <c:v>6</c:v>
                </c:pt>
                <c:pt idx="53">
                  <c:v>51</c:v>
                </c:pt>
                <c:pt idx="54">
                  <c:v>13</c:v>
                </c:pt>
                <c:pt idx="55">
                  <c:v>100</c:v>
                </c:pt>
                <c:pt idx="56">
                  <c:v>139</c:v>
                </c:pt>
                <c:pt idx="57">
                  <c:v>117</c:v>
                </c:pt>
                <c:pt idx="58">
                  <c:v>39</c:v>
                </c:pt>
                <c:pt idx="59">
                  <c:v>86</c:v>
                </c:pt>
                <c:pt idx="60">
                  <c:v>2</c:v>
                </c:pt>
                <c:pt idx="61">
                  <c:v>19</c:v>
                </c:pt>
                <c:pt idx="62">
                  <c:v>192</c:v>
                </c:pt>
                <c:pt idx="63">
                  <c:v>2</c:v>
                </c:pt>
                <c:pt idx="64">
                  <c:v>86</c:v>
                </c:pt>
                <c:pt idx="65">
                  <c:v>30</c:v>
                </c:pt>
                <c:pt idx="66">
                  <c:v>179</c:v>
                </c:pt>
                <c:pt idx="67">
                  <c:v>26</c:v>
                </c:pt>
                <c:pt idx="68">
                  <c:v>55</c:v>
                </c:pt>
                <c:pt idx="69">
                  <c:v>74</c:v>
                </c:pt>
                <c:pt idx="70">
                  <c:v>143</c:v>
                </c:pt>
                <c:pt idx="71">
                  <c:v>34</c:v>
                </c:pt>
                <c:pt idx="72">
                  <c:v>30</c:v>
                </c:pt>
                <c:pt idx="73">
                  <c:v>177</c:v>
                </c:pt>
                <c:pt idx="74">
                  <c:v>34</c:v>
                </c:pt>
                <c:pt idx="75">
                  <c:v>18</c:v>
                </c:pt>
                <c:pt idx="76">
                  <c:v>267</c:v>
                </c:pt>
                <c:pt idx="77">
                  <c:v>64</c:v>
                </c:pt>
                <c:pt idx="78">
                  <c:v>155</c:v>
                </c:pt>
                <c:pt idx="79">
                  <c:v>46</c:v>
                </c:pt>
                <c:pt idx="80">
                  <c:v>83</c:v>
                </c:pt>
                <c:pt idx="81">
                  <c:v>128</c:v>
                </c:pt>
                <c:pt idx="82">
                  <c:v>20</c:v>
                </c:pt>
                <c:pt idx="83">
                  <c:v>40</c:v>
                </c:pt>
                <c:pt idx="84">
                  <c:v>46</c:v>
                </c:pt>
                <c:pt idx="85">
                  <c:v>1</c:v>
                </c:pt>
                <c:pt idx="86">
                  <c:v>196</c:v>
                </c:pt>
                <c:pt idx="87">
                  <c:v>188</c:v>
                </c:pt>
                <c:pt idx="88">
                  <c:v>17</c:v>
                </c:pt>
                <c:pt idx="89">
                  <c:v>146</c:v>
                </c:pt>
                <c:pt idx="90">
                  <c:v>110</c:v>
                </c:pt>
                <c:pt idx="91">
                  <c:v>68</c:v>
                </c:pt>
                <c:pt idx="92">
                  <c:v>73</c:v>
                </c:pt>
                <c:pt idx="93">
                  <c:v>92</c:v>
                </c:pt>
                <c:pt idx="94">
                  <c:v>171</c:v>
                </c:pt>
                <c:pt idx="95">
                  <c:v>134</c:v>
                </c:pt>
                <c:pt idx="96">
                  <c:v>320</c:v>
                </c:pt>
                <c:pt idx="97">
                  <c:v>118</c:v>
                </c:pt>
                <c:pt idx="98">
                  <c:v>30</c:v>
                </c:pt>
                <c:pt idx="99">
                  <c:v>30</c:v>
                </c:pt>
                <c:pt idx="100">
                  <c:v>189</c:v>
                </c:pt>
                <c:pt idx="101">
                  <c:v>55</c:v>
                </c:pt>
                <c:pt idx="102">
                  <c:v>55</c:v>
                </c:pt>
                <c:pt idx="103">
                  <c:v>16</c:v>
                </c:pt>
                <c:pt idx="104">
                  <c:v>24</c:v>
                </c:pt>
                <c:pt idx="105">
                  <c:v>8</c:v>
                </c:pt>
                <c:pt idx="106">
                  <c:v>10</c:v>
                </c:pt>
                <c:pt idx="107">
                  <c:v>0</c:v>
                </c:pt>
                <c:pt idx="108">
                  <c:v>12</c:v>
                </c:pt>
                <c:pt idx="109">
                  <c:v>32</c:v>
                </c:pt>
                <c:pt idx="110">
                  <c:v>182</c:v>
                </c:pt>
                <c:pt idx="111">
                  <c:v>1</c:v>
                </c:pt>
                <c:pt idx="112">
                  <c:v>122</c:v>
                </c:pt>
                <c:pt idx="113">
                  <c:v>40</c:v>
                </c:pt>
                <c:pt idx="114">
                  <c:v>116</c:v>
                </c:pt>
                <c:pt idx="115">
                  <c:v>123</c:v>
                </c:pt>
                <c:pt idx="116">
                  <c:v>40</c:v>
                </c:pt>
                <c:pt idx="117">
                  <c:v>105</c:v>
                </c:pt>
                <c:pt idx="118">
                  <c:v>443</c:v>
                </c:pt>
                <c:pt idx="119">
                  <c:v>2</c:v>
                </c:pt>
                <c:pt idx="120">
                  <c:v>317</c:v>
                </c:pt>
                <c:pt idx="121">
                  <c:v>286</c:v>
                </c:pt>
                <c:pt idx="122">
                  <c:v>68</c:v>
                </c:pt>
                <c:pt idx="123">
                  <c:v>148</c:v>
                </c:pt>
                <c:pt idx="124">
                  <c:v>68</c:v>
                </c:pt>
                <c:pt idx="125">
                  <c:v>30</c:v>
                </c:pt>
                <c:pt idx="126">
                  <c:v>14</c:v>
                </c:pt>
                <c:pt idx="127">
                  <c:v>110</c:v>
                </c:pt>
                <c:pt idx="128">
                  <c:v>117</c:v>
                </c:pt>
                <c:pt idx="129">
                  <c:v>85</c:v>
                </c:pt>
                <c:pt idx="130">
                  <c:v>1</c:v>
                </c:pt>
                <c:pt idx="131">
                  <c:v>25</c:v>
                </c:pt>
                <c:pt idx="132">
                  <c:v>289</c:v>
                </c:pt>
                <c:pt idx="133">
                  <c:v>28</c:v>
                </c:pt>
                <c:pt idx="134">
                  <c:v>80</c:v>
                </c:pt>
                <c:pt idx="135">
                  <c:v>11</c:v>
                </c:pt>
                <c:pt idx="136">
                  <c:v>162</c:v>
                </c:pt>
                <c:pt idx="137">
                  <c:v>155</c:v>
                </c:pt>
                <c:pt idx="138">
                  <c:v>82</c:v>
                </c:pt>
                <c:pt idx="139">
                  <c:v>27</c:v>
                </c:pt>
                <c:pt idx="140">
                  <c:v>13</c:v>
                </c:pt>
                <c:pt idx="141">
                  <c:v>245</c:v>
                </c:pt>
                <c:pt idx="142">
                  <c:v>11</c:v>
                </c:pt>
                <c:pt idx="143">
                  <c:v>266</c:v>
                </c:pt>
                <c:pt idx="144">
                  <c:v>39</c:v>
                </c:pt>
                <c:pt idx="145">
                  <c:v>13</c:v>
                </c:pt>
                <c:pt idx="146">
                  <c:v>112</c:v>
                </c:pt>
                <c:pt idx="147">
                  <c:v>88</c:v>
                </c:pt>
                <c:pt idx="148">
                  <c:v>56</c:v>
                </c:pt>
                <c:pt idx="149">
                  <c:v>73</c:v>
                </c:pt>
                <c:pt idx="150">
                  <c:v>80</c:v>
                </c:pt>
                <c:pt idx="151">
                  <c:v>130</c:v>
                </c:pt>
                <c:pt idx="152">
                  <c:v>69</c:v>
                </c:pt>
                <c:pt idx="153">
                  <c:v>273</c:v>
                </c:pt>
                <c:pt idx="154">
                  <c:v>55</c:v>
                </c:pt>
                <c:pt idx="155">
                  <c:v>4</c:v>
                </c:pt>
                <c:pt idx="156">
                  <c:v>97</c:v>
                </c:pt>
                <c:pt idx="157">
                  <c:v>44</c:v>
                </c:pt>
                <c:pt idx="158">
                  <c:v>31</c:v>
                </c:pt>
                <c:pt idx="159">
                  <c:v>0</c:v>
                </c:pt>
                <c:pt idx="160">
                  <c:v>62</c:v>
                </c:pt>
                <c:pt idx="161">
                  <c:v>86</c:v>
                </c:pt>
                <c:pt idx="162">
                  <c:v>3</c:v>
                </c:pt>
                <c:pt idx="163">
                  <c:v>197</c:v>
                </c:pt>
                <c:pt idx="164">
                  <c:v>143</c:v>
                </c:pt>
                <c:pt idx="165">
                  <c:v>23</c:v>
                </c:pt>
                <c:pt idx="166">
                  <c:v>8</c:v>
                </c:pt>
                <c:pt idx="167">
                  <c:v>13</c:v>
                </c:pt>
                <c:pt idx="168">
                  <c:v>280</c:v>
                </c:pt>
                <c:pt idx="169">
                  <c:v>11</c:v>
                </c:pt>
                <c:pt idx="170">
                  <c:v>317</c:v>
                </c:pt>
                <c:pt idx="171">
                  <c:v>185</c:v>
                </c:pt>
                <c:pt idx="172">
                  <c:v>160</c:v>
                </c:pt>
                <c:pt idx="173">
                  <c:v>104</c:v>
                </c:pt>
                <c:pt idx="174">
                  <c:v>11</c:v>
                </c:pt>
                <c:pt idx="175">
                  <c:v>2</c:v>
                </c:pt>
                <c:pt idx="176">
                  <c:v>14</c:v>
                </c:pt>
                <c:pt idx="177">
                  <c:v>22</c:v>
                </c:pt>
                <c:pt idx="178">
                  <c:v>37</c:v>
                </c:pt>
                <c:pt idx="179">
                  <c:v>292</c:v>
                </c:pt>
                <c:pt idx="180">
                  <c:v>11</c:v>
                </c:pt>
                <c:pt idx="181">
                  <c:v>86</c:v>
                </c:pt>
                <c:pt idx="182">
                  <c:v>109</c:v>
                </c:pt>
                <c:pt idx="183">
                  <c:v>72</c:v>
                </c:pt>
                <c:pt idx="184">
                  <c:v>196</c:v>
                </c:pt>
                <c:pt idx="185">
                  <c:v>56</c:v>
                </c:pt>
                <c:pt idx="186">
                  <c:v>189</c:v>
                </c:pt>
                <c:pt idx="187">
                  <c:v>126</c:v>
                </c:pt>
                <c:pt idx="188">
                  <c:v>303</c:v>
                </c:pt>
                <c:pt idx="189">
                  <c:v>81</c:v>
                </c:pt>
                <c:pt idx="190">
                  <c:v>54</c:v>
                </c:pt>
                <c:pt idx="191">
                  <c:v>15</c:v>
                </c:pt>
                <c:pt idx="192">
                  <c:v>86</c:v>
                </c:pt>
                <c:pt idx="193">
                  <c:v>161</c:v>
                </c:pt>
                <c:pt idx="194">
                  <c:v>147</c:v>
                </c:pt>
                <c:pt idx="195">
                  <c:v>92</c:v>
                </c:pt>
                <c:pt idx="196">
                  <c:v>87</c:v>
                </c:pt>
                <c:pt idx="197">
                  <c:v>109</c:v>
                </c:pt>
                <c:pt idx="198">
                  <c:v>127</c:v>
                </c:pt>
                <c:pt idx="199">
                  <c:v>418</c:v>
                </c:pt>
                <c:pt idx="200">
                  <c:v>156</c:v>
                </c:pt>
                <c:pt idx="201">
                  <c:v>80</c:v>
                </c:pt>
                <c:pt idx="202">
                  <c:v>211</c:v>
                </c:pt>
                <c:pt idx="203">
                  <c:v>273</c:v>
                </c:pt>
                <c:pt idx="204">
                  <c:v>58</c:v>
                </c:pt>
                <c:pt idx="205">
                  <c:v>433</c:v>
                </c:pt>
                <c:pt idx="206">
                  <c:v>111</c:v>
                </c:pt>
                <c:pt idx="207">
                  <c:v>34</c:v>
                </c:pt>
                <c:pt idx="208">
                  <c:v>17</c:v>
                </c:pt>
                <c:pt idx="209">
                  <c:v>4</c:v>
                </c:pt>
                <c:pt idx="210">
                  <c:v>6</c:v>
                </c:pt>
                <c:pt idx="211">
                  <c:v>32</c:v>
                </c:pt>
                <c:pt idx="212">
                  <c:v>4</c:v>
                </c:pt>
                <c:pt idx="213">
                  <c:v>195</c:v>
                </c:pt>
                <c:pt idx="214">
                  <c:v>119</c:v>
                </c:pt>
                <c:pt idx="215">
                  <c:v>13</c:v>
                </c:pt>
                <c:pt idx="216">
                  <c:v>59</c:v>
                </c:pt>
                <c:pt idx="217">
                  <c:v>78</c:v>
                </c:pt>
                <c:pt idx="218">
                  <c:v>335</c:v>
                </c:pt>
                <c:pt idx="219">
                  <c:v>103</c:v>
                </c:pt>
                <c:pt idx="220">
                  <c:v>0</c:v>
                </c:pt>
                <c:pt idx="221">
                  <c:v>118</c:v>
                </c:pt>
                <c:pt idx="222">
                  <c:v>56</c:v>
                </c:pt>
                <c:pt idx="223">
                  <c:v>107</c:v>
                </c:pt>
                <c:pt idx="224">
                  <c:v>70</c:v>
                </c:pt>
                <c:pt idx="225">
                  <c:v>76</c:v>
                </c:pt>
                <c:pt idx="226">
                  <c:v>144</c:v>
                </c:pt>
                <c:pt idx="227">
                  <c:v>4</c:v>
                </c:pt>
                <c:pt idx="228">
                  <c:v>15</c:v>
                </c:pt>
                <c:pt idx="229">
                  <c:v>32</c:v>
                </c:pt>
                <c:pt idx="230">
                  <c:v>49</c:v>
                </c:pt>
                <c:pt idx="231">
                  <c:v>77</c:v>
                </c:pt>
                <c:pt idx="232">
                  <c:v>22</c:v>
                </c:pt>
                <c:pt idx="233">
                  <c:v>0</c:v>
                </c:pt>
                <c:pt idx="234">
                  <c:v>58</c:v>
                </c:pt>
                <c:pt idx="235">
                  <c:v>4</c:v>
                </c:pt>
                <c:pt idx="236">
                  <c:v>117</c:v>
                </c:pt>
                <c:pt idx="237">
                  <c:v>36</c:v>
                </c:pt>
                <c:pt idx="238">
                  <c:v>35</c:v>
                </c:pt>
                <c:pt idx="239">
                  <c:v>31</c:v>
                </c:pt>
                <c:pt idx="240">
                  <c:v>79</c:v>
                </c:pt>
                <c:pt idx="241">
                  <c:v>1</c:v>
                </c:pt>
                <c:pt idx="242">
                  <c:v>21</c:v>
                </c:pt>
                <c:pt idx="243">
                  <c:v>12</c:v>
                </c:pt>
                <c:pt idx="244">
                  <c:v>33</c:v>
                </c:pt>
                <c:pt idx="245">
                  <c:v>164</c:v>
                </c:pt>
                <c:pt idx="246">
                  <c:v>78</c:v>
                </c:pt>
                <c:pt idx="247">
                  <c:v>18</c:v>
                </c:pt>
                <c:pt idx="248">
                  <c:v>21</c:v>
                </c:pt>
                <c:pt idx="249">
                  <c:v>0</c:v>
                </c:pt>
                <c:pt idx="250">
                  <c:v>152</c:v>
                </c:pt>
                <c:pt idx="251">
                  <c:v>43</c:v>
                </c:pt>
                <c:pt idx="252">
                  <c:v>177</c:v>
                </c:pt>
                <c:pt idx="253">
                  <c:v>47</c:v>
                </c:pt>
                <c:pt idx="254">
                  <c:v>57</c:v>
                </c:pt>
                <c:pt idx="255">
                  <c:v>60</c:v>
                </c:pt>
                <c:pt idx="256">
                  <c:v>0</c:v>
                </c:pt>
                <c:pt idx="257">
                  <c:v>102</c:v>
                </c:pt>
                <c:pt idx="258">
                  <c:v>71</c:v>
                </c:pt>
                <c:pt idx="259">
                  <c:v>111</c:v>
                </c:pt>
                <c:pt idx="260">
                  <c:v>1</c:v>
                </c:pt>
                <c:pt idx="261">
                  <c:v>4</c:v>
                </c:pt>
                <c:pt idx="262">
                  <c:v>25</c:v>
                </c:pt>
                <c:pt idx="263">
                  <c:v>209</c:v>
                </c:pt>
                <c:pt idx="264">
                  <c:v>93</c:v>
                </c:pt>
                <c:pt idx="265">
                  <c:v>53</c:v>
                </c:pt>
                <c:pt idx="266">
                  <c:v>1</c:v>
                </c:pt>
                <c:pt idx="267">
                  <c:v>4</c:v>
                </c:pt>
                <c:pt idx="268">
                  <c:v>302</c:v>
                </c:pt>
                <c:pt idx="269">
                  <c:v>122</c:v>
                </c:pt>
                <c:pt idx="270">
                  <c:v>16</c:v>
                </c:pt>
                <c:pt idx="271">
                  <c:v>28</c:v>
                </c:pt>
                <c:pt idx="272">
                  <c:v>161</c:v>
                </c:pt>
                <c:pt idx="273">
                  <c:v>57</c:v>
                </c:pt>
                <c:pt idx="274">
                  <c:v>19</c:v>
                </c:pt>
                <c:pt idx="275">
                  <c:v>109</c:v>
                </c:pt>
                <c:pt idx="276">
                  <c:v>239</c:v>
                </c:pt>
                <c:pt idx="277">
                  <c:v>33</c:v>
                </c:pt>
                <c:pt idx="278">
                  <c:v>11</c:v>
                </c:pt>
                <c:pt idx="279">
                  <c:v>40</c:v>
                </c:pt>
                <c:pt idx="280">
                  <c:v>45</c:v>
                </c:pt>
                <c:pt idx="281">
                  <c:v>41</c:v>
                </c:pt>
                <c:pt idx="282">
                  <c:v>167</c:v>
                </c:pt>
                <c:pt idx="283">
                  <c:v>62</c:v>
                </c:pt>
                <c:pt idx="284">
                  <c:v>113</c:v>
                </c:pt>
                <c:pt idx="285">
                  <c:v>1</c:v>
                </c:pt>
                <c:pt idx="286">
                  <c:v>84</c:v>
                </c:pt>
                <c:pt idx="287">
                  <c:v>68</c:v>
                </c:pt>
                <c:pt idx="288">
                  <c:v>9</c:v>
                </c:pt>
                <c:pt idx="289">
                  <c:v>245</c:v>
                </c:pt>
                <c:pt idx="290">
                  <c:v>80</c:v>
                </c:pt>
                <c:pt idx="291">
                  <c:v>7</c:v>
                </c:pt>
                <c:pt idx="292">
                  <c:v>128</c:v>
                </c:pt>
                <c:pt idx="293">
                  <c:v>100</c:v>
                </c:pt>
                <c:pt idx="294">
                  <c:v>118</c:v>
                </c:pt>
                <c:pt idx="295">
                  <c:v>166</c:v>
                </c:pt>
                <c:pt idx="296">
                  <c:v>41</c:v>
                </c:pt>
                <c:pt idx="297">
                  <c:v>174</c:v>
                </c:pt>
                <c:pt idx="298">
                  <c:v>27</c:v>
                </c:pt>
                <c:pt idx="299">
                  <c:v>2</c:v>
                </c:pt>
                <c:pt idx="300">
                  <c:v>37</c:v>
                </c:pt>
                <c:pt idx="301">
                  <c:v>188</c:v>
                </c:pt>
                <c:pt idx="302">
                  <c:v>68</c:v>
                </c:pt>
                <c:pt idx="303">
                  <c:v>189</c:v>
                </c:pt>
                <c:pt idx="304">
                  <c:v>10</c:v>
                </c:pt>
                <c:pt idx="305">
                  <c:v>19</c:v>
                </c:pt>
                <c:pt idx="306">
                  <c:v>61</c:v>
                </c:pt>
                <c:pt idx="307">
                  <c:v>95</c:v>
                </c:pt>
                <c:pt idx="308">
                  <c:v>83</c:v>
                </c:pt>
                <c:pt idx="309">
                  <c:v>37</c:v>
                </c:pt>
                <c:pt idx="310">
                  <c:v>19</c:v>
                </c:pt>
                <c:pt idx="311">
                  <c:v>22</c:v>
                </c:pt>
                <c:pt idx="312">
                  <c:v>22</c:v>
                </c:pt>
                <c:pt idx="313">
                  <c:v>151</c:v>
                </c:pt>
                <c:pt idx="314">
                  <c:v>26</c:v>
                </c:pt>
                <c:pt idx="315">
                  <c:v>27</c:v>
                </c:pt>
                <c:pt idx="316">
                  <c:v>79</c:v>
                </c:pt>
                <c:pt idx="317">
                  <c:v>247</c:v>
                </c:pt>
                <c:pt idx="318">
                  <c:v>189</c:v>
                </c:pt>
                <c:pt idx="319">
                  <c:v>320</c:v>
                </c:pt>
                <c:pt idx="320">
                  <c:v>27</c:v>
                </c:pt>
                <c:pt idx="321">
                  <c:v>51</c:v>
                </c:pt>
                <c:pt idx="322">
                  <c:v>245</c:v>
                </c:pt>
                <c:pt idx="323">
                  <c:v>52</c:v>
                </c:pt>
                <c:pt idx="324">
                  <c:v>13</c:v>
                </c:pt>
                <c:pt idx="325">
                  <c:v>46</c:v>
                </c:pt>
                <c:pt idx="326">
                  <c:v>84</c:v>
                </c:pt>
                <c:pt idx="327">
                  <c:v>188</c:v>
                </c:pt>
                <c:pt idx="328">
                  <c:v>19</c:v>
                </c:pt>
                <c:pt idx="329">
                  <c:v>67</c:v>
                </c:pt>
                <c:pt idx="330">
                  <c:v>0</c:v>
                </c:pt>
                <c:pt idx="331">
                  <c:v>273</c:v>
                </c:pt>
                <c:pt idx="332">
                  <c:v>110</c:v>
                </c:pt>
                <c:pt idx="333">
                  <c:v>0</c:v>
                </c:pt>
                <c:pt idx="334">
                  <c:v>32</c:v>
                </c:pt>
                <c:pt idx="335">
                  <c:v>282</c:v>
                </c:pt>
                <c:pt idx="336">
                  <c:v>38</c:v>
                </c:pt>
                <c:pt idx="337">
                  <c:v>175</c:v>
                </c:pt>
                <c:pt idx="338">
                  <c:v>143</c:v>
                </c:pt>
                <c:pt idx="339">
                  <c:v>127</c:v>
                </c:pt>
                <c:pt idx="340">
                  <c:v>0</c:v>
                </c:pt>
                <c:pt idx="341">
                  <c:v>95</c:v>
                </c:pt>
                <c:pt idx="342">
                  <c:v>118</c:v>
                </c:pt>
                <c:pt idx="343">
                  <c:v>45</c:v>
                </c:pt>
                <c:pt idx="344">
                  <c:v>69</c:v>
                </c:pt>
                <c:pt idx="345">
                  <c:v>57</c:v>
                </c:pt>
                <c:pt idx="346">
                  <c:v>5</c:v>
                </c:pt>
                <c:pt idx="347">
                  <c:v>39</c:v>
                </c:pt>
                <c:pt idx="348">
                  <c:v>0</c:v>
                </c:pt>
                <c:pt idx="349">
                  <c:v>89</c:v>
                </c:pt>
                <c:pt idx="350">
                  <c:v>85</c:v>
                </c:pt>
                <c:pt idx="351">
                  <c:v>4</c:v>
                </c:pt>
                <c:pt idx="352">
                  <c:v>11</c:v>
                </c:pt>
                <c:pt idx="353">
                  <c:v>12</c:v>
                </c:pt>
                <c:pt idx="354">
                  <c:v>77</c:v>
                </c:pt>
                <c:pt idx="355">
                  <c:v>14</c:v>
                </c:pt>
                <c:pt idx="356">
                  <c:v>1</c:v>
                </c:pt>
                <c:pt idx="357">
                  <c:v>133</c:v>
                </c:pt>
                <c:pt idx="358">
                  <c:v>3</c:v>
                </c:pt>
                <c:pt idx="359">
                  <c:v>19</c:v>
                </c:pt>
                <c:pt idx="360">
                  <c:v>86</c:v>
                </c:pt>
                <c:pt idx="361">
                  <c:v>23</c:v>
                </c:pt>
                <c:pt idx="362">
                  <c:v>65</c:v>
                </c:pt>
                <c:pt idx="363">
                  <c:v>1</c:v>
                </c:pt>
                <c:pt idx="364">
                  <c:v>66</c:v>
                </c:pt>
                <c:pt idx="365">
                  <c:v>50</c:v>
                </c:pt>
                <c:pt idx="366">
                  <c:v>87</c:v>
                </c:pt>
                <c:pt idx="367">
                  <c:v>159</c:v>
                </c:pt>
                <c:pt idx="368">
                  <c:v>39</c:v>
                </c:pt>
                <c:pt idx="369">
                  <c:v>386</c:v>
                </c:pt>
                <c:pt idx="370">
                  <c:v>22</c:v>
                </c:pt>
                <c:pt idx="371">
                  <c:v>102</c:v>
                </c:pt>
                <c:pt idx="372">
                  <c:v>86</c:v>
                </c:pt>
                <c:pt idx="373">
                  <c:v>56</c:v>
                </c:pt>
                <c:pt idx="374">
                  <c:v>36</c:v>
                </c:pt>
                <c:pt idx="375">
                  <c:v>50</c:v>
                </c:pt>
                <c:pt idx="376">
                  <c:v>115</c:v>
                </c:pt>
                <c:pt idx="377">
                  <c:v>0</c:v>
                </c:pt>
                <c:pt idx="378">
                  <c:v>35</c:v>
                </c:pt>
                <c:pt idx="379">
                  <c:v>17</c:v>
                </c:pt>
                <c:pt idx="380">
                  <c:v>237</c:v>
                </c:pt>
                <c:pt idx="381">
                  <c:v>125</c:v>
                </c:pt>
                <c:pt idx="382">
                  <c:v>32</c:v>
                </c:pt>
                <c:pt idx="383">
                  <c:v>5</c:v>
                </c:pt>
                <c:pt idx="384">
                  <c:v>91</c:v>
                </c:pt>
                <c:pt idx="385">
                  <c:v>102</c:v>
                </c:pt>
                <c:pt idx="386">
                  <c:v>9</c:v>
                </c:pt>
                <c:pt idx="387">
                  <c:v>155</c:v>
                </c:pt>
                <c:pt idx="388">
                  <c:v>0</c:v>
                </c:pt>
                <c:pt idx="389">
                  <c:v>11</c:v>
                </c:pt>
                <c:pt idx="390">
                  <c:v>0</c:v>
                </c:pt>
                <c:pt idx="391">
                  <c:v>86</c:v>
                </c:pt>
                <c:pt idx="392">
                  <c:v>18</c:v>
                </c:pt>
                <c:pt idx="393">
                  <c:v>58</c:v>
                </c:pt>
                <c:pt idx="394">
                  <c:v>54</c:v>
                </c:pt>
                <c:pt idx="395">
                  <c:v>25</c:v>
                </c:pt>
                <c:pt idx="396">
                  <c:v>107</c:v>
                </c:pt>
                <c:pt idx="397">
                  <c:v>100</c:v>
                </c:pt>
                <c:pt idx="398">
                  <c:v>273</c:v>
                </c:pt>
                <c:pt idx="399">
                  <c:v>29</c:v>
                </c:pt>
                <c:pt idx="400">
                  <c:v>221</c:v>
                </c:pt>
                <c:pt idx="401">
                  <c:v>213</c:v>
                </c:pt>
                <c:pt idx="402">
                  <c:v>198</c:v>
                </c:pt>
                <c:pt idx="403">
                  <c:v>81</c:v>
                </c:pt>
                <c:pt idx="404">
                  <c:v>23</c:v>
                </c:pt>
                <c:pt idx="405">
                  <c:v>26</c:v>
                </c:pt>
                <c:pt idx="406">
                  <c:v>20</c:v>
                </c:pt>
                <c:pt idx="407">
                  <c:v>124</c:v>
                </c:pt>
                <c:pt idx="408">
                  <c:v>85</c:v>
                </c:pt>
                <c:pt idx="409">
                  <c:v>167</c:v>
                </c:pt>
                <c:pt idx="410">
                  <c:v>71</c:v>
                </c:pt>
                <c:pt idx="411">
                  <c:v>48</c:v>
                </c:pt>
                <c:pt idx="412">
                  <c:v>37</c:v>
                </c:pt>
                <c:pt idx="413">
                  <c:v>76</c:v>
                </c:pt>
                <c:pt idx="414">
                  <c:v>13</c:v>
                </c:pt>
                <c:pt idx="415">
                  <c:v>3</c:v>
                </c:pt>
                <c:pt idx="416">
                  <c:v>75</c:v>
                </c:pt>
                <c:pt idx="417">
                  <c:v>5</c:v>
                </c:pt>
                <c:pt idx="418">
                  <c:v>386</c:v>
                </c:pt>
                <c:pt idx="419">
                  <c:v>180</c:v>
                </c:pt>
                <c:pt idx="420">
                  <c:v>122</c:v>
                </c:pt>
                <c:pt idx="421">
                  <c:v>224</c:v>
                </c:pt>
                <c:pt idx="422">
                  <c:v>24</c:v>
                </c:pt>
                <c:pt idx="423">
                  <c:v>162</c:v>
                </c:pt>
                <c:pt idx="424">
                  <c:v>25</c:v>
                </c:pt>
                <c:pt idx="425">
                  <c:v>1</c:v>
                </c:pt>
                <c:pt idx="426">
                  <c:v>236</c:v>
                </c:pt>
                <c:pt idx="427">
                  <c:v>120</c:v>
                </c:pt>
                <c:pt idx="428">
                  <c:v>12</c:v>
                </c:pt>
                <c:pt idx="429">
                  <c:v>224</c:v>
                </c:pt>
                <c:pt idx="430">
                  <c:v>33</c:v>
                </c:pt>
                <c:pt idx="431">
                  <c:v>24</c:v>
                </c:pt>
                <c:pt idx="432">
                  <c:v>22</c:v>
                </c:pt>
                <c:pt idx="433">
                  <c:v>10</c:v>
                </c:pt>
                <c:pt idx="434">
                  <c:v>15</c:v>
                </c:pt>
                <c:pt idx="435">
                  <c:v>230</c:v>
                </c:pt>
                <c:pt idx="436">
                  <c:v>54</c:v>
                </c:pt>
                <c:pt idx="437">
                  <c:v>45</c:v>
                </c:pt>
                <c:pt idx="438">
                  <c:v>63</c:v>
                </c:pt>
                <c:pt idx="439">
                  <c:v>166</c:v>
                </c:pt>
                <c:pt idx="440">
                  <c:v>148</c:v>
                </c:pt>
                <c:pt idx="441">
                  <c:v>136</c:v>
                </c:pt>
                <c:pt idx="442">
                  <c:v>37</c:v>
                </c:pt>
                <c:pt idx="443">
                  <c:v>66</c:v>
                </c:pt>
                <c:pt idx="444">
                  <c:v>11</c:v>
                </c:pt>
                <c:pt idx="445">
                  <c:v>1</c:v>
                </c:pt>
                <c:pt idx="446">
                  <c:v>7</c:v>
                </c:pt>
                <c:pt idx="447">
                  <c:v>43</c:v>
                </c:pt>
                <c:pt idx="448">
                  <c:v>5</c:v>
                </c:pt>
                <c:pt idx="449">
                  <c:v>247</c:v>
                </c:pt>
                <c:pt idx="450">
                  <c:v>24</c:v>
                </c:pt>
                <c:pt idx="451">
                  <c:v>53</c:v>
                </c:pt>
                <c:pt idx="452">
                  <c:v>52</c:v>
                </c:pt>
                <c:pt idx="453">
                  <c:v>56</c:v>
                </c:pt>
                <c:pt idx="454">
                  <c:v>12</c:v>
                </c:pt>
                <c:pt idx="455">
                  <c:v>230</c:v>
                </c:pt>
                <c:pt idx="456">
                  <c:v>92</c:v>
                </c:pt>
                <c:pt idx="457">
                  <c:v>2</c:v>
                </c:pt>
                <c:pt idx="458">
                  <c:v>74</c:v>
                </c:pt>
                <c:pt idx="459">
                  <c:v>82</c:v>
                </c:pt>
                <c:pt idx="460">
                  <c:v>37</c:v>
                </c:pt>
                <c:pt idx="461">
                  <c:v>147</c:v>
                </c:pt>
                <c:pt idx="462">
                  <c:v>2</c:v>
                </c:pt>
                <c:pt idx="463">
                  <c:v>166</c:v>
                </c:pt>
                <c:pt idx="464">
                  <c:v>28</c:v>
                </c:pt>
                <c:pt idx="465">
                  <c:v>309</c:v>
                </c:pt>
                <c:pt idx="466">
                  <c:v>54</c:v>
                </c:pt>
                <c:pt idx="467">
                  <c:v>49</c:v>
                </c:pt>
                <c:pt idx="468">
                  <c:v>1</c:v>
                </c:pt>
                <c:pt idx="469">
                  <c:v>0</c:v>
                </c:pt>
                <c:pt idx="470">
                  <c:v>4</c:v>
                </c:pt>
                <c:pt idx="471">
                  <c:v>60</c:v>
                </c:pt>
                <c:pt idx="472">
                  <c:v>157</c:v>
                </c:pt>
                <c:pt idx="473">
                  <c:v>268</c:v>
                </c:pt>
                <c:pt idx="474">
                  <c:v>38</c:v>
                </c:pt>
                <c:pt idx="475">
                  <c:v>30</c:v>
                </c:pt>
                <c:pt idx="476">
                  <c:v>2</c:v>
                </c:pt>
                <c:pt idx="477">
                  <c:v>217</c:v>
                </c:pt>
                <c:pt idx="478">
                  <c:v>143</c:v>
                </c:pt>
                <c:pt idx="479">
                  <c:v>179</c:v>
                </c:pt>
                <c:pt idx="480">
                  <c:v>188</c:v>
                </c:pt>
                <c:pt idx="481">
                  <c:v>94</c:v>
                </c:pt>
                <c:pt idx="482">
                  <c:v>32</c:v>
                </c:pt>
                <c:pt idx="483">
                  <c:v>2</c:v>
                </c:pt>
                <c:pt idx="484">
                  <c:v>70</c:v>
                </c:pt>
                <c:pt idx="485">
                  <c:v>4</c:v>
                </c:pt>
                <c:pt idx="486">
                  <c:v>34</c:v>
                </c:pt>
                <c:pt idx="487">
                  <c:v>16</c:v>
                </c:pt>
                <c:pt idx="488">
                  <c:v>24</c:v>
                </c:pt>
                <c:pt idx="489">
                  <c:v>78</c:v>
                </c:pt>
                <c:pt idx="490">
                  <c:v>305</c:v>
                </c:pt>
                <c:pt idx="491">
                  <c:v>37</c:v>
                </c:pt>
                <c:pt idx="492">
                  <c:v>98</c:v>
                </c:pt>
                <c:pt idx="493">
                  <c:v>14</c:v>
                </c:pt>
                <c:pt idx="494">
                  <c:v>44</c:v>
                </c:pt>
                <c:pt idx="495">
                  <c:v>1</c:v>
                </c:pt>
                <c:pt idx="496">
                  <c:v>213</c:v>
                </c:pt>
                <c:pt idx="497">
                  <c:v>5</c:v>
                </c:pt>
                <c:pt idx="498">
                  <c:v>55</c:v>
                </c:pt>
                <c:pt idx="499">
                  <c:v>139</c:v>
                </c:pt>
                <c:pt idx="500">
                  <c:v>44</c:v>
                </c:pt>
                <c:pt idx="501">
                  <c:v>18</c:v>
                </c:pt>
                <c:pt idx="502">
                  <c:v>0</c:v>
                </c:pt>
                <c:pt idx="503">
                  <c:v>192</c:v>
                </c:pt>
                <c:pt idx="504">
                  <c:v>152</c:v>
                </c:pt>
                <c:pt idx="505">
                  <c:v>42</c:v>
                </c:pt>
                <c:pt idx="506">
                  <c:v>209</c:v>
                </c:pt>
                <c:pt idx="507">
                  <c:v>69</c:v>
                </c:pt>
                <c:pt idx="508">
                  <c:v>80</c:v>
                </c:pt>
                <c:pt idx="509">
                  <c:v>49</c:v>
                </c:pt>
                <c:pt idx="510">
                  <c:v>143</c:v>
                </c:pt>
                <c:pt idx="511">
                  <c:v>67</c:v>
                </c:pt>
                <c:pt idx="512">
                  <c:v>41</c:v>
                </c:pt>
                <c:pt idx="513">
                  <c:v>154</c:v>
                </c:pt>
                <c:pt idx="514">
                  <c:v>55</c:v>
                </c:pt>
                <c:pt idx="515">
                  <c:v>2</c:v>
                </c:pt>
                <c:pt idx="516">
                  <c:v>99</c:v>
                </c:pt>
                <c:pt idx="517">
                  <c:v>14</c:v>
                </c:pt>
                <c:pt idx="518">
                  <c:v>0</c:v>
                </c:pt>
                <c:pt idx="519">
                  <c:v>22</c:v>
                </c:pt>
                <c:pt idx="520">
                  <c:v>7</c:v>
                </c:pt>
                <c:pt idx="521">
                  <c:v>84</c:v>
                </c:pt>
                <c:pt idx="522">
                  <c:v>109</c:v>
                </c:pt>
                <c:pt idx="523">
                  <c:v>71</c:v>
                </c:pt>
                <c:pt idx="524">
                  <c:v>4</c:v>
                </c:pt>
                <c:pt idx="525">
                  <c:v>71</c:v>
                </c:pt>
                <c:pt idx="526">
                  <c:v>58</c:v>
                </c:pt>
                <c:pt idx="527">
                  <c:v>133</c:v>
                </c:pt>
                <c:pt idx="528">
                  <c:v>27</c:v>
                </c:pt>
                <c:pt idx="529">
                  <c:v>27</c:v>
                </c:pt>
                <c:pt idx="530">
                  <c:v>9</c:v>
                </c:pt>
                <c:pt idx="531">
                  <c:v>86</c:v>
                </c:pt>
                <c:pt idx="532">
                  <c:v>13</c:v>
                </c:pt>
                <c:pt idx="533">
                  <c:v>0</c:v>
                </c:pt>
                <c:pt idx="534">
                  <c:v>5</c:v>
                </c:pt>
                <c:pt idx="535">
                  <c:v>82</c:v>
                </c:pt>
                <c:pt idx="536">
                  <c:v>330</c:v>
                </c:pt>
                <c:pt idx="537">
                  <c:v>3</c:v>
                </c:pt>
                <c:pt idx="538">
                  <c:v>35</c:v>
                </c:pt>
                <c:pt idx="539">
                  <c:v>12</c:v>
                </c:pt>
                <c:pt idx="540">
                  <c:v>0</c:v>
                </c:pt>
                <c:pt idx="541">
                  <c:v>7</c:v>
                </c:pt>
                <c:pt idx="542">
                  <c:v>47</c:v>
                </c:pt>
                <c:pt idx="543">
                  <c:v>117</c:v>
                </c:pt>
                <c:pt idx="544">
                  <c:v>2</c:v>
                </c:pt>
                <c:pt idx="545">
                  <c:v>26</c:v>
                </c:pt>
                <c:pt idx="546">
                  <c:v>75</c:v>
                </c:pt>
                <c:pt idx="547">
                  <c:v>256</c:v>
                </c:pt>
                <c:pt idx="548">
                  <c:v>137</c:v>
                </c:pt>
                <c:pt idx="549">
                  <c:v>92</c:v>
                </c:pt>
                <c:pt idx="550">
                  <c:v>1</c:v>
                </c:pt>
                <c:pt idx="551">
                  <c:v>18</c:v>
                </c:pt>
                <c:pt idx="552">
                  <c:v>78</c:v>
                </c:pt>
                <c:pt idx="553">
                  <c:v>8</c:v>
                </c:pt>
                <c:pt idx="554">
                  <c:v>30</c:v>
                </c:pt>
                <c:pt idx="555">
                  <c:v>117</c:v>
                </c:pt>
                <c:pt idx="556">
                  <c:v>10</c:v>
                </c:pt>
                <c:pt idx="557">
                  <c:v>56</c:v>
                </c:pt>
                <c:pt idx="558">
                  <c:v>8</c:v>
                </c:pt>
                <c:pt idx="559">
                  <c:v>386</c:v>
                </c:pt>
                <c:pt idx="560">
                  <c:v>273</c:v>
                </c:pt>
                <c:pt idx="561">
                  <c:v>33</c:v>
                </c:pt>
                <c:pt idx="562">
                  <c:v>184</c:v>
                </c:pt>
                <c:pt idx="563">
                  <c:v>232</c:v>
                </c:pt>
                <c:pt idx="564">
                  <c:v>188</c:v>
                </c:pt>
                <c:pt idx="565">
                  <c:v>102</c:v>
                </c:pt>
                <c:pt idx="566">
                  <c:v>45</c:v>
                </c:pt>
                <c:pt idx="567">
                  <c:v>1</c:v>
                </c:pt>
                <c:pt idx="568">
                  <c:v>63</c:v>
                </c:pt>
                <c:pt idx="569">
                  <c:v>89</c:v>
                </c:pt>
                <c:pt idx="570">
                  <c:v>63</c:v>
                </c:pt>
                <c:pt idx="571">
                  <c:v>304</c:v>
                </c:pt>
                <c:pt idx="572">
                  <c:v>1</c:v>
                </c:pt>
                <c:pt idx="573">
                  <c:v>51</c:v>
                </c:pt>
                <c:pt idx="574">
                  <c:v>110</c:v>
                </c:pt>
                <c:pt idx="575">
                  <c:v>20</c:v>
                </c:pt>
                <c:pt idx="576">
                  <c:v>50</c:v>
                </c:pt>
                <c:pt idx="577">
                  <c:v>48</c:v>
                </c:pt>
                <c:pt idx="578">
                  <c:v>96</c:v>
                </c:pt>
                <c:pt idx="579">
                  <c:v>148</c:v>
                </c:pt>
                <c:pt idx="580">
                  <c:v>25</c:v>
                </c:pt>
                <c:pt idx="581">
                  <c:v>148</c:v>
                </c:pt>
                <c:pt idx="582">
                  <c:v>114</c:v>
                </c:pt>
                <c:pt idx="583">
                  <c:v>257</c:v>
                </c:pt>
                <c:pt idx="584">
                  <c:v>105</c:v>
                </c:pt>
                <c:pt idx="585">
                  <c:v>4</c:v>
                </c:pt>
                <c:pt idx="586">
                  <c:v>67</c:v>
                </c:pt>
                <c:pt idx="587">
                  <c:v>61</c:v>
                </c:pt>
                <c:pt idx="588">
                  <c:v>79</c:v>
                </c:pt>
                <c:pt idx="589">
                  <c:v>74</c:v>
                </c:pt>
                <c:pt idx="590">
                  <c:v>120</c:v>
                </c:pt>
                <c:pt idx="591">
                  <c:v>157</c:v>
                </c:pt>
                <c:pt idx="592">
                  <c:v>4</c:v>
                </c:pt>
                <c:pt idx="593">
                  <c:v>46</c:v>
                </c:pt>
                <c:pt idx="594">
                  <c:v>41</c:v>
                </c:pt>
                <c:pt idx="595">
                  <c:v>84</c:v>
                </c:pt>
                <c:pt idx="596">
                  <c:v>245</c:v>
                </c:pt>
                <c:pt idx="597">
                  <c:v>27</c:v>
                </c:pt>
                <c:pt idx="598">
                  <c:v>74</c:v>
                </c:pt>
                <c:pt idx="599">
                  <c:v>85</c:v>
                </c:pt>
                <c:pt idx="600">
                  <c:v>6</c:v>
                </c:pt>
                <c:pt idx="601">
                  <c:v>256</c:v>
                </c:pt>
                <c:pt idx="602">
                  <c:v>265</c:v>
                </c:pt>
                <c:pt idx="603">
                  <c:v>64</c:v>
                </c:pt>
                <c:pt idx="604">
                  <c:v>0</c:v>
                </c:pt>
                <c:pt idx="605">
                  <c:v>91</c:v>
                </c:pt>
                <c:pt idx="606">
                  <c:v>127</c:v>
                </c:pt>
                <c:pt idx="607">
                  <c:v>73</c:v>
                </c:pt>
                <c:pt idx="608">
                  <c:v>36</c:v>
                </c:pt>
                <c:pt idx="609">
                  <c:v>17</c:v>
                </c:pt>
                <c:pt idx="610">
                  <c:v>164</c:v>
                </c:pt>
                <c:pt idx="611">
                  <c:v>0</c:v>
                </c:pt>
                <c:pt idx="612">
                  <c:v>37</c:v>
                </c:pt>
                <c:pt idx="613">
                  <c:v>191</c:v>
                </c:pt>
                <c:pt idx="614">
                  <c:v>33</c:v>
                </c:pt>
                <c:pt idx="615">
                  <c:v>32</c:v>
                </c:pt>
                <c:pt idx="616">
                  <c:v>3</c:v>
                </c:pt>
                <c:pt idx="617">
                  <c:v>53</c:v>
                </c:pt>
                <c:pt idx="618">
                  <c:v>8</c:v>
                </c:pt>
                <c:pt idx="619">
                  <c:v>107</c:v>
                </c:pt>
                <c:pt idx="620">
                  <c:v>55</c:v>
                </c:pt>
                <c:pt idx="621">
                  <c:v>84</c:v>
                </c:pt>
                <c:pt idx="622">
                  <c:v>0</c:v>
                </c:pt>
                <c:pt idx="623">
                  <c:v>1</c:v>
                </c:pt>
                <c:pt idx="624">
                  <c:v>29</c:v>
                </c:pt>
                <c:pt idx="625">
                  <c:v>41</c:v>
                </c:pt>
                <c:pt idx="626">
                  <c:v>86</c:v>
                </c:pt>
                <c:pt idx="627">
                  <c:v>167</c:v>
                </c:pt>
                <c:pt idx="628">
                  <c:v>34</c:v>
                </c:pt>
                <c:pt idx="629">
                  <c:v>101</c:v>
                </c:pt>
                <c:pt idx="630">
                  <c:v>259</c:v>
                </c:pt>
                <c:pt idx="631">
                  <c:v>122</c:v>
                </c:pt>
                <c:pt idx="632">
                  <c:v>1</c:v>
                </c:pt>
                <c:pt idx="633">
                  <c:v>107</c:v>
                </c:pt>
                <c:pt idx="634">
                  <c:v>35</c:v>
                </c:pt>
                <c:pt idx="635">
                  <c:v>192</c:v>
                </c:pt>
                <c:pt idx="636">
                  <c:v>4</c:v>
                </c:pt>
                <c:pt idx="637">
                  <c:v>85</c:v>
                </c:pt>
                <c:pt idx="638">
                  <c:v>137</c:v>
                </c:pt>
                <c:pt idx="639">
                  <c:v>74</c:v>
                </c:pt>
                <c:pt idx="640">
                  <c:v>116</c:v>
                </c:pt>
                <c:pt idx="641">
                  <c:v>34</c:v>
                </c:pt>
                <c:pt idx="642">
                  <c:v>56</c:v>
                </c:pt>
                <c:pt idx="643">
                  <c:v>149</c:v>
                </c:pt>
                <c:pt idx="644">
                  <c:v>12</c:v>
                </c:pt>
                <c:pt idx="645">
                  <c:v>52</c:v>
                </c:pt>
                <c:pt idx="646">
                  <c:v>191</c:v>
                </c:pt>
                <c:pt idx="647">
                  <c:v>37</c:v>
                </c:pt>
                <c:pt idx="648">
                  <c:v>57</c:v>
                </c:pt>
                <c:pt idx="649">
                  <c:v>9</c:v>
                </c:pt>
                <c:pt idx="650">
                  <c:v>7</c:v>
                </c:pt>
                <c:pt idx="651">
                  <c:v>78</c:v>
                </c:pt>
                <c:pt idx="652">
                  <c:v>0</c:v>
                </c:pt>
                <c:pt idx="653">
                  <c:v>78</c:v>
                </c:pt>
                <c:pt idx="654">
                  <c:v>31</c:v>
                </c:pt>
                <c:pt idx="655">
                  <c:v>37</c:v>
                </c:pt>
                <c:pt idx="656">
                  <c:v>8</c:v>
                </c:pt>
                <c:pt idx="657">
                  <c:v>32</c:v>
                </c:pt>
                <c:pt idx="658">
                  <c:v>48</c:v>
                </c:pt>
                <c:pt idx="659">
                  <c:v>89</c:v>
                </c:pt>
                <c:pt idx="660">
                  <c:v>0</c:v>
                </c:pt>
                <c:pt idx="661">
                  <c:v>15</c:v>
                </c:pt>
                <c:pt idx="662">
                  <c:v>10</c:v>
                </c:pt>
                <c:pt idx="663">
                  <c:v>43</c:v>
                </c:pt>
                <c:pt idx="664">
                  <c:v>27</c:v>
                </c:pt>
                <c:pt idx="665">
                  <c:v>386</c:v>
                </c:pt>
                <c:pt idx="666">
                  <c:v>72</c:v>
                </c:pt>
                <c:pt idx="667">
                  <c:v>10</c:v>
                </c:pt>
                <c:pt idx="668">
                  <c:v>37</c:v>
                </c:pt>
                <c:pt idx="669">
                  <c:v>170</c:v>
                </c:pt>
                <c:pt idx="670">
                  <c:v>265</c:v>
                </c:pt>
                <c:pt idx="671">
                  <c:v>49</c:v>
                </c:pt>
                <c:pt idx="672">
                  <c:v>51</c:v>
                </c:pt>
                <c:pt idx="673">
                  <c:v>3</c:v>
                </c:pt>
                <c:pt idx="674">
                  <c:v>265</c:v>
                </c:pt>
                <c:pt idx="675">
                  <c:v>34</c:v>
                </c:pt>
                <c:pt idx="676">
                  <c:v>1</c:v>
                </c:pt>
                <c:pt idx="677">
                  <c:v>77</c:v>
                </c:pt>
                <c:pt idx="678">
                  <c:v>60</c:v>
                </c:pt>
                <c:pt idx="679">
                  <c:v>56</c:v>
                </c:pt>
                <c:pt idx="680">
                  <c:v>0</c:v>
                </c:pt>
                <c:pt idx="681">
                  <c:v>136</c:v>
                </c:pt>
                <c:pt idx="682">
                  <c:v>4</c:v>
                </c:pt>
                <c:pt idx="683">
                  <c:v>68</c:v>
                </c:pt>
                <c:pt idx="684">
                  <c:v>1</c:v>
                </c:pt>
                <c:pt idx="685">
                  <c:v>61</c:v>
                </c:pt>
                <c:pt idx="686">
                  <c:v>40</c:v>
                </c:pt>
                <c:pt idx="687">
                  <c:v>6</c:v>
                </c:pt>
                <c:pt idx="688">
                  <c:v>58</c:v>
                </c:pt>
                <c:pt idx="689">
                  <c:v>35</c:v>
                </c:pt>
                <c:pt idx="690">
                  <c:v>177</c:v>
                </c:pt>
                <c:pt idx="691">
                  <c:v>13</c:v>
                </c:pt>
                <c:pt idx="692">
                  <c:v>245</c:v>
                </c:pt>
                <c:pt idx="693">
                  <c:v>189</c:v>
                </c:pt>
                <c:pt idx="694">
                  <c:v>271</c:v>
                </c:pt>
                <c:pt idx="695">
                  <c:v>257</c:v>
                </c:pt>
                <c:pt idx="696">
                  <c:v>207</c:v>
                </c:pt>
                <c:pt idx="697">
                  <c:v>108</c:v>
                </c:pt>
                <c:pt idx="698">
                  <c:v>39</c:v>
                </c:pt>
                <c:pt idx="699">
                  <c:v>11</c:v>
                </c:pt>
              </c:numCache>
            </c:numRef>
          </c:xVal>
          <c:yVal>
            <c:numRef>
              <c:f>Reservation_Dataset_Cleaned!$K$2:$K$701</c:f>
              <c:numCache>
                <c:formatCode>General</c:formatCode>
                <c:ptCount val="700"/>
                <c:pt idx="0">
                  <c:v>65</c:v>
                </c:pt>
                <c:pt idx="1">
                  <c:v>106.68</c:v>
                </c:pt>
                <c:pt idx="2">
                  <c:v>60</c:v>
                </c:pt>
                <c:pt idx="3">
                  <c:v>100</c:v>
                </c:pt>
                <c:pt idx="4">
                  <c:v>94.5</c:v>
                </c:pt>
                <c:pt idx="5">
                  <c:v>115</c:v>
                </c:pt>
                <c:pt idx="6">
                  <c:v>107.55</c:v>
                </c:pt>
                <c:pt idx="7">
                  <c:v>105.61</c:v>
                </c:pt>
                <c:pt idx="8">
                  <c:v>96.9</c:v>
                </c:pt>
                <c:pt idx="9">
                  <c:v>133.44</c:v>
                </c:pt>
                <c:pt idx="10">
                  <c:v>85.03</c:v>
                </c:pt>
                <c:pt idx="11">
                  <c:v>140.4</c:v>
                </c:pt>
                <c:pt idx="12">
                  <c:v>88</c:v>
                </c:pt>
                <c:pt idx="13">
                  <c:v>90</c:v>
                </c:pt>
                <c:pt idx="14">
                  <c:v>94.5</c:v>
                </c:pt>
                <c:pt idx="15">
                  <c:v>115</c:v>
                </c:pt>
                <c:pt idx="16">
                  <c:v>96</c:v>
                </c:pt>
                <c:pt idx="17">
                  <c:v>96</c:v>
                </c:pt>
                <c:pt idx="18">
                  <c:v>65</c:v>
                </c:pt>
                <c:pt idx="19">
                  <c:v>72</c:v>
                </c:pt>
                <c:pt idx="20">
                  <c:v>65</c:v>
                </c:pt>
                <c:pt idx="21">
                  <c:v>67</c:v>
                </c:pt>
                <c:pt idx="22">
                  <c:v>85</c:v>
                </c:pt>
                <c:pt idx="23">
                  <c:v>105</c:v>
                </c:pt>
                <c:pt idx="24">
                  <c:v>94.5</c:v>
                </c:pt>
                <c:pt idx="25">
                  <c:v>114.3</c:v>
                </c:pt>
                <c:pt idx="26">
                  <c:v>65</c:v>
                </c:pt>
                <c:pt idx="27">
                  <c:v>110</c:v>
                </c:pt>
                <c:pt idx="28">
                  <c:v>37.33</c:v>
                </c:pt>
                <c:pt idx="29">
                  <c:v>82</c:v>
                </c:pt>
                <c:pt idx="30">
                  <c:v>177.5</c:v>
                </c:pt>
                <c:pt idx="31">
                  <c:v>87.5</c:v>
                </c:pt>
                <c:pt idx="32">
                  <c:v>82.44</c:v>
                </c:pt>
                <c:pt idx="33">
                  <c:v>69.5</c:v>
                </c:pt>
                <c:pt idx="34">
                  <c:v>85.5</c:v>
                </c:pt>
                <c:pt idx="35">
                  <c:v>115</c:v>
                </c:pt>
                <c:pt idx="36">
                  <c:v>81</c:v>
                </c:pt>
                <c:pt idx="37">
                  <c:v>67</c:v>
                </c:pt>
                <c:pt idx="38">
                  <c:v>63.75</c:v>
                </c:pt>
                <c:pt idx="39">
                  <c:v>121.8</c:v>
                </c:pt>
                <c:pt idx="40">
                  <c:v>93.6</c:v>
                </c:pt>
                <c:pt idx="41">
                  <c:v>102</c:v>
                </c:pt>
                <c:pt idx="42">
                  <c:v>121.8</c:v>
                </c:pt>
                <c:pt idx="43">
                  <c:v>98.1</c:v>
                </c:pt>
                <c:pt idx="44">
                  <c:v>60</c:v>
                </c:pt>
                <c:pt idx="45">
                  <c:v>75</c:v>
                </c:pt>
                <c:pt idx="46">
                  <c:v>73</c:v>
                </c:pt>
                <c:pt idx="47">
                  <c:v>104</c:v>
                </c:pt>
                <c:pt idx="48">
                  <c:v>79.2</c:v>
                </c:pt>
                <c:pt idx="49">
                  <c:v>125.8</c:v>
                </c:pt>
                <c:pt idx="50">
                  <c:v>87.95</c:v>
                </c:pt>
                <c:pt idx="51">
                  <c:v>106</c:v>
                </c:pt>
                <c:pt idx="52">
                  <c:v>136.66999999999999</c:v>
                </c:pt>
                <c:pt idx="53">
                  <c:v>60</c:v>
                </c:pt>
                <c:pt idx="54">
                  <c:v>89</c:v>
                </c:pt>
                <c:pt idx="55">
                  <c:v>136</c:v>
                </c:pt>
                <c:pt idx="56">
                  <c:v>94.5</c:v>
                </c:pt>
                <c:pt idx="57">
                  <c:v>93.6</c:v>
                </c:pt>
                <c:pt idx="58">
                  <c:v>120.6</c:v>
                </c:pt>
                <c:pt idx="59">
                  <c:v>99.3</c:v>
                </c:pt>
                <c:pt idx="60">
                  <c:v>258</c:v>
                </c:pt>
                <c:pt idx="61">
                  <c:v>120.12</c:v>
                </c:pt>
                <c:pt idx="62">
                  <c:v>95</c:v>
                </c:pt>
                <c:pt idx="63">
                  <c:v>0</c:v>
                </c:pt>
                <c:pt idx="64">
                  <c:v>75</c:v>
                </c:pt>
                <c:pt idx="65">
                  <c:v>157.5</c:v>
                </c:pt>
                <c:pt idx="66">
                  <c:v>97.7</c:v>
                </c:pt>
                <c:pt idx="67">
                  <c:v>142</c:v>
                </c:pt>
                <c:pt idx="68">
                  <c:v>80</c:v>
                </c:pt>
                <c:pt idx="69">
                  <c:v>85.5</c:v>
                </c:pt>
                <c:pt idx="70">
                  <c:v>100</c:v>
                </c:pt>
                <c:pt idx="71">
                  <c:v>88</c:v>
                </c:pt>
                <c:pt idx="72">
                  <c:v>122.85</c:v>
                </c:pt>
                <c:pt idx="73">
                  <c:v>100</c:v>
                </c:pt>
                <c:pt idx="74">
                  <c:v>75</c:v>
                </c:pt>
                <c:pt idx="75">
                  <c:v>116.8</c:v>
                </c:pt>
                <c:pt idx="76">
                  <c:v>121.5</c:v>
                </c:pt>
                <c:pt idx="77">
                  <c:v>111.9</c:v>
                </c:pt>
                <c:pt idx="78">
                  <c:v>121.55</c:v>
                </c:pt>
                <c:pt idx="79">
                  <c:v>75</c:v>
                </c:pt>
                <c:pt idx="80">
                  <c:v>159.30000000000001</c:v>
                </c:pt>
                <c:pt idx="81">
                  <c:v>132.30000000000001</c:v>
                </c:pt>
                <c:pt idx="82">
                  <c:v>88</c:v>
                </c:pt>
                <c:pt idx="83">
                  <c:v>98.82</c:v>
                </c:pt>
                <c:pt idx="84">
                  <c:v>98.3</c:v>
                </c:pt>
                <c:pt idx="85">
                  <c:v>150</c:v>
                </c:pt>
                <c:pt idx="86">
                  <c:v>96.05</c:v>
                </c:pt>
                <c:pt idx="87">
                  <c:v>130</c:v>
                </c:pt>
                <c:pt idx="88">
                  <c:v>95</c:v>
                </c:pt>
                <c:pt idx="89">
                  <c:v>113.56</c:v>
                </c:pt>
                <c:pt idx="90">
                  <c:v>101.58</c:v>
                </c:pt>
                <c:pt idx="91">
                  <c:v>105.3</c:v>
                </c:pt>
                <c:pt idx="92">
                  <c:v>115.8</c:v>
                </c:pt>
                <c:pt idx="93">
                  <c:v>149.4</c:v>
                </c:pt>
                <c:pt idx="94">
                  <c:v>111.59</c:v>
                </c:pt>
                <c:pt idx="95">
                  <c:v>130.5</c:v>
                </c:pt>
                <c:pt idx="96">
                  <c:v>115</c:v>
                </c:pt>
                <c:pt idx="97">
                  <c:v>90.95</c:v>
                </c:pt>
                <c:pt idx="98">
                  <c:v>76.08</c:v>
                </c:pt>
                <c:pt idx="99">
                  <c:v>156.9</c:v>
                </c:pt>
                <c:pt idx="100">
                  <c:v>85.5</c:v>
                </c:pt>
                <c:pt idx="101">
                  <c:v>159.30000000000001</c:v>
                </c:pt>
                <c:pt idx="102">
                  <c:v>74.8</c:v>
                </c:pt>
                <c:pt idx="103">
                  <c:v>95</c:v>
                </c:pt>
                <c:pt idx="104">
                  <c:v>107</c:v>
                </c:pt>
                <c:pt idx="105">
                  <c:v>64</c:v>
                </c:pt>
                <c:pt idx="106">
                  <c:v>82.95</c:v>
                </c:pt>
                <c:pt idx="107">
                  <c:v>155</c:v>
                </c:pt>
                <c:pt idx="108">
                  <c:v>101.68</c:v>
                </c:pt>
                <c:pt idx="109">
                  <c:v>94.5</c:v>
                </c:pt>
                <c:pt idx="110">
                  <c:v>117.9</c:v>
                </c:pt>
                <c:pt idx="111">
                  <c:v>127</c:v>
                </c:pt>
                <c:pt idx="112">
                  <c:v>116.1</c:v>
                </c:pt>
                <c:pt idx="113">
                  <c:v>117.9</c:v>
                </c:pt>
                <c:pt idx="114">
                  <c:v>184.24</c:v>
                </c:pt>
                <c:pt idx="115">
                  <c:v>155.69999999999999</c:v>
                </c:pt>
                <c:pt idx="116">
                  <c:v>135.76</c:v>
                </c:pt>
                <c:pt idx="117">
                  <c:v>102.83</c:v>
                </c:pt>
                <c:pt idx="118">
                  <c:v>65</c:v>
                </c:pt>
                <c:pt idx="119">
                  <c:v>103</c:v>
                </c:pt>
                <c:pt idx="120">
                  <c:v>106.2</c:v>
                </c:pt>
                <c:pt idx="121">
                  <c:v>58.5</c:v>
                </c:pt>
                <c:pt idx="122">
                  <c:v>73.95</c:v>
                </c:pt>
                <c:pt idx="123">
                  <c:v>105.3</c:v>
                </c:pt>
                <c:pt idx="124">
                  <c:v>133.19999999999999</c:v>
                </c:pt>
                <c:pt idx="125">
                  <c:v>85.5</c:v>
                </c:pt>
                <c:pt idx="126">
                  <c:v>112</c:v>
                </c:pt>
                <c:pt idx="127">
                  <c:v>190.8</c:v>
                </c:pt>
                <c:pt idx="128">
                  <c:v>110</c:v>
                </c:pt>
                <c:pt idx="129">
                  <c:v>91.48</c:v>
                </c:pt>
                <c:pt idx="130">
                  <c:v>135</c:v>
                </c:pt>
                <c:pt idx="131">
                  <c:v>129</c:v>
                </c:pt>
                <c:pt idx="132">
                  <c:v>70.55</c:v>
                </c:pt>
                <c:pt idx="133">
                  <c:v>75</c:v>
                </c:pt>
                <c:pt idx="134">
                  <c:v>72.25</c:v>
                </c:pt>
                <c:pt idx="135">
                  <c:v>155</c:v>
                </c:pt>
                <c:pt idx="136">
                  <c:v>121.5</c:v>
                </c:pt>
                <c:pt idx="137">
                  <c:v>90.95</c:v>
                </c:pt>
                <c:pt idx="138">
                  <c:v>109.65</c:v>
                </c:pt>
                <c:pt idx="139">
                  <c:v>142.72</c:v>
                </c:pt>
                <c:pt idx="140">
                  <c:v>90</c:v>
                </c:pt>
                <c:pt idx="141">
                  <c:v>75</c:v>
                </c:pt>
                <c:pt idx="142">
                  <c:v>111</c:v>
                </c:pt>
                <c:pt idx="143">
                  <c:v>86.7</c:v>
                </c:pt>
                <c:pt idx="144">
                  <c:v>117.9</c:v>
                </c:pt>
                <c:pt idx="145">
                  <c:v>0</c:v>
                </c:pt>
                <c:pt idx="146">
                  <c:v>101.58</c:v>
                </c:pt>
                <c:pt idx="147">
                  <c:v>58.9</c:v>
                </c:pt>
                <c:pt idx="148">
                  <c:v>120</c:v>
                </c:pt>
                <c:pt idx="149">
                  <c:v>107.1</c:v>
                </c:pt>
                <c:pt idx="150">
                  <c:v>126.9</c:v>
                </c:pt>
                <c:pt idx="151">
                  <c:v>139.5</c:v>
                </c:pt>
                <c:pt idx="152">
                  <c:v>80.75</c:v>
                </c:pt>
                <c:pt idx="153">
                  <c:v>109</c:v>
                </c:pt>
                <c:pt idx="154">
                  <c:v>104</c:v>
                </c:pt>
                <c:pt idx="155">
                  <c:v>65</c:v>
                </c:pt>
                <c:pt idx="156">
                  <c:v>140.4</c:v>
                </c:pt>
                <c:pt idx="157">
                  <c:v>75</c:v>
                </c:pt>
                <c:pt idx="158">
                  <c:v>94.5</c:v>
                </c:pt>
                <c:pt idx="159">
                  <c:v>109</c:v>
                </c:pt>
                <c:pt idx="160">
                  <c:v>105</c:v>
                </c:pt>
                <c:pt idx="161">
                  <c:v>107.95</c:v>
                </c:pt>
                <c:pt idx="162">
                  <c:v>215.6</c:v>
                </c:pt>
                <c:pt idx="163">
                  <c:v>85.5</c:v>
                </c:pt>
                <c:pt idx="164">
                  <c:v>105.3</c:v>
                </c:pt>
                <c:pt idx="165">
                  <c:v>1</c:v>
                </c:pt>
                <c:pt idx="166">
                  <c:v>156</c:v>
                </c:pt>
                <c:pt idx="167">
                  <c:v>73.150000000000006</c:v>
                </c:pt>
                <c:pt idx="168">
                  <c:v>110</c:v>
                </c:pt>
                <c:pt idx="169">
                  <c:v>87.4</c:v>
                </c:pt>
                <c:pt idx="170">
                  <c:v>120</c:v>
                </c:pt>
                <c:pt idx="171">
                  <c:v>79.2</c:v>
                </c:pt>
                <c:pt idx="172">
                  <c:v>90.95</c:v>
                </c:pt>
                <c:pt idx="173">
                  <c:v>91.48</c:v>
                </c:pt>
                <c:pt idx="174">
                  <c:v>150</c:v>
                </c:pt>
                <c:pt idx="175">
                  <c:v>89</c:v>
                </c:pt>
                <c:pt idx="176">
                  <c:v>91.43</c:v>
                </c:pt>
                <c:pt idx="177">
                  <c:v>140</c:v>
                </c:pt>
                <c:pt idx="178">
                  <c:v>87.78</c:v>
                </c:pt>
                <c:pt idx="179">
                  <c:v>115</c:v>
                </c:pt>
                <c:pt idx="180">
                  <c:v>80.849999999999994</c:v>
                </c:pt>
                <c:pt idx="181">
                  <c:v>82.45</c:v>
                </c:pt>
                <c:pt idx="182">
                  <c:v>108</c:v>
                </c:pt>
                <c:pt idx="183">
                  <c:v>96.3</c:v>
                </c:pt>
                <c:pt idx="184">
                  <c:v>99.45</c:v>
                </c:pt>
                <c:pt idx="185">
                  <c:v>140.4</c:v>
                </c:pt>
                <c:pt idx="186">
                  <c:v>72.25</c:v>
                </c:pt>
                <c:pt idx="187">
                  <c:v>126</c:v>
                </c:pt>
                <c:pt idx="188">
                  <c:v>78</c:v>
                </c:pt>
                <c:pt idx="189">
                  <c:v>146.6</c:v>
                </c:pt>
                <c:pt idx="190">
                  <c:v>118.8</c:v>
                </c:pt>
                <c:pt idx="191">
                  <c:v>145</c:v>
                </c:pt>
                <c:pt idx="192">
                  <c:v>84.58</c:v>
                </c:pt>
                <c:pt idx="193">
                  <c:v>130</c:v>
                </c:pt>
                <c:pt idx="194">
                  <c:v>118.88</c:v>
                </c:pt>
                <c:pt idx="195">
                  <c:v>101.52</c:v>
                </c:pt>
                <c:pt idx="196">
                  <c:v>100</c:v>
                </c:pt>
                <c:pt idx="197">
                  <c:v>58</c:v>
                </c:pt>
                <c:pt idx="198">
                  <c:v>61.5</c:v>
                </c:pt>
                <c:pt idx="199">
                  <c:v>107</c:v>
                </c:pt>
                <c:pt idx="200">
                  <c:v>87.3</c:v>
                </c:pt>
                <c:pt idx="201">
                  <c:v>76.5</c:v>
                </c:pt>
                <c:pt idx="202">
                  <c:v>63.75</c:v>
                </c:pt>
                <c:pt idx="203">
                  <c:v>95</c:v>
                </c:pt>
                <c:pt idx="204">
                  <c:v>75</c:v>
                </c:pt>
                <c:pt idx="205">
                  <c:v>70</c:v>
                </c:pt>
                <c:pt idx="206">
                  <c:v>101.58</c:v>
                </c:pt>
                <c:pt idx="207">
                  <c:v>85</c:v>
                </c:pt>
                <c:pt idx="208">
                  <c:v>98.39</c:v>
                </c:pt>
                <c:pt idx="209">
                  <c:v>0</c:v>
                </c:pt>
                <c:pt idx="210">
                  <c:v>106.07</c:v>
                </c:pt>
                <c:pt idx="211">
                  <c:v>105</c:v>
                </c:pt>
                <c:pt idx="212">
                  <c:v>145</c:v>
                </c:pt>
                <c:pt idx="213">
                  <c:v>106.03</c:v>
                </c:pt>
                <c:pt idx="214">
                  <c:v>114.3</c:v>
                </c:pt>
                <c:pt idx="215">
                  <c:v>88</c:v>
                </c:pt>
                <c:pt idx="216">
                  <c:v>89.25</c:v>
                </c:pt>
                <c:pt idx="217">
                  <c:v>86.32</c:v>
                </c:pt>
                <c:pt idx="218">
                  <c:v>90</c:v>
                </c:pt>
                <c:pt idx="219">
                  <c:v>55.96</c:v>
                </c:pt>
                <c:pt idx="220">
                  <c:v>109</c:v>
                </c:pt>
                <c:pt idx="221">
                  <c:v>86</c:v>
                </c:pt>
                <c:pt idx="222">
                  <c:v>118.95</c:v>
                </c:pt>
                <c:pt idx="223">
                  <c:v>130</c:v>
                </c:pt>
                <c:pt idx="224">
                  <c:v>90.56</c:v>
                </c:pt>
                <c:pt idx="225">
                  <c:v>87.3</c:v>
                </c:pt>
                <c:pt idx="226">
                  <c:v>177.65</c:v>
                </c:pt>
                <c:pt idx="227">
                  <c:v>200.75</c:v>
                </c:pt>
                <c:pt idx="228">
                  <c:v>127</c:v>
                </c:pt>
                <c:pt idx="229">
                  <c:v>72.900000000000006</c:v>
                </c:pt>
                <c:pt idx="230">
                  <c:v>159.30000000000001</c:v>
                </c:pt>
                <c:pt idx="231">
                  <c:v>135.15</c:v>
                </c:pt>
                <c:pt idx="232">
                  <c:v>90</c:v>
                </c:pt>
                <c:pt idx="233">
                  <c:v>114</c:v>
                </c:pt>
                <c:pt idx="234">
                  <c:v>125.1</c:v>
                </c:pt>
                <c:pt idx="235">
                  <c:v>95.13</c:v>
                </c:pt>
                <c:pt idx="236">
                  <c:v>105.84</c:v>
                </c:pt>
                <c:pt idx="237">
                  <c:v>102</c:v>
                </c:pt>
                <c:pt idx="238">
                  <c:v>74.8</c:v>
                </c:pt>
                <c:pt idx="239">
                  <c:v>94.5</c:v>
                </c:pt>
                <c:pt idx="240">
                  <c:v>120.6</c:v>
                </c:pt>
                <c:pt idx="241">
                  <c:v>139.33000000000001</c:v>
                </c:pt>
                <c:pt idx="242">
                  <c:v>105</c:v>
                </c:pt>
                <c:pt idx="243">
                  <c:v>100</c:v>
                </c:pt>
                <c:pt idx="244">
                  <c:v>80.3</c:v>
                </c:pt>
                <c:pt idx="245">
                  <c:v>100</c:v>
                </c:pt>
                <c:pt idx="246">
                  <c:v>105.3</c:v>
                </c:pt>
                <c:pt idx="247">
                  <c:v>112.8</c:v>
                </c:pt>
                <c:pt idx="248">
                  <c:v>151</c:v>
                </c:pt>
                <c:pt idx="249">
                  <c:v>91</c:v>
                </c:pt>
                <c:pt idx="250">
                  <c:v>146.69999999999999</c:v>
                </c:pt>
                <c:pt idx="251">
                  <c:v>58.4</c:v>
                </c:pt>
                <c:pt idx="252">
                  <c:v>80.75</c:v>
                </c:pt>
                <c:pt idx="253">
                  <c:v>76.5</c:v>
                </c:pt>
                <c:pt idx="254">
                  <c:v>140.13</c:v>
                </c:pt>
                <c:pt idx="255">
                  <c:v>76</c:v>
                </c:pt>
                <c:pt idx="256">
                  <c:v>200</c:v>
                </c:pt>
                <c:pt idx="257">
                  <c:v>101.5</c:v>
                </c:pt>
                <c:pt idx="258">
                  <c:v>108</c:v>
                </c:pt>
                <c:pt idx="259">
                  <c:v>189</c:v>
                </c:pt>
                <c:pt idx="260">
                  <c:v>166</c:v>
                </c:pt>
                <c:pt idx="261">
                  <c:v>67.5</c:v>
                </c:pt>
                <c:pt idx="262">
                  <c:v>78.540000000000006</c:v>
                </c:pt>
                <c:pt idx="263">
                  <c:v>152.1</c:v>
                </c:pt>
                <c:pt idx="264">
                  <c:v>115</c:v>
                </c:pt>
                <c:pt idx="265">
                  <c:v>66.53</c:v>
                </c:pt>
                <c:pt idx="266">
                  <c:v>0</c:v>
                </c:pt>
                <c:pt idx="267">
                  <c:v>0</c:v>
                </c:pt>
                <c:pt idx="268">
                  <c:v>90.3</c:v>
                </c:pt>
                <c:pt idx="269">
                  <c:v>85</c:v>
                </c:pt>
                <c:pt idx="270">
                  <c:v>75</c:v>
                </c:pt>
                <c:pt idx="271">
                  <c:v>115.37</c:v>
                </c:pt>
                <c:pt idx="272">
                  <c:v>130</c:v>
                </c:pt>
                <c:pt idx="273">
                  <c:v>126</c:v>
                </c:pt>
                <c:pt idx="274">
                  <c:v>94.35</c:v>
                </c:pt>
                <c:pt idx="275">
                  <c:v>118.46</c:v>
                </c:pt>
                <c:pt idx="276">
                  <c:v>90.6</c:v>
                </c:pt>
                <c:pt idx="277">
                  <c:v>82.9</c:v>
                </c:pt>
                <c:pt idx="278">
                  <c:v>95.33</c:v>
                </c:pt>
                <c:pt idx="279">
                  <c:v>135.63999999999999</c:v>
                </c:pt>
                <c:pt idx="280">
                  <c:v>122.4</c:v>
                </c:pt>
                <c:pt idx="281">
                  <c:v>116.1</c:v>
                </c:pt>
                <c:pt idx="282">
                  <c:v>62.18</c:v>
                </c:pt>
                <c:pt idx="283">
                  <c:v>63.75</c:v>
                </c:pt>
                <c:pt idx="284">
                  <c:v>118.8</c:v>
                </c:pt>
                <c:pt idx="285">
                  <c:v>167</c:v>
                </c:pt>
                <c:pt idx="286">
                  <c:v>187.85</c:v>
                </c:pt>
                <c:pt idx="287">
                  <c:v>108.38</c:v>
                </c:pt>
                <c:pt idx="288">
                  <c:v>0</c:v>
                </c:pt>
                <c:pt idx="289">
                  <c:v>128.69999999999999</c:v>
                </c:pt>
                <c:pt idx="290">
                  <c:v>80.33</c:v>
                </c:pt>
                <c:pt idx="291">
                  <c:v>140</c:v>
                </c:pt>
                <c:pt idx="292">
                  <c:v>76.5</c:v>
                </c:pt>
                <c:pt idx="293">
                  <c:v>105.3</c:v>
                </c:pt>
                <c:pt idx="294">
                  <c:v>87.3</c:v>
                </c:pt>
                <c:pt idx="295">
                  <c:v>110</c:v>
                </c:pt>
                <c:pt idx="296">
                  <c:v>83</c:v>
                </c:pt>
                <c:pt idx="297">
                  <c:v>99.45</c:v>
                </c:pt>
                <c:pt idx="298">
                  <c:v>104.5</c:v>
                </c:pt>
                <c:pt idx="299">
                  <c:v>92.54</c:v>
                </c:pt>
                <c:pt idx="300">
                  <c:v>95</c:v>
                </c:pt>
                <c:pt idx="301">
                  <c:v>130</c:v>
                </c:pt>
                <c:pt idx="302">
                  <c:v>63</c:v>
                </c:pt>
                <c:pt idx="303">
                  <c:v>109.8</c:v>
                </c:pt>
                <c:pt idx="304">
                  <c:v>103</c:v>
                </c:pt>
                <c:pt idx="305">
                  <c:v>130</c:v>
                </c:pt>
                <c:pt idx="306">
                  <c:v>117</c:v>
                </c:pt>
                <c:pt idx="307">
                  <c:v>60.5</c:v>
                </c:pt>
                <c:pt idx="308">
                  <c:v>112.2</c:v>
                </c:pt>
                <c:pt idx="309">
                  <c:v>135.9</c:v>
                </c:pt>
                <c:pt idx="310">
                  <c:v>151</c:v>
                </c:pt>
                <c:pt idx="311">
                  <c:v>239</c:v>
                </c:pt>
                <c:pt idx="312">
                  <c:v>59.09</c:v>
                </c:pt>
                <c:pt idx="313">
                  <c:v>103.09</c:v>
                </c:pt>
                <c:pt idx="314">
                  <c:v>87</c:v>
                </c:pt>
                <c:pt idx="315">
                  <c:v>137</c:v>
                </c:pt>
                <c:pt idx="316">
                  <c:v>109</c:v>
                </c:pt>
                <c:pt idx="317">
                  <c:v>115</c:v>
                </c:pt>
                <c:pt idx="318">
                  <c:v>99.45</c:v>
                </c:pt>
                <c:pt idx="319">
                  <c:v>115</c:v>
                </c:pt>
                <c:pt idx="320">
                  <c:v>130</c:v>
                </c:pt>
                <c:pt idx="321">
                  <c:v>65</c:v>
                </c:pt>
                <c:pt idx="322">
                  <c:v>75</c:v>
                </c:pt>
                <c:pt idx="323">
                  <c:v>132.9</c:v>
                </c:pt>
                <c:pt idx="324">
                  <c:v>120</c:v>
                </c:pt>
                <c:pt idx="325">
                  <c:v>79.2</c:v>
                </c:pt>
                <c:pt idx="326">
                  <c:v>159.30000000000001</c:v>
                </c:pt>
                <c:pt idx="327">
                  <c:v>130</c:v>
                </c:pt>
                <c:pt idx="328">
                  <c:v>90</c:v>
                </c:pt>
                <c:pt idx="329">
                  <c:v>140.4</c:v>
                </c:pt>
                <c:pt idx="330">
                  <c:v>75</c:v>
                </c:pt>
                <c:pt idx="331">
                  <c:v>109</c:v>
                </c:pt>
                <c:pt idx="332">
                  <c:v>94.5</c:v>
                </c:pt>
                <c:pt idx="333">
                  <c:v>75</c:v>
                </c:pt>
                <c:pt idx="334">
                  <c:v>75</c:v>
                </c:pt>
                <c:pt idx="335">
                  <c:v>76.67</c:v>
                </c:pt>
                <c:pt idx="336">
                  <c:v>126</c:v>
                </c:pt>
                <c:pt idx="337">
                  <c:v>85.5</c:v>
                </c:pt>
                <c:pt idx="338">
                  <c:v>140.69999999999999</c:v>
                </c:pt>
                <c:pt idx="339">
                  <c:v>103.7</c:v>
                </c:pt>
                <c:pt idx="340">
                  <c:v>142</c:v>
                </c:pt>
                <c:pt idx="341">
                  <c:v>103.7</c:v>
                </c:pt>
                <c:pt idx="342">
                  <c:v>110</c:v>
                </c:pt>
                <c:pt idx="343">
                  <c:v>75</c:v>
                </c:pt>
                <c:pt idx="344">
                  <c:v>137.69999999999999</c:v>
                </c:pt>
                <c:pt idx="345">
                  <c:v>87.3</c:v>
                </c:pt>
                <c:pt idx="346">
                  <c:v>0</c:v>
                </c:pt>
                <c:pt idx="347">
                  <c:v>101.5</c:v>
                </c:pt>
                <c:pt idx="348">
                  <c:v>97</c:v>
                </c:pt>
                <c:pt idx="349">
                  <c:v>150.30000000000001</c:v>
                </c:pt>
                <c:pt idx="350">
                  <c:v>82.45</c:v>
                </c:pt>
                <c:pt idx="351">
                  <c:v>103</c:v>
                </c:pt>
                <c:pt idx="352">
                  <c:v>145</c:v>
                </c:pt>
                <c:pt idx="353">
                  <c:v>145</c:v>
                </c:pt>
                <c:pt idx="354">
                  <c:v>134.85</c:v>
                </c:pt>
                <c:pt idx="355">
                  <c:v>168.25</c:v>
                </c:pt>
                <c:pt idx="356">
                  <c:v>60</c:v>
                </c:pt>
                <c:pt idx="357">
                  <c:v>76</c:v>
                </c:pt>
                <c:pt idx="358">
                  <c:v>63.5</c:v>
                </c:pt>
                <c:pt idx="359">
                  <c:v>95</c:v>
                </c:pt>
                <c:pt idx="360">
                  <c:v>90.95</c:v>
                </c:pt>
                <c:pt idx="361">
                  <c:v>98.4</c:v>
                </c:pt>
                <c:pt idx="362">
                  <c:v>135.9</c:v>
                </c:pt>
                <c:pt idx="363">
                  <c:v>130</c:v>
                </c:pt>
                <c:pt idx="364">
                  <c:v>81.900000000000006</c:v>
                </c:pt>
                <c:pt idx="365">
                  <c:v>78.849999999999994</c:v>
                </c:pt>
                <c:pt idx="366">
                  <c:v>141.30000000000001</c:v>
                </c:pt>
                <c:pt idx="367">
                  <c:v>70</c:v>
                </c:pt>
                <c:pt idx="368">
                  <c:v>170.1</c:v>
                </c:pt>
                <c:pt idx="369">
                  <c:v>115</c:v>
                </c:pt>
                <c:pt idx="370">
                  <c:v>199</c:v>
                </c:pt>
                <c:pt idx="371">
                  <c:v>82.45</c:v>
                </c:pt>
                <c:pt idx="372">
                  <c:v>192.86</c:v>
                </c:pt>
                <c:pt idx="373">
                  <c:v>185</c:v>
                </c:pt>
                <c:pt idx="374">
                  <c:v>68.069999999999993</c:v>
                </c:pt>
                <c:pt idx="375">
                  <c:v>118.8</c:v>
                </c:pt>
                <c:pt idx="376">
                  <c:v>104.4</c:v>
                </c:pt>
                <c:pt idx="377">
                  <c:v>65</c:v>
                </c:pt>
                <c:pt idx="378">
                  <c:v>71.099999999999994</c:v>
                </c:pt>
                <c:pt idx="379">
                  <c:v>95</c:v>
                </c:pt>
                <c:pt idx="380">
                  <c:v>116.62</c:v>
                </c:pt>
                <c:pt idx="381">
                  <c:v>136</c:v>
                </c:pt>
                <c:pt idx="382">
                  <c:v>147.9</c:v>
                </c:pt>
                <c:pt idx="383">
                  <c:v>123.7</c:v>
                </c:pt>
                <c:pt idx="384">
                  <c:v>135.9</c:v>
                </c:pt>
                <c:pt idx="385">
                  <c:v>109</c:v>
                </c:pt>
                <c:pt idx="386">
                  <c:v>186</c:v>
                </c:pt>
                <c:pt idx="387">
                  <c:v>115.6</c:v>
                </c:pt>
                <c:pt idx="388">
                  <c:v>221</c:v>
                </c:pt>
                <c:pt idx="389">
                  <c:v>65</c:v>
                </c:pt>
                <c:pt idx="390">
                  <c:v>80</c:v>
                </c:pt>
                <c:pt idx="391">
                  <c:v>73.83</c:v>
                </c:pt>
                <c:pt idx="392">
                  <c:v>67</c:v>
                </c:pt>
                <c:pt idx="393">
                  <c:v>80.3</c:v>
                </c:pt>
                <c:pt idx="394">
                  <c:v>85</c:v>
                </c:pt>
                <c:pt idx="395">
                  <c:v>152.1</c:v>
                </c:pt>
                <c:pt idx="396">
                  <c:v>89.25</c:v>
                </c:pt>
                <c:pt idx="397">
                  <c:v>110</c:v>
                </c:pt>
                <c:pt idx="398">
                  <c:v>95</c:v>
                </c:pt>
                <c:pt idx="399">
                  <c:v>79</c:v>
                </c:pt>
                <c:pt idx="400">
                  <c:v>80</c:v>
                </c:pt>
                <c:pt idx="401">
                  <c:v>102.85</c:v>
                </c:pt>
                <c:pt idx="402">
                  <c:v>90</c:v>
                </c:pt>
                <c:pt idx="403">
                  <c:v>62.37</c:v>
                </c:pt>
                <c:pt idx="404">
                  <c:v>98</c:v>
                </c:pt>
                <c:pt idx="405">
                  <c:v>117.67</c:v>
                </c:pt>
                <c:pt idx="406">
                  <c:v>141</c:v>
                </c:pt>
                <c:pt idx="407">
                  <c:v>156.61000000000001</c:v>
                </c:pt>
                <c:pt idx="408">
                  <c:v>152.1</c:v>
                </c:pt>
                <c:pt idx="409">
                  <c:v>105.3</c:v>
                </c:pt>
                <c:pt idx="410">
                  <c:v>119.85</c:v>
                </c:pt>
                <c:pt idx="411">
                  <c:v>97.2</c:v>
                </c:pt>
                <c:pt idx="412">
                  <c:v>116.1</c:v>
                </c:pt>
                <c:pt idx="413">
                  <c:v>150.44999999999999</c:v>
                </c:pt>
                <c:pt idx="414">
                  <c:v>71</c:v>
                </c:pt>
                <c:pt idx="415">
                  <c:v>0</c:v>
                </c:pt>
                <c:pt idx="416">
                  <c:v>60</c:v>
                </c:pt>
                <c:pt idx="417">
                  <c:v>89</c:v>
                </c:pt>
                <c:pt idx="418">
                  <c:v>115</c:v>
                </c:pt>
                <c:pt idx="419">
                  <c:v>100</c:v>
                </c:pt>
                <c:pt idx="420">
                  <c:v>75.900000000000006</c:v>
                </c:pt>
                <c:pt idx="421">
                  <c:v>65</c:v>
                </c:pt>
                <c:pt idx="422">
                  <c:v>104.55</c:v>
                </c:pt>
                <c:pt idx="423">
                  <c:v>115</c:v>
                </c:pt>
                <c:pt idx="424">
                  <c:v>187</c:v>
                </c:pt>
                <c:pt idx="425">
                  <c:v>115</c:v>
                </c:pt>
                <c:pt idx="426">
                  <c:v>84.43</c:v>
                </c:pt>
                <c:pt idx="427">
                  <c:v>90.95</c:v>
                </c:pt>
                <c:pt idx="428">
                  <c:v>208</c:v>
                </c:pt>
                <c:pt idx="429">
                  <c:v>97.18</c:v>
                </c:pt>
                <c:pt idx="430">
                  <c:v>79.11</c:v>
                </c:pt>
                <c:pt idx="431">
                  <c:v>0</c:v>
                </c:pt>
                <c:pt idx="432">
                  <c:v>120</c:v>
                </c:pt>
                <c:pt idx="433">
                  <c:v>126</c:v>
                </c:pt>
                <c:pt idx="434">
                  <c:v>91</c:v>
                </c:pt>
                <c:pt idx="435">
                  <c:v>137</c:v>
                </c:pt>
                <c:pt idx="436">
                  <c:v>67.319999999999993</c:v>
                </c:pt>
                <c:pt idx="437">
                  <c:v>81.62</c:v>
                </c:pt>
                <c:pt idx="438">
                  <c:v>123.66</c:v>
                </c:pt>
                <c:pt idx="439">
                  <c:v>94.5</c:v>
                </c:pt>
                <c:pt idx="440">
                  <c:v>96.3</c:v>
                </c:pt>
                <c:pt idx="441">
                  <c:v>88.01</c:v>
                </c:pt>
                <c:pt idx="442">
                  <c:v>81.900000000000006</c:v>
                </c:pt>
                <c:pt idx="443">
                  <c:v>119.85</c:v>
                </c:pt>
                <c:pt idx="444">
                  <c:v>83.5</c:v>
                </c:pt>
                <c:pt idx="445">
                  <c:v>67</c:v>
                </c:pt>
                <c:pt idx="446">
                  <c:v>156</c:v>
                </c:pt>
                <c:pt idx="447">
                  <c:v>85</c:v>
                </c:pt>
                <c:pt idx="448">
                  <c:v>126.75</c:v>
                </c:pt>
                <c:pt idx="449">
                  <c:v>115</c:v>
                </c:pt>
                <c:pt idx="450">
                  <c:v>107.1</c:v>
                </c:pt>
                <c:pt idx="451">
                  <c:v>120</c:v>
                </c:pt>
                <c:pt idx="452">
                  <c:v>93.6</c:v>
                </c:pt>
                <c:pt idx="453">
                  <c:v>120</c:v>
                </c:pt>
                <c:pt idx="454">
                  <c:v>90</c:v>
                </c:pt>
                <c:pt idx="455">
                  <c:v>137</c:v>
                </c:pt>
                <c:pt idx="456">
                  <c:v>106.43</c:v>
                </c:pt>
                <c:pt idx="457">
                  <c:v>87.78</c:v>
                </c:pt>
                <c:pt idx="458">
                  <c:v>101.5</c:v>
                </c:pt>
                <c:pt idx="459">
                  <c:v>85.5</c:v>
                </c:pt>
                <c:pt idx="460">
                  <c:v>95</c:v>
                </c:pt>
                <c:pt idx="461">
                  <c:v>103.7</c:v>
                </c:pt>
                <c:pt idx="462">
                  <c:v>65</c:v>
                </c:pt>
                <c:pt idx="463">
                  <c:v>100.12</c:v>
                </c:pt>
                <c:pt idx="464">
                  <c:v>156.25</c:v>
                </c:pt>
                <c:pt idx="465">
                  <c:v>101</c:v>
                </c:pt>
                <c:pt idx="466">
                  <c:v>161.1</c:v>
                </c:pt>
                <c:pt idx="467">
                  <c:v>83.8</c:v>
                </c:pt>
                <c:pt idx="468">
                  <c:v>168</c:v>
                </c:pt>
                <c:pt idx="469">
                  <c:v>58</c:v>
                </c:pt>
                <c:pt idx="470">
                  <c:v>94.5</c:v>
                </c:pt>
                <c:pt idx="471">
                  <c:v>96.3</c:v>
                </c:pt>
                <c:pt idx="472">
                  <c:v>76.5</c:v>
                </c:pt>
                <c:pt idx="473">
                  <c:v>78</c:v>
                </c:pt>
                <c:pt idx="474">
                  <c:v>112.59</c:v>
                </c:pt>
                <c:pt idx="475">
                  <c:v>187.04</c:v>
                </c:pt>
                <c:pt idx="476">
                  <c:v>169</c:v>
                </c:pt>
                <c:pt idx="477">
                  <c:v>46.63</c:v>
                </c:pt>
                <c:pt idx="478">
                  <c:v>100</c:v>
                </c:pt>
                <c:pt idx="479">
                  <c:v>85.5</c:v>
                </c:pt>
                <c:pt idx="480">
                  <c:v>130</c:v>
                </c:pt>
                <c:pt idx="481">
                  <c:v>146.69999999999999</c:v>
                </c:pt>
                <c:pt idx="482">
                  <c:v>73</c:v>
                </c:pt>
                <c:pt idx="483">
                  <c:v>143.22</c:v>
                </c:pt>
                <c:pt idx="484">
                  <c:v>89.25</c:v>
                </c:pt>
                <c:pt idx="485">
                  <c:v>85</c:v>
                </c:pt>
                <c:pt idx="486">
                  <c:v>6.5</c:v>
                </c:pt>
                <c:pt idx="487">
                  <c:v>83.03</c:v>
                </c:pt>
                <c:pt idx="488">
                  <c:v>91</c:v>
                </c:pt>
                <c:pt idx="489">
                  <c:v>80.75</c:v>
                </c:pt>
                <c:pt idx="490">
                  <c:v>89</c:v>
                </c:pt>
                <c:pt idx="491">
                  <c:v>105</c:v>
                </c:pt>
                <c:pt idx="492">
                  <c:v>109.81</c:v>
                </c:pt>
                <c:pt idx="493">
                  <c:v>70.88</c:v>
                </c:pt>
                <c:pt idx="494">
                  <c:v>83.6</c:v>
                </c:pt>
                <c:pt idx="495">
                  <c:v>60</c:v>
                </c:pt>
                <c:pt idx="496">
                  <c:v>130</c:v>
                </c:pt>
                <c:pt idx="497">
                  <c:v>95</c:v>
                </c:pt>
                <c:pt idx="498">
                  <c:v>104</c:v>
                </c:pt>
                <c:pt idx="499">
                  <c:v>62</c:v>
                </c:pt>
                <c:pt idx="500">
                  <c:v>95</c:v>
                </c:pt>
                <c:pt idx="501">
                  <c:v>145</c:v>
                </c:pt>
                <c:pt idx="502">
                  <c:v>95</c:v>
                </c:pt>
                <c:pt idx="503">
                  <c:v>95</c:v>
                </c:pt>
                <c:pt idx="504">
                  <c:v>80.75</c:v>
                </c:pt>
                <c:pt idx="505">
                  <c:v>142.19999999999999</c:v>
                </c:pt>
                <c:pt idx="506">
                  <c:v>128.69999999999999</c:v>
                </c:pt>
                <c:pt idx="507">
                  <c:v>90.95</c:v>
                </c:pt>
                <c:pt idx="508">
                  <c:v>93.6</c:v>
                </c:pt>
                <c:pt idx="509">
                  <c:v>60</c:v>
                </c:pt>
                <c:pt idx="510">
                  <c:v>90</c:v>
                </c:pt>
                <c:pt idx="511">
                  <c:v>95.4</c:v>
                </c:pt>
                <c:pt idx="512">
                  <c:v>160</c:v>
                </c:pt>
                <c:pt idx="513">
                  <c:v>104.1</c:v>
                </c:pt>
                <c:pt idx="514">
                  <c:v>104</c:v>
                </c:pt>
                <c:pt idx="515">
                  <c:v>109</c:v>
                </c:pt>
                <c:pt idx="516">
                  <c:v>93.78</c:v>
                </c:pt>
                <c:pt idx="517">
                  <c:v>95</c:v>
                </c:pt>
                <c:pt idx="518">
                  <c:v>140</c:v>
                </c:pt>
                <c:pt idx="519">
                  <c:v>87</c:v>
                </c:pt>
                <c:pt idx="520">
                  <c:v>85.85</c:v>
                </c:pt>
                <c:pt idx="521">
                  <c:v>99.45</c:v>
                </c:pt>
                <c:pt idx="522">
                  <c:v>120.28</c:v>
                </c:pt>
                <c:pt idx="523">
                  <c:v>120</c:v>
                </c:pt>
                <c:pt idx="524">
                  <c:v>77.77</c:v>
                </c:pt>
                <c:pt idx="525">
                  <c:v>120</c:v>
                </c:pt>
                <c:pt idx="526">
                  <c:v>116.1</c:v>
                </c:pt>
                <c:pt idx="527">
                  <c:v>189</c:v>
                </c:pt>
                <c:pt idx="528">
                  <c:v>152.66999999999999</c:v>
                </c:pt>
                <c:pt idx="529">
                  <c:v>66.31</c:v>
                </c:pt>
                <c:pt idx="530">
                  <c:v>95</c:v>
                </c:pt>
                <c:pt idx="531">
                  <c:v>122</c:v>
                </c:pt>
                <c:pt idx="532">
                  <c:v>58</c:v>
                </c:pt>
                <c:pt idx="533">
                  <c:v>89.89</c:v>
                </c:pt>
                <c:pt idx="534">
                  <c:v>156</c:v>
                </c:pt>
                <c:pt idx="535">
                  <c:v>99.45</c:v>
                </c:pt>
                <c:pt idx="536">
                  <c:v>172.8</c:v>
                </c:pt>
                <c:pt idx="537">
                  <c:v>98.56</c:v>
                </c:pt>
                <c:pt idx="538">
                  <c:v>71.099999999999994</c:v>
                </c:pt>
                <c:pt idx="539">
                  <c:v>128.06</c:v>
                </c:pt>
                <c:pt idx="540">
                  <c:v>0</c:v>
                </c:pt>
                <c:pt idx="541">
                  <c:v>106</c:v>
                </c:pt>
                <c:pt idx="542">
                  <c:v>130.61000000000001</c:v>
                </c:pt>
                <c:pt idx="543">
                  <c:v>105.74</c:v>
                </c:pt>
                <c:pt idx="544">
                  <c:v>136</c:v>
                </c:pt>
                <c:pt idx="545">
                  <c:v>120</c:v>
                </c:pt>
                <c:pt idx="546">
                  <c:v>74.8</c:v>
                </c:pt>
                <c:pt idx="547">
                  <c:v>112</c:v>
                </c:pt>
                <c:pt idx="548">
                  <c:v>121.5</c:v>
                </c:pt>
                <c:pt idx="549">
                  <c:v>70</c:v>
                </c:pt>
                <c:pt idx="550">
                  <c:v>75</c:v>
                </c:pt>
                <c:pt idx="551">
                  <c:v>54</c:v>
                </c:pt>
                <c:pt idx="552">
                  <c:v>100</c:v>
                </c:pt>
                <c:pt idx="553">
                  <c:v>0</c:v>
                </c:pt>
                <c:pt idx="554">
                  <c:v>186.22</c:v>
                </c:pt>
                <c:pt idx="555">
                  <c:v>79.2</c:v>
                </c:pt>
                <c:pt idx="556">
                  <c:v>103</c:v>
                </c:pt>
                <c:pt idx="557">
                  <c:v>185</c:v>
                </c:pt>
                <c:pt idx="558">
                  <c:v>135</c:v>
                </c:pt>
                <c:pt idx="559">
                  <c:v>115</c:v>
                </c:pt>
                <c:pt idx="560">
                  <c:v>109</c:v>
                </c:pt>
                <c:pt idx="561">
                  <c:v>104</c:v>
                </c:pt>
                <c:pt idx="562">
                  <c:v>130.05000000000001</c:v>
                </c:pt>
                <c:pt idx="563">
                  <c:v>100.3</c:v>
                </c:pt>
                <c:pt idx="564">
                  <c:v>130</c:v>
                </c:pt>
                <c:pt idx="565">
                  <c:v>109</c:v>
                </c:pt>
                <c:pt idx="566">
                  <c:v>139.5</c:v>
                </c:pt>
                <c:pt idx="567">
                  <c:v>66</c:v>
                </c:pt>
                <c:pt idx="568">
                  <c:v>106.88</c:v>
                </c:pt>
                <c:pt idx="569">
                  <c:v>149.4</c:v>
                </c:pt>
                <c:pt idx="570">
                  <c:v>109.35</c:v>
                </c:pt>
                <c:pt idx="571">
                  <c:v>89</c:v>
                </c:pt>
                <c:pt idx="572">
                  <c:v>115</c:v>
                </c:pt>
                <c:pt idx="573">
                  <c:v>85.5</c:v>
                </c:pt>
                <c:pt idx="574">
                  <c:v>90.95</c:v>
                </c:pt>
                <c:pt idx="575">
                  <c:v>117.55</c:v>
                </c:pt>
                <c:pt idx="576">
                  <c:v>108</c:v>
                </c:pt>
                <c:pt idx="577">
                  <c:v>139.5</c:v>
                </c:pt>
                <c:pt idx="578">
                  <c:v>129.88</c:v>
                </c:pt>
                <c:pt idx="579">
                  <c:v>67</c:v>
                </c:pt>
                <c:pt idx="580">
                  <c:v>129</c:v>
                </c:pt>
                <c:pt idx="581">
                  <c:v>79.53</c:v>
                </c:pt>
                <c:pt idx="582">
                  <c:v>72.25</c:v>
                </c:pt>
                <c:pt idx="583">
                  <c:v>80</c:v>
                </c:pt>
                <c:pt idx="584">
                  <c:v>119.85</c:v>
                </c:pt>
                <c:pt idx="585">
                  <c:v>117</c:v>
                </c:pt>
                <c:pt idx="586">
                  <c:v>29</c:v>
                </c:pt>
                <c:pt idx="587">
                  <c:v>118.8</c:v>
                </c:pt>
                <c:pt idx="588">
                  <c:v>192.03</c:v>
                </c:pt>
                <c:pt idx="589">
                  <c:v>168.3</c:v>
                </c:pt>
                <c:pt idx="590">
                  <c:v>72.760000000000005</c:v>
                </c:pt>
                <c:pt idx="591">
                  <c:v>68</c:v>
                </c:pt>
                <c:pt idx="592">
                  <c:v>89</c:v>
                </c:pt>
                <c:pt idx="593">
                  <c:v>124.46</c:v>
                </c:pt>
                <c:pt idx="594">
                  <c:v>70.33</c:v>
                </c:pt>
                <c:pt idx="595">
                  <c:v>170.1</c:v>
                </c:pt>
                <c:pt idx="596">
                  <c:v>75</c:v>
                </c:pt>
                <c:pt idx="597">
                  <c:v>125.25</c:v>
                </c:pt>
                <c:pt idx="598">
                  <c:v>55.9</c:v>
                </c:pt>
                <c:pt idx="599">
                  <c:v>126.9</c:v>
                </c:pt>
                <c:pt idx="600">
                  <c:v>79</c:v>
                </c:pt>
                <c:pt idx="601">
                  <c:v>94.35</c:v>
                </c:pt>
                <c:pt idx="602">
                  <c:v>109</c:v>
                </c:pt>
                <c:pt idx="603">
                  <c:v>112.2</c:v>
                </c:pt>
                <c:pt idx="604">
                  <c:v>109</c:v>
                </c:pt>
                <c:pt idx="605">
                  <c:v>65</c:v>
                </c:pt>
                <c:pt idx="606">
                  <c:v>90</c:v>
                </c:pt>
                <c:pt idx="607">
                  <c:v>85</c:v>
                </c:pt>
                <c:pt idx="608">
                  <c:v>168.73</c:v>
                </c:pt>
                <c:pt idx="609">
                  <c:v>100.38</c:v>
                </c:pt>
                <c:pt idx="610">
                  <c:v>99.45</c:v>
                </c:pt>
                <c:pt idx="611">
                  <c:v>160</c:v>
                </c:pt>
                <c:pt idx="612">
                  <c:v>126</c:v>
                </c:pt>
                <c:pt idx="613">
                  <c:v>96.9</c:v>
                </c:pt>
                <c:pt idx="614">
                  <c:v>95</c:v>
                </c:pt>
                <c:pt idx="615">
                  <c:v>94.5</c:v>
                </c:pt>
                <c:pt idx="616">
                  <c:v>98.8</c:v>
                </c:pt>
                <c:pt idx="617">
                  <c:v>100.5</c:v>
                </c:pt>
                <c:pt idx="618">
                  <c:v>0</c:v>
                </c:pt>
                <c:pt idx="619">
                  <c:v>80.75</c:v>
                </c:pt>
                <c:pt idx="620">
                  <c:v>104</c:v>
                </c:pt>
                <c:pt idx="621">
                  <c:v>89.75</c:v>
                </c:pt>
                <c:pt idx="622">
                  <c:v>156</c:v>
                </c:pt>
                <c:pt idx="623">
                  <c:v>136</c:v>
                </c:pt>
                <c:pt idx="624">
                  <c:v>85</c:v>
                </c:pt>
                <c:pt idx="625">
                  <c:v>87.54</c:v>
                </c:pt>
                <c:pt idx="626">
                  <c:v>100</c:v>
                </c:pt>
                <c:pt idx="627">
                  <c:v>108.9</c:v>
                </c:pt>
                <c:pt idx="628">
                  <c:v>107.1</c:v>
                </c:pt>
                <c:pt idx="629">
                  <c:v>80</c:v>
                </c:pt>
                <c:pt idx="630">
                  <c:v>90</c:v>
                </c:pt>
                <c:pt idx="631">
                  <c:v>105.3</c:v>
                </c:pt>
                <c:pt idx="632">
                  <c:v>80</c:v>
                </c:pt>
                <c:pt idx="633">
                  <c:v>142.19999999999999</c:v>
                </c:pt>
                <c:pt idx="634">
                  <c:v>131.4</c:v>
                </c:pt>
                <c:pt idx="635">
                  <c:v>95</c:v>
                </c:pt>
                <c:pt idx="636">
                  <c:v>111</c:v>
                </c:pt>
                <c:pt idx="637">
                  <c:v>85</c:v>
                </c:pt>
                <c:pt idx="638">
                  <c:v>130.94999999999999</c:v>
                </c:pt>
                <c:pt idx="639">
                  <c:v>101.5</c:v>
                </c:pt>
                <c:pt idx="640">
                  <c:v>82</c:v>
                </c:pt>
                <c:pt idx="641">
                  <c:v>94.5</c:v>
                </c:pt>
                <c:pt idx="642">
                  <c:v>109.8</c:v>
                </c:pt>
                <c:pt idx="643">
                  <c:v>72.25</c:v>
                </c:pt>
                <c:pt idx="644">
                  <c:v>55.72</c:v>
                </c:pt>
                <c:pt idx="645">
                  <c:v>158.4</c:v>
                </c:pt>
                <c:pt idx="646">
                  <c:v>69</c:v>
                </c:pt>
                <c:pt idx="647">
                  <c:v>105</c:v>
                </c:pt>
                <c:pt idx="648">
                  <c:v>219.6</c:v>
                </c:pt>
                <c:pt idx="649">
                  <c:v>44.8</c:v>
                </c:pt>
                <c:pt idx="650">
                  <c:v>120</c:v>
                </c:pt>
                <c:pt idx="651">
                  <c:v>100</c:v>
                </c:pt>
                <c:pt idx="652">
                  <c:v>109</c:v>
                </c:pt>
                <c:pt idx="653">
                  <c:v>115.68</c:v>
                </c:pt>
                <c:pt idx="654">
                  <c:v>75</c:v>
                </c:pt>
                <c:pt idx="655">
                  <c:v>134.1</c:v>
                </c:pt>
                <c:pt idx="656">
                  <c:v>124.1</c:v>
                </c:pt>
                <c:pt idx="657">
                  <c:v>214.75</c:v>
                </c:pt>
                <c:pt idx="658">
                  <c:v>75</c:v>
                </c:pt>
                <c:pt idx="659">
                  <c:v>72.25</c:v>
                </c:pt>
                <c:pt idx="660">
                  <c:v>80</c:v>
                </c:pt>
                <c:pt idx="661">
                  <c:v>139</c:v>
                </c:pt>
                <c:pt idx="662">
                  <c:v>66</c:v>
                </c:pt>
                <c:pt idx="663">
                  <c:v>115.5</c:v>
                </c:pt>
                <c:pt idx="664">
                  <c:v>195.5</c:v>
                </c:pt>
                <c:pt idx="665">
                  <c:v>115</c:v>
                </c:pt>
                <c:pt idx="666">
                  <c:v>84</c:v>
                </c:pt>
                <c:pt idx="667">
                  <c:v>107.8</c:v>
                </c:pt>
                <c:pt idx="668">
                  <c:v>105</c:v>
                </c:pt>
                <c:pt idx="669">
                  <c:v>78</c:v>
                </c:pt>
                <c:pt idx="670">
                  <c:v>90</c:v>
                </c:pt>
                <c:pt idx="671">
                  <c:v>105.3</c:v>
                </c:pt>
                <c:pt idx="672">
                  <c:v>80.3</c:v>
                </c:pt>
                <c:pt idx="673">
                  <c:v>129</c:v>
                </c:pt>
                <c:pt idx="674">
                  <c:v>115</c:v>
                </c:pt>
                <c:pt idx="675">
                  <c:v>125.1</c:v>
                </c:pt>
                <c:pt idx="676">
                  <c:v>103</c:v>
                </c:pt>
                <c:pt idx="677">
                  <c:v>125.1</c:v>
                </c:pt>
                <c:pt idx="678">
                  <c:v>96.17</c:v>
                </c:pt>
                <c:pt idx="679">
                  <c:v>185</c:v>
                </c:pt>
                <c:pt idx="680">
                  <c:v>69.739999999999995</c:v>
                </c:pt>
                <c:pt idx="681">
                  <c:v>172.55</c:v>
                </c:pt>
                <c:pt idx="682">
                  <c:v>95</c:v>
                </c:pt>
                <c:pt idx="683">
                  <c:v>166.35</c:v>
                </c:pt>
                <c:pt idx="684">
                  <c:v>108</c:v>
                </c:pt>
                <c:pt idx="685">
                  <c:v>102</c:v>
                </c:pt>
                <c:pt idx="686">
                  <c:v>203.73</c:v>
                </c:pt>
                <c:pt idx="687">
                  <c:v>78.69</c:v>
                </c:pt>
                <c:pt idx="688">
                  <c:v>79.2</c:v>
                </c:pt>
                <c:pt idx="689">
                  <c:v>76.5</c:v>
                </c:pt>
                <c:pt idx="690">
                  <c:v>100</c:v>
                </c:pt>
                <c:pt idx="691">
                  <c:v>88.4</c:v>
                </c:pt>
                <c:pt idx="692">
                  <c:v>110</c:v>
                </c:pt>
                <c:pt idx="693">
                  <c:v>109.8</c:v>
                </c:pt>
                <c:pt idx="694">
                  <c:v>78.3</c:v>
                </c:pt>
                <c:pt idx="695">
                  <c:v>101.5</c:v>
                </c:pt>
                <c:pt idx="696">
                  <c:v>80.75</c:v>
                </c:pt>
                <c:pt idx="697">
                  <c:v>104</c:v>
                </c:pt>
                <c:pt idx="698">
                  <c:v>51.19</c:v>
                </c:pt>
                <c:pt idx="699">
                  <c:v>150</c:v>
                </c:pt>
              </c:numCache>
            </c:numRef>
          </c:yVal>
          <c:smooth val="0"/>
          <c:extLst>
            <c:ext xmlns:c16="http://schemas.microsoft.com/office/drawing/2014/chart" uri="{C3380CC4-5D6E-409C-BE32-E72D297353CC}">
              <c16:uniqueId val="{00000000-CAFD-411E-B0C9-4B819FCE9F69}"/>
            </c:ext>
          </c:extLst>
        </c:ser>
        <c:dLbls>
          <c:showLegendKey val="0"/>
          <c:showVal val="0"/>
          <c:showCatName val="0"/>
          <c:showSerName val="0"/>
          <c:showPercent val="0"/>
          <c:showBubbleSize val="0"/>
        </c:dLbls>
        <c:axId val="1236945232"/>
        <c:axId val="1236945712"/>
      </c:scatterChart>
      <c:valAx>
        <c:axId val="1236945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45712"/>
        <c:crosses val="autoZero"/>
        <c:crossBetween val="midCat"/>
      </c:valAx>
      <c:valAx>
        <c:axId val="123694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452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[hotel_reservation_cancellation_analysis.xlsx]V2&amp;V4!PivotTable14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Lead</a:t>
            </a:r>
            <a:r>
              <a:rPr lang="en-US" baseline="0"/>
              <a:t> Time by Market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'V2&amp;V4'!$B$1:$B$2</c:f>
              <c:strCache>
                <c:ptCount val="1"/>
                <c:pt idx="0">
                  <c:v>Aviation</c:v>
                </c:pt>
              </c:strCache>
            </c:strRef>
          </c:tx>
          <c:spPr>
            <a:solidFill>
              <a:schemeClr val="accent1"/>
            </a:solidFill>
            <a:ln>
              <a:noFill/>
            </a:ln>
            <a:effectLst/>
          </c:spPr>
          <c:invertIfNegative val="0"/>
          <c:cat>
            <c:strRef>
              <c:f>'V2&amp;V4'!$A$3:$A$14</c:f>
              <c:strCache>
                <c:ptCount val="11"/>
                <c:pt idx="0">
                  <c:v>0-29</c:v>
                </c:pt>
                <c:pt idx="1">
                  <c:v>30-59</c:v>
                </c:pt>
                <c:pt idx="2">
                  <c:v>60-89</c:v>
                </c:pt>
                <c:pt idx="3">
                  <c:v>90-119</c:v>
                </c:pt>
                <c:pt idx="4">
                  <c:v>120-149</c:v>
                </c:pt>
                <c:pt idx="5">
                  <c:v>150-179</c:v>
                </c:pt>
                <c:pt idx="6">
                  <c:v>180-209</c:v>
                </c:pt>
                <c:pt idx="7">
                  <c:v>210-239</c:v>
                </c:pt>
                <c:pt idx="8">
                  <c:v>240-269</c:v>
                </c:pt>
                <c:pt idx="9">
                  <c:v>270-300</c:v>
                </c:pt>
                <c:pt idx="10">
                  <c:v>&gt;300</c:v>
                </c:pt>
              </c:strCache>
            </c:strRef>
          </c:cat>
          <c:val>
            <c:numRef>
              <c:f>'V2&amp;V4'!$B$3:$B$14</c:f>
              <c:numCache>
                <c:formatCode>General</c:formatCode>
                <c:ptCount val="11"/>
                <c:pt idx="0">
                  <c:v>1</c:v>
                </c:pt>
              </c:numCache>
            </c:numRef>
          </c:val>
          <c:extLst>
            <c:ext xmlns:c16="http://schemas.microsoft.com/office/drawing/2014/chart" uri="{C3380CC4-5D6E-409C-BE32-E72D297353CC}">
              <c16:uniqueId val="{00000000-0706-4B73-87E8-678C697B31AD}"/>
            </c:ext>
          </c:extLst>
        </c:ser>
        <c:ser>
          <c:idx val="1"/>
          <c:order val="1"/>
          <c:tx>
            <c:strRef>
              <c:f>'V2&amp;V4'!$C$1:$C$2</c:f>
              <c:strCache>
                <c:ptCount val="1"/>
                <c:pt idx="0">
                  <c:v>Complementary</c:v>
                </c:pt>
              </c:strCache>
            </c:strRef>
          </c:tx>
          <c:spPr>
            <a:solidFill>
              <a:schemeClr val="accent2"/>
            </a:solidFill>
            <a:ln>
              <a:noFill/>
            </a:ln>
            <a:effectLst/>
          </c:spPr>
          <c:invertIfNegative val="0"/>
          <c:cat>
            <c:strRef>
              <c:f>'V2&amp;V4'!$A$3:$A$14</c:f>
              <c:strCache>
                <c:ptCount val="11"/>
                <c:pt idx="0">
                  <c:v>0-29</c:v>
                </c:pt>
                <c:pt idx="1">
                  <c:v>30-59</c:v>
                </c:pt>
                <c:pt idx="2">
                  <c:v>60-89</c:v>
                </c:pt>
                <c:pt idx="3">
                  <c:v>90-119</c:v>
                </c:pt>
                <c:pt idx="4">
                  <c:v>120-149</c:v>
                </c:pt>
                <c:pt idx="5">
                  <c:v>150-179</c:v>
                </c:pt>
                <c:pt idx="6">
                  <c:v>180-209</c:v>
                </c:pt>
                <c:pt idx="7">
                  <c:v>210-239</c:v>
                </c:pt>
                <c:pt idx="8">
                  <c:v>240-269</c:v>
                </c:pt>
                <c:pt idx="9">
                  <c:v>270-300</c:v>
                </c:pt>
                <c:pt idx="10">
                  <c:v>&gt;300</c:v>
                </c:pt>
              </c:strCache>
            </c:strRef>
          </c:cat>
          <c:val>
            <c:numRef>
              <c:f>'V2&amp;V4'!$C$3:$C$14</c:f>
              <c:numCache>
                <c:formatCode>General</c:formatCode>
                <c:ptCount val="11"/>
                <c:pt idx="0">
                  <c:v>12</c:v>
                </c:pt>
                <c:pt idx="1">
                  <c:v>1</c:v>
                </c:pt>
                <c:pt idx="2">
                  <c:v>1</c:v>
                </c:pt>
              </c:numCache>
            </c:numRef>
          </c:val>
          <c:extLst>
            <c:ext xmlns:c16="http://schemas.microsoft.com/office/drawing/2014/chart" uri="{C3380CC4-5D6E-409C-BE32-E72D297353CC}">
              <c16:uniqueId val="{00000001-0706-4B73-87E8-678C697B31AD}"/>
            </c:ext>
          </c:extLst>
        </c:ser>
        <c:ser>
          <c:idx val="2"/>
          <c:order val="2"/>
          <c:tx>
            <c:strRef>
              <c:f>'V2&amp;V4'!$D$1:$D$2</c:f>
              <c:strCache>
                <c:ptCount val="1"/>
                <c:pt idx="0">
                  <c:v>Corporate</c:v>
                </c:pt>
              </c:strCache>
            </c:strRef>
          </c:tx>
          <c:spPr>
            <a:solidFill>
              <a:schemeClr val="accent3"/>
            </a:solidFill>
            <a:ln>
              <a:noFill/>
            </a:ln>
            <a:effectLst/>
          </c:spPr>
          <c:invertIfNegative val="0"/>
          <c:cat>
            <c:strRef>
              <c:f>'V2&amp;V4'!$A$3:$A$14</c:f>
              <c:strCache>
                <c:ptCount val="11"/>
                <c:pt idx="0">
                  <c:v>0-29</c:v>
                </c:pt>
                <c:pt idx="1">
                  <c:v>30-59</c:v>
                </c:pt>
                <c:pt idx="2">
                  <c:v>60-89</c:v>
                </c:pt>
                <c:pt idx="3">
                  <c:v>90-119</c:v>
                </c:pt>
                <c:pt idx="4">
                  <c:v>120-149</c:v>
                </c:pt>
                <c:pt idx="5">
                  <c:v>150-179</c:v>
                </c:pt>
                <c:pt idx="6">
                  <c:v>180-209</c:v>
                </c:pt>
                <c:pt idx="7">
                  <c:v>210-239</c:v>
                </c:pt>
                <c:pt idx="8">
                  <c:v>240-269</c:v>
                </c:pt>
                <c:pt idx="9">
                  <c:v>270-300</c:v>
                </c:pt>
                <c:pt idx="10">
                  <c:v>&gt;300</c:v>
                </c:pt>
              </c:strCache>
            </c:strRef>
          </c:cat>
          <c:val>
            <c:numRef>
              <c:f>'V2&amp;V4'!$D$3:$D$14</c:f>
              <c:numCache>
                <c:formatCode>General</c:formatCode>
                <c:ptCount val="11"/>
                <c:pt idx="0">
                  <c:v>20</c:v>
                </c:pt>
                <c:pt idx="1">
                  <c:v>3</c:v>
                </c:pt>
                <c:pt idx="2">
                  <c:v>2</c:v>
                </c:pt>
                <c:pt idx="3">
                  <c:v>1</c:v>
                </c:pt>
                <c:pt idx="4">
                  <c:v>1</c:v>
                </c:pt>
              </c:numCache>
            </c:numRef>
          </c:val>
          <c:extLst>
            <c:ext xmlns:c16="http://schemas.microsoft.com/office/drawing/2014/chart" uri="{C3380CC4-5D6E-409C-BE32-E72D297353CC}">
              <c16:uniqueId val="{00000002-0706-4B73-87E8-678C697B31AD}"/>
            </c:ext>
          </c:extLst>
        </c:ser>
        <c:ser>
          <c:idx val="3"/>
          <c:order val="3"/>
          <c:tx>
            <c:strRef>
              <c:f>'V2&amp;V4'!$E$1:$E$2</c:f>
              <c:strCache>
                <c:ptCount val="1"/>
                <c:pt idx="0">
                  <c:v>Offline</c:v>
                </c:pt>
              </c:strCache>
            </c:strRef>
          </c:tx>
          <c:spPr>
            <a:solidFill>
              <a:schemeClr val="accent4"/>
            </a:solidFill>
            <a:ln>
              <a:noFill/>
            </a:ln>
            <a:effectLst/>
          </c:spPr>
          <c:invertIfNegative val="0"/>
          <c:cat>
            <c:strRef>
              <c:f>'V2&amp;V4'!$A$3:$A$14</c:f>
              <c:strCache>
                <c:ptCount val="11"/>
                <c:pt idx="0">
                  <c:v>0-29</c:v>
                </c:pt>
                <c:pt idx="1">
                  <c:v>30-59</c:v>
                </c:pt>
                <c:pt idx="2">
                  <c:v>60-89</c:v>
                </c:pt>
                <c:pt idx="3">
                  <c:v>90-119</c:v>
                </c:pt>
                <c:pt idx="4">
                  <c:v>120-149</c:v>
                </c:pt>
                <c:pt idx="5">
                  <c:v>150-179</c:v>
                </c:pt>
                <c:pt idx="6">
                  <c:v>180-209</c:v>
                </c:pt>
                <c:pt idx="7">
                  <c:v>210-239</c:v>
                </c:pt>
                <c:pt idx="8">
                  <c:v>240-269</c:v>
                </c:pt>
                <c:pt idx="9">
                  <c:v>270-300</c:v>
                </c:pt>
                <c:pt idx="10">
                  <c:v>&gt;300</c:v>
                </c:pt>
              </c:strCache>
            </c:strRef>
          </c:cat>
          <c:val>
            <c:numRef>
              <c:f>'V2&amp;V4'!$E$3:$E$14</c:f>
              <c:numCache>
                <c:formatCode>General</c:formatCode>
                <c:ptCount val="11"/>
                <c:pt idx="0">
                  <c:v>28</c:v>
                </c:pt>
                <c:pt idx="1">
                  <c:v>46</c:v>
                </c:pt>
                <c:pt idx="2">
                  <c:v>18</c:v>
                </c:pt>
                <c:pt idx="3">
                  <c:v>14</c:v>
                </c:pt>
                <c:pt idx="4">
                  <c:v>12</c:v>
                </c:pt>
                <c:pt idx="5">
                  <c:v>5</c:v>
                </c:pt>
                <c:pt idx="6">
                  <c:v>7</c:v>
                </c:pt>
                <c:pt idx="7">
                  <c:v>2</c:v>
                </c:pt>
                <c:pt idx="8">
                  <c:v>3</c:v>
                </c:pt>
                <c:pt idx="9">
                  <c:v>4</c:v>
                </c:pt>
                <c:pt idx="10">
                  <c:v>1</c:v>
                </c:pt>
              </c:numCache>
            </c:numRef>
          </c:val>
          <c:extLst>
            <c:ext xmlns:c16="http://schemas.microsoft.com/office/drawing/2014/chart" uri="{C3380CC4-5D6E-409C-BE32-E72D297353CC}">
              <c16:uniqueId val="{00000003-0706-4B73-87E8-678C697B31AD}"/>
            </c:ext>
          </c:extLst>
        </c:ser>
        <c:ser>
          <c:idx val="4"/>
          <c:order val="4"/>
          <c:tx>
            <c:strRef>
              <c:f>'V2&amp;V4'!$F$1:$F$2</c:f>
              <c:strCache>
                <c:ptCount val="1"/>
                <c:pt idx="0">
                  <c:v>Online</c:v>
                </c:pt>
              </c:strCache>
            </c:strRef>
          </c:tx>
          <c:spPr>
            <a:solidFill>
              <a:schemeClr val="accent5"/>
            </a:solidFill>
            <a:ln>
              <a:noFill/>
            </a:ln>
            <a:effectLst/>
          </c:spPr>
          <c:invertIfNegative val="0"/>
          <c:cat>
            <c:strRef>
              <c:f>'V2&amp;V4'!$A$3:$A$14</c:f>
              <c:strCache>
                <c:ptCount val="11"/>
                <c:pt idx="0">
                  <c:v>0-29</c:v>
                </c:pt>
                <c:pt idx="1">
                  <c:v>30-59</c:v>
                </c:pt>
                <c:pt idx="2">
                  <c:v>60-89</c:v>
                </c:pt>
                <c:pt idx="3">
                  <c:v>90-119</c:v>
                </c:pt>
                <c:pt idx="4">
                  <c:v>120-149</c:v>
                </c:pt>
                <c:pt idx="5">
                  <c:v>150-179</c:v>
                </c:pt>
                <c:pt idx="6">
                  <c:v>180-209</c:v>
                </c:pt>
                <c:pt idx="7">
                  <c:v>210-239</c:v>
                </c:pt>
                <c:pt idx="8">
                  <c:v>240-269</c:v>
                </c:pt>
                <c:pt idx="9">
                  <c:v>270-300</c:v>
                </c:pt>
                <c:pt idx="10">
                  <c:v>&gt;300</c:v>
                </c:pt>
              </c:strCache>
            </c:strRef>
          </c:cat>
          <c:val>
            <c:numRef>
              <c:f>'V2&amp;V4'!$F$3:$F$14</c:f>
              <c:numCache>
                <c:formatCode>General</c:formatCode>
                <c:ptCount val="11"/>
                <c:pt idx="0">
                  <c:v>153</c:v>
                </c:pt>
                <c:pt idx="1">
                  <c:v>99</c:v>
                </c:pt>
                <c:pt idx="2">
                  <c:v>81</c:v>
                </c:pt>
                <c:pt idx="3">
                  <c:v>48</c:v>
                </c:pt>
                <c:pt idx="4">
                  <c:v>31</c:v>
                </c:pt>
                <c:pt idx="5">
                  <c:v>29</c:v>
                </c:pt>
                <c:pt idx="6">
                  <c:v>21</c:v>
                </c:pt>
                <c:pt idx="7">
                  <c:v>13</c:v>
                </c:pt>
                <c:pt idx="8">
                  <c:v>17</c:v>
                </c:pt>
                <c:pt idx="9">
                  <c:v>8</c:v>
                </c:pt>
                <c:pt idx="10">
                  <c:v>18</c:v>
                </c:pt>
              </c:numCache>
            </c:numRef>
          </c:val>
          <c:extLst>
            <c:ext xmlns:c16="http://schemas.microsoft.com/office/drawing/2014/chart" uri="{C3380CC4-5D6E-409C-BE32-E72D297353CC}">
              <c16:uniqueId val="{00000004-0706-4B73-87E8-678C697B31AD}"/>
            </c:ext>
          </c:extLst>
        </c:ser>
        <c:dLbls>
          <c:showLegendKey val="0"/>
          <c:showVal val="0"/>
          <c:showCatName val="0"/>
          <c:showSerName val="0"/>
          <c:showPercent val="0"/>
          <c:showBubbleSize val="0"/>
        </c:dLbls>
        <c:gapWidth val="182"/>
        <c:axId val="1228884304"/>
        <c:axId val="1228884784"/>
      </c:barChart>
      <c:catAx>
        <c:axId val="1228884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884784"/>
        <c:crosses val="autoZero"/>
        <c:auto val="1"/>
        <c:lblAlgn val="ctr"/>
        <c:lblOffset val="100"/>
        <c:noMultiLvlLbl val="0"/>
      </c:catAx>
      <c:valAx>
        <c:axId val="1228884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88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[hotel_reservation_cancellation_analysis.xlsx]V2&amp;V3!PivotTable13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Room</a:t>
            </a:r>
            <a:r>
              <a:rPr lang="en-US" baseline="0"/>
              <a:t> Price By Market Segment</a:t>
            </a:r>
            <a:endParaRPr lang="en-US"/>
          </a:p>
        </c:rich>
      </c:tx>
      <c:layout>
        <c:manualLayout>
          <c:xMode val="edge"/>
          <c:yMode val="edge"/>
          <c:x val="0.1948195538057743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'V2&amp;V3'!$B$1:$B$2</c:f>
              <c:strCache>
                <c:ptCount val="1"/>
                <c:pt idx="0">
                  <c:v>Aviation</c:v>
                </c:pt>
              </c:strCache>
            </c:strRef>
          </c:tx>
          <c:spPr>
            <a:solidFill>
              <a:schemeClr val="accent1"/>
            </a:solidFill>
            <a:ln>
              <a:noFill/>
            </a:ln>
            <a:effectLst/>
          </c:spPr>
          <c:invertIfNegative val="0"/>
          <c:cat>
            <c:strRef>
              <c:f>'V2&amp;V3'!$A$3:$A$9</c:f>
              <c:strCache>
                <c:ptCount val="6"/>
                <c:pt idx="0">
                  <c:v>0-50</c:v>
                </c:pt>
                <c:pt idx="1">
                  <c:v>50-100</c:v>
                </c:pt>
                <c:pt idx="2">
                  <c:v>100-150</c:v>
                </c:pt>
                <c:pt idx="3">
                  <c:v>150-200</c:v>
                </c:pt>
                <c:pt idx="4">
                  <c:v>200-250</c:v>
                </c:pt>
                <c:pt idx="5">
                  <c:v>250-300</c:v>
                </c:pt>
              </c:strCache>
            </c:strRef>
          </c:cat>
          <c:val>
            <c:numRef>
              <c:f>'V2&amp;V3'!$B$3:$B$9</c:f>
              <c:numCache>
                <c:formatCode>General</c:formatCode>
                <c:ptCount val="6"/>
                <c:pt idx="2">
                  <c:v>1</c:v>
                </c:pt>
              </c:numCache>
            </c:numRef>
          </c:val>
          <c:extLst>
            <c:ext xmlns:c16="http://schemas.microsoft.com/office/drawing/2014/chart" uri="{C3380CC4-5D6E-409C-BE32-E72D297353CC}">
              <c16:uniqueId val="{00000000-A20E-4463-9E6F-D41E39029F4A}"/>
            </c:ext>
          </c:extLst>
        </c:ser>
        <c:ser>
          <c:idx val="1"/>
          <c:order val="1"/>
          <c:tx>
            <c:strRef>
              <c:f>'V2&amp;V3'!$C$1:$C$2</c:f>
              <c:strCache>
                <c:ptCount val="1"/>
                <c:pt idx="0">
                  <c:v>Complementary</c:v>
                </c:pt>
              </c:strCache>
            </c:strRef>
          </c:tx>
          <c:spPr>
            <a:solidFill>
              <a:schemeClr val="accent2"/>
            </a:solidFill>
            <a:ln>
              <a:noFill/>
            </a:ln>
            <a:effectLst/>
          </c:spPr>
          <c:invertIfNegative val="0"/>
          <c:cat>
            <c:strRef>
              <c:f>'V2&amp;V3'!$A$3:$A$9</c:f>
              <c:strCache>
                <c:ptCount val="6"/>
                <c:pt idx="0">
                  <c:v>0-50</c:v>
                </c:pt>
                <c:pt idx="1">
                  <c:v>50-100</c:v>
                </c:pt>
                <c:pt idx="2">
                  <c:v>100-150</c:v>
                </c:pt>
                <c:pt idx="3">
                  <c:v>150-200</c:v>
                </c:pt>
                <c:pt idx="4">
                  <c:v>200-250</c:v>
                </c:pt>
                <c:pt idx="5">
                  <c:v>250-300</c:v>
                </c:pt>
              </c:strCache>
            </c:strRef>
          </c:cat>
          <c:val>
            <c:numRef>
              <c:f>'V2&amp;V3'!$C$3:$C$9</c:f>
              <c:numCache>
                <c:formatCode>General</c:formatCode>
                <c:ptCount val="6"/>
                <c:pt idx="0">
                  <c:v>14</c:v>
                </c:pt>
              </c:numCache>
            </c:numRef>
          </c:val>
          <c:extLst>
            <c:ext xmlns:c16="http://schemas.microsoft.com/office/drawing/2014/chart" uri="{C3380CC4-5D6E-409C-BE32-E72D297353CC}">
              <c16:uniqueId val="{00000001-A20E-4463-9E6F-D41E39029F4A}"/>
            </c:ext>
          </c:extLst>
        </c:ser>
        <c:ser>
          <c:idx val="2"/>
          <c:order val="2"/>
          <c:tx>
            <c:strRef>
              <c:f>'V2&amp;V3'!$D$1:$D$2</c:f>
              <c:strCache>
                <c:ptCount val="1"/>
                <c:pt idx="0">
                  <c:v>Corporate</c:v>
                </c:pt>
              </c:strCache>
            </c:strRef>
          </c:tx>
          <c:spPr>
            <a:solidFill>
              <a:schemeClr val="accent3"/>
            </a:solidFill>
            <a:ln>
              <a:noFill/>
            </a:ln>
            <a:effectLst/>
          </c:spPr>
          <c:invertIfNegative val="0"/>
          <c:cat>
            <c:strRef>
              <c:f>'V2&amp;V3'!$A$3:$A$9</c:f>
              <c:strCache>
                <c:ptCount val="6"/>
                <c:pt idx="0">
                  <c:v>0-50</c:v>
                </c:pt>
                <c:pt idx="1">
                  <c:v>50-100</c:v>
                </c:pt>
                <c:pt idx="2">
                  <c:v>100-150</c:v>
                </c:pt>
                <c:pt idx="3">
                  <c:v>150-200</c:v>
                </c:pt>
                <c:pt idx="4">
                  <c:v>200-250</c:v>
                </c:pt>
                <c:pt idx="5">
                  <c:v>250-300</c:v>
                </c:pt>
              </c:strCache>
            </c:strRef>
          </c:cat>
          <c:val>
            <c:numRef>
              <c:f>'V2&amp;V3'!$D$3:$D$9</c:f>
              <c:numCache>
                <c:formatCode>General</c:formatCode>
                <c:ptCount val="6"/>
                <c:pt idx="1">
                  <c:v>21</c:v>
                </c:pt>
                <c:pt idx="2">
                  <c:v>5</c:v>
                </c:pt>
                <c:pt idx="3">
                  <c:v>1</c:v>
                </c:pt>
              </c:numCache>
            </c:numRef>
          </c:val>
          <c:extLst>
            <c:ext xmlns:c16="http://schemas.microsoft.com/office/drawing/2014/chart" uri="{C3380CC4-5D6E-409C-BE32-E72D297353CC}">
              <c16:uniqueId val="{00000002-A20E-4463-9E6F-D41E39029F4A}"/>
            </c:ext>
          </c:extLst>
        </c:ser>
        <c:ser>
          <c:idx val="3"/>
          <c:order val="3"/>
          <c:tx>
            <c:strRef>
              <c:f>'V2&amp;V3'!$E$1:$E$2</c:f>
              <c:strCache>
                <c:ptCount val="1"/>
                <c:pt idx="0">
                  <c:v>Offline</c:v>
                </c:pt>
              </c:strCache>
            </c:strRef>
          </c:tx>
          <c:spPr>
            <a:solidFill>
              <a:schemeClr val="accent4"/>
            </a:solidFill>
            <a:ln>
              <a:noFill/>
            </a:ln>
            <a:effectLst/>
          </c:spPr>
          <c:invertIfNegative val="0"/>
          <c:cat>
            <c:strRef>
              <c:f>'V2&amp;V3'!$A$3:$A$9</c:f>
              <c:strCache>
                <c:ptCount val="6"/>
                <c:pt idx="0">
                  <c:v>0-50</c:v>
                </c:pt>
                <c:pt idx="1">
                  <c:v>50-100</c:v>
                </c:pt>
                <c:pt idx="2">
                  <c:v>100-150</c:v>
                </c:pt>
                <c:pt idx="3">
                  <c:v>150-200</c:v>
                </c:pt>
                <c:pt idx="4">
                  <c:v>200-250</c:v>
                </c:pt>
                <c:pt idx="5">
                  <c:v>250-300</c:v>
                </c:pt>
              </c:strCache>
            </c:strRef>
          </c:cat>
          <c:val>
            <c:numRef>
              <c:f>'V2&amp;V3'!$E$3:$E$9</c:f>
              <c:numCache>
                <c:formatCode>General</c:formatCode>
                <c:ptCount val="6"/>
                <c:pt idx="0">
                  <c:v>1</c:v>
                </c:pt>
                <c:pt idx="1">
                  <c:v>96</c:v>
                </c:pt>
                <c:pt idx="2">
                  <c:v>39</c:v>
                </c:pt>
                <c:pt idx="3">
                  <c:v>4</c:v>
                </c:pt>
              </c:numCache>
            </c:numRef>
          </c:val>
          <c:extLst>
            <c:ext xmlns:c16="http://schemas.microsoft.com/office/drawing/2014/chart" uri="{C3380CC4-5D6E-409C-BE32-E72D297353CC}">
              <c16:uniqueId val="{00000003-A20E-4463-9E6F-D41E39029F4A}"/>
            </c:ext>
          </c:extLst>
        </c:ser>
        <c:ser>
          <c:idx val="4"/>
          <c:order val="4"/>
          <c:tx>
            <c:strRef>
              <c:f>'V2&amp;V3'!$F$1:$F$2</c:f>
              <c:strCache>
                <c:ptCount val="1"/>
                <c:pt idx="0">
                  <c:v>Online</c:v>
                </c:pt>
              </c:strCache>
            </c:strRef>
          </c:tx>
          <c:spPr>
            <a:solidFill>
              <a:schemeClr val="accent5"/>
            </a:solidFill>
            <a:ln>
              <a:noFill/>
            </a:ln>
            <a:effectLst/>
          </c:spPr>
          <c:invertIfNegative val="0"/>
          <c:cat>
            <c:strRef>
              <c:f>'V2&amp;V3'!$A$3:$A$9</c:f>
              <c:strCache>
                <c:ptCount val="6"/>
                <c:pt idx="0">
                  <c:v>0-50</c:v>
                </c:pt>
                <c:pt idx="1">
                  <c:v>50-100</c:v>
                </c:pt>
                <c:pt idx="2">
                  <c:v>100-150</c:v>
                </c:pt>
                <c:pt idx="3">
                  <c:v>150-200</c:v>
                </c:pt>
                <c:pt idx="4">
                  <c:v>200-250</c:v>
                </c:pt>
                <c:pt idx="5">
                  <c:v>250-300</c:v>
                </c:pt>
              </c:strCache>
            </c:strRef>
          </c:cat>
          <c:val>
            <c:numRef>
              <c:f>'V2&amp;V3'!$F$3:$F$9</c:f>
              <c:numCache>
                <c:formatCode>General</c:formatCode>
                <c:ptCount val="6"/>
                <c:pt idx="0">
                  <c:v>3</c:v>
                </c:pt>
                <c:pt idx="1">
                  <c:v>197</c:v>
                </c:pt>
                <c:pt idx="2">
                  <c:v>253</c:v>
                </c:pt>
                <c:pt idx="3">
                  <c:v>55</c:v>
                </c:pt>
                <c:pt idx="4">
                  <c:v>9</c:v>
                </c:pt>
                <c:pt idx="5">
                  <c:v>1</c:v>
                </c:pt>
              </c:numCache>
            </c:numRef>
          </c:val>
          <c:extLst>
            <c:ext xmlns:c16="http://schemas.microsoft.com/office/drawing/2014/chart" uri="{C3380CC4-5D6E-409C-BE32-E72D297353CC}">
              <c16:uniqueId val="{00000004-A20E-4463-9E6F-D41E39029F4A}"/>
            </c:ext>
          </c:extLst>
        </c:ser>
        <c:dLbls>
          <c:showLegendKey val="0"/>
          <c:showVal val="0"/>
          <c:showCatName val="0"/>
          <c:showSerName val="0"/>
          <c:showPercent val="0"/>
          <c:showBubbleSize val="0"/>
        </c:dLbls>
        <c:gapWidth val="182"/>
        <c:axId val="1004019248"/>
        <c:axId val="1226442656"/>
      </c:barChart>
      <c:catAx>
        <c:axId val="100401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442656"/>
        <c:crosses val="autoZero"/>
        <c:auto val="1"/>
        <c:lblAlgn val="ctr"/>
        <c:lblOffset val="100"/>
        <c:noMultiLvlLbl val="0"/>
      </c:catAx>
      <c:valAx>
        <c:axId val="12264426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 </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01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[hotel_reservation_cancellation_analysis.xlsx]V1&amp;V4!PivotTable12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Lead Time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'V1&amp;V4'!$B$1:$B$2</c:f>
              <c:strCache>
                <c:ptCount val="1"/>
                <c:pt idx="0">
                  <c:v>Canceled</c:v>
                </c:pt>
              </c:strCache>
            </c:strRef>
          </c:tx>
          <c:spPr>
            <a:solidFill>
              <a:schemeClr val="accent1"/>
            </a:solidFill>
            <a:ln>
              <a:noFill/>
            </a:ln>
            <a:effectLst/>
          </c:spPr>
          <c:invertIfNegative val="0"/>
          <c:cat>
            <c:strRef>
              <c:f>'V1&amp;V4'!$A$3:$A$14</c:f>
              <c:strCache>
                <c:ptCount val="11"/>
                <c:pt idx="0">
                  <c:v>0-29</c:v>
                </c:pt>
                <c:pt idx="1">
                  <c:v>30-59</c:v>
                </c:pt>
                <c:pt idx="2">
                  <c:v>60-89</c:v>
                </c:pt>
                <c:pt idx="3">
                  <c:v>90-119</c:v>
                </c:pt>
                <c:pt idx="4">
                  <c:v>120-149</c:v>
                </c:pt>
                <c:pt idx="5">
                  <c:v>150-179</c:v>
                </c:pt>
                <c:pt idx="6">
                  <c:v>180-209</c:v>
                </c:pt>
                <c:pt idx="7">
                  <c:v>210-239</c:v>
                </c:pt>
                <c:pt idx="8">
                  <c:v>240-269</c:v>
                </c:pt>
                <c:pt idx="9">
                  <c:v>270-300</c:v>
                </c:pt>
                <c:pt idx="10">
                  <c:v>&gt;300</c:v>
                </c:pt>
              </c:strCache>
            </c:strRef>
          </c:cat>
          <c:val>
            <c:numRef>
              <c:f>'V1&amp;V4'!$B$3:$B$14</c:f>
              <c:numCache>
                <c:formatCode>General</c:formatCode>
                <c:ptCount val="11"/>
                <c:pt idx="0">
                  <c:v>34</c:v>
                </c:pt>
                <c:pt idx="1">
                  <c:v>33</c:v>
                </c:pt>
                <c:pt idx="2">
                  <c:v>19</c:v>
                </c:pt>
                <c:pt idx="3">
                  <c:v>19</c:v>
                </c:pt>
                <c:pt idx="4">
                  <c:v>14</c:v>
                </c:pt>
                <c:pt idx="5">
                  <c:v>20</c:v>
                </c:pt>
                <c:pt idx="6">
                  <c:v>15</c:v>
                </c:pt>
                <c:pt idx="7">
                  <c:v>12</c:v>
                </c:pt>
                <c:pt idx="8">
                  <c:v>15</c:v>
                </c:pt>
                <c:pt idx="9">
                  <c:v>8</c:v>
                </c:pt>
                <c:pt idx="10">
                  <c:v>18</c:v>
                </c:pt>
              </c:numCache>
            </c:numRef>
          </c:val>
          <c:extLst>
            <c:ext xmlns:c16="http://schemas.microsoft.com/office/drawing/2014/chart" uri="{C3380CC4-5D6E-409C-BE32-E72D297353CC}">
              <c16:uniqueId val="{00000000-A707-4020-BDED-B673476F838B}"/>
            </c:ext>
          </c:extLst>
        </c:ser>
        <c:ser>
          <c:idx val="1"/>
          <c:order val="1"/>
          <c:tx>
            <c:strRef>
              <c:f>'V1&amp;V4'!$C$1:$C$2</c:f>
              <c:strCache>
                <c:ptCount val="1"/>
                <c:pt idx="0">
                  <c:v>Not_Canceled</c:v>
                </c:pt>
              </c:strCache>
            </c:strRef>
          </c:tx>
          <c:spPr>
            <a:solidFill>
              <a:schemeClr val="accent2"/>
            </a:solidFill>
            <a:ln>
              <a:noFill/>
            </a:ln>
            <a:effectLst/>
          </c:spPr>
          <c:invertIfNegative val="0"/>
          <c:cat>
            <c:strRef>
              <c:f>'V1&amp;V4'!$A$3:$A$14</c:f>
              <c:strCache>
                <c:ptCount val="11"/>
                <c:pt idx="0">
                  <c:v>0-29</c:v>
                </c:pt>
                <c:pt idx="1">
                  <c:v>30-59</c:v>
                </c:pt>
                <c:pt idx="2">
                  <c:v>60-89</c:v>
                </c:pt>
                <c:pt idx="3">
                  <c:v>90-119</c:v>
                </c:pt>
                <c:pt idx="4">
                  <c:v>120-149</c:v>
                </c:pt>
                <c:pt idx="5">
                  <c:v>150-179</c:v>
                </c:pt>
                <c:pt idx="6">
                  <c:v>180-209</c:v>
                </c:pt>
                <c:pt idx="7">
                  <c:v>210-239</c:v>
                </c:pt>
                <c:pt idx="8">
                  <c:v>240-269</c:v>
                </c:pt>
                <c:pt idx="9">
                  <c:v>270-300</c:v>
                </c:pt>
                <c:pt idx="10">
                  <c:v>&gt;300</c:v>
                </c:pt>
              </c:strCache>
            </c:strRef>
          </c:cat>
          <c:val>
            <c:numRef>
              <c:f>'V1&amp;V4'!$C$3:$C$14</c:f>
              <c:numCache>
                <c:formatCode>General</c:formatCode>
                <c:ptCount val="11"/>
                <c:pt idx="0">
                  <c:v>180</c:v>
                </c:pt>
                <c:pt idx="1">
                  <c:v>116</c:v>
                </c:pt>
                <c:pt idx="2">
                  <c:v>83</c:v>
                </c:pt>
                <c:pt idx="3">
                  <c:v>44</c:v>
                </c:pt>
                <c:pt idx="4">
                  <c:v>30</c:v>
                </c:pt>
                <c:pt idx="5">
                  <c:v>14</c:v>
                </c:pt>
                <c:pt idx="6">
                  <c:v>13</c:v>
                </c:pt>
                <c:pt idx="7">
                  <c:v>3</c:v>
                </c:pt>
                <c:pt idx="8">
                  <c:v>5</c:v>
                </c:pt>
                <c:pt idx="9">
                  <c:v>4</c:v>
                </c:pt>
                <c:pt idx="10">
                  <c:v>1</c:v>
                </c:pt>
              </c:numCache>
            </c:numRef>
          </c:val>
          <c:extLst>
            <c:ext xmlns:c16="http://schemas.microsoft.com/office/drawing/2014/chart" uri="{C3380CC4-5D6E-409C-BE32-E72D297353CC}">
              <c16:uniqueId val="{00000001-A707-4020-BDED-B673476F838B}"/>
            </c:ext>
          </c:extLst>
        </c:ser>
        <c:dLbls>
          <c:showLegendKey val="0"/>
          <c:showVal val="0"/>
          <c:showCatName val="0"/>
          <c:showSerName val="0"/>
          <c:showPercent val="0"/>
          <c:showBubbleSize val="0"/>
        </c:dLbls>
        <c:gapWidth val="182"/>
        <c:axId val="1033228352"/>
        <c:axId val="364406159"/>
      </c:barChart>
      <c:catAx>
        <c:axId val="10332283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406159"/>
        <c:crosses val="autoZero"/>
        <c:auto val="1"/>
        <c:lblAlgn val="ctr"/>
        <c:lblOffset val="100"/>
        <c:noMultiLvlLbl val="0"/>
      </c:catAx>
      <c:valAx>
        <c:axId val="364406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22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[hotel_reservation_cancellation_analysis.xlsx]V1&amp;V3!PivotTable11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Room Price by Booking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'V1&amp;V3'!$B$1:$B$2</c:f>
              <c:strCache>
                <c:ptCount val="1"/>
                <c:pt idx="0">
                  <c:v>Canceled</c:v>
                </c:pt>
              </c:strCache>
            </c:strRef>
          </c:tx>
          <c:spPr>
            <a:solidFill>
              <a:schemeClr val="accent1"/>
            </a:solidFill>
            <a:ln>
              <a:noFill/>
            </a:ln>
            <a:effectLst/>
          </c:spPr>
          <c:invertIfNegative val="0"/>
          <c:cat>
            <c:strRef>
              <c:f>'V1&amp;V3'!$A$3:$A$9</c:f>
              <c:strCache>
                <c:ptCount val="6"/>
                <c:pt idx="0">
                  <c:v>0-50</c:v>
                </c:pt>
                <c:pt idx="1">
                  <c:v>50-100</c:v>
                </c:pt>
                <c:pt idx="2">
                  <c:v>100-150</c:v>
                </c:pt>
                <c:pt idx="3">
                  <c:v>150-200</c:v>
                </c:pt>
                <c:pt idx="4">
                  <c:v>200-250</c:v>
                </c:pt>
                <c:pt idx="5">
                  <c:v>250-300</c:v>
                </c:pt>
              </c:strCache>
            </c:strRef>
          </c:cat>
          <c:val>
            <c:numRef>
              <c:f>'V1&amp;V3'!$B$3:$B$9</c:f>
              <c:numCache>
                <c:formatCode>General</c:formatCode>
                <c:ptCount val="6"/>
                <c:pt idx="0">
                  <c:v>1</c:v>
                </c:pt>
                <c:pt idx="1">
                  <c:v>64</c:v>
                </c:pt>
                <c:pt idx="2">
                  <c:v>115</c:v>
                </c:pt>
                <c:pt idx="3">
                  <c:v>25</c:v>
                </c:pt>
                <c:pt idx="4">
                  <c:v>2</c:v>
                </c:pt>
              </c:numCache>
            </c:numRef>
          </c:val>
          <c:extLst>
            <c:ext xmlns:c16="http://schemas.microsoft.com/office/drawing/2014/chart" uri="{C3380CC4-5D6E-409C-BE32-E72D297353CC}">
              <c16:uniqueId val="{00000009-744A-4DA3-AC19-1675B6477097}"/>
            </c:ext>
          </c:extLst>
        </c:ser>
        <c:ser>
          <c:idx val="1"/>
          <c:order val="1"/>
          <c:tx>
            <c:strRef>
              <c:f>'V1&amp;V3'!$C$1:$C$2</c:f>
              <c:strCache>
                <c:ptCount val="1"/>
                <c:pt idx="0">
                  <c:v>Not_Canceled</c:v>
                </c:pt>
              </c:strCache>
            </c:strRef>
          </c:tx>
          <c:spPr>
            <a:solidFill>
              <a:schemeClr val="accent2"/>
            </a:solidFill>
            <a:ln>
              <a:noFill/>
            </a:ln>
            <a:effectLst/>
          </c:spPr>
          <c:invertIfNegative val="0"/>
          <c:cat>
            <c:strRef>
              <c:f>'V1&amp;V3'!$A$3:$A$9</c:f>
              <c:strCache>
                <c:ptCount val="6"/>
                <c:pt idx="0">
                  <c:v>0-50</c:v>
                </c:pt>
                <c:pt idx="1">
                  <c:v>50-100</c:v>
                </c:pt>
                <c:pt idx="2">
                  <c:v>100-150</c:v>
                </c:pt>
                <c:pt idx="3">
                  <c:v>150-200</c:v>
                </c:pt>
                <c:pt idx="4">
                  <c:v>200-250</c:v>
                </c:pt>
                <c:pt idx="5">
                  <c:v>250-300</c:v>
                </c:pt>
              </c:strCache>
            </c:strRef>
          </c:cat>
          <c:val>
            <c:numRef>
              <c:f>'V1&amp;V3'!$C$3:$C$9</c:f>
              <c:numCache>
                <c:formatCode>General</c:formatCode>
                <c:ptCount val="6"/>
                <c:pt idx="0">
                  <c:v>17</c:v>
                </c:pt>
                <c:pt idx="1">
                  <c:v>250</c:v>
                </c:pt>
                <c:pt idx="2">
                  <c:v>183</c:v>
                </c:pt>
                <c:pt idx="3">
                  <c:v>35</c:v>
                </c:pt>
                <c:pt idx="4">
                  <c:v>7</c:v>
                </c:pt>
                <c:pt idx="5">
                  <c:v>1</c:v>
                </c:pt>
              </c:numCache>
            </c:numRef>
          </c:val>
          <c:extLst>
            <c:ext xmlns:c16="http://schemas.microsoft.com/office/drawing/2014/chart" uri="{C3380CC4-5D6E-409C-BE32-E72D297353CC}">
              <c16:uniqueId val="{0000000A-744A-4DA3-AC19-1675B6477097}"/>
            </c:ext>
          </c:extLst>
        </c:ser>
        <c:dLbls>
          <c:showLegendKey val="0"/>
          <c:showVal val="0"/>
          <c:showCatName val="0"/>
          <c:showSerName val="0"/>
          <c:showPercent val="0"/>
          <c:showBubbleSize val="0"/>
        </c:dLbls>
        <c:gapWidth val="182"/>
        <c:axId val="1219680320"/>
        <c:axId val="1219681280"/>
      </c:barChart>
      <c:catAx>
        <c:axId val="1219680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81280"/>
        <c:crosses val="autoZero"/>
        <c:auto val="1"/>
        <c:lblAlgn val="ctr"/>
        <c:lblOffset val="100"/>
        <c:noMultiLvlLbl val="0"/>
      </c:catAx>
      <c:valAx>
        <c:axId val="1219681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68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[hotel_reservation_cancellation_analysis.xlsx]V1&amp;V2!PivotTable10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 Status by</a:t>
            </a:r>
            <a:r>
              <a:rPr lang="en-US" baseline="0"/>
              <a:t> Market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'V1&amp;V2'!$B$1:$B$2</c:f>
              <c:strCache>
                <c:ptCount val="1"/>
                <c:pt idx="0">
                  <c:v>Aviation</c:v>
                </c:pt>
              </c:strCache>
            </c:strRef>
          </c:tx>
          <c:spPr>
            <a:solidFill>
              <a:schemeClr val="accent1"/>
            </a:solidFill>
            <a:ln>
              <a:noFill/>
            </a:ln>
            <a:effectLst/>
          </c:spPr>
          <c:invertIfNegative val="0"/>
          <c:cat>
            <c:strRef>
              <c:f>'V1&amp;V2'!$A$3:$A$5</c:f>
              <c:strCache>
                <c:ptCount val="2"/>
                <c:pt idx="0">
                  <c:v>Canceled</c:v>
                </c:pt>
                <c:pt idx="1">
                  <c:v>Not_Canceled</c:v>
                </c:pt>
              </c:strCache>
            </c:strRef>
          </c:cat>
          <c:val>
            <c:numRef>
              <c:f>'V1&amp;V2'!$B$3:$B$5</c:f>
              <c:numCache>
                <c:formatCode>0.00%</c:formatCode>
                <c:ptCount val="2"/>
                <c:pt idx="0">
                  <c:v>1.4285714285714286E-3</c:v>
                </c:pt>
                <c:pt idx="1">
                  <c:v>0</c:v>
                </c:pt>
              </c:numCache>
            </c:numRef>
          </c:val>
          <c:extLst>
            <c:ext xmlns:c16="http://schemas.microsoft.com/office/drawing/2014/chart" uri="{C3380CC4-5D6E-409C-BE32-E72D297353CC}">
              <c16:uniqueId val="{00000000-FCFC-44B6-A47C-570F1C0B69A6}"/>
            </c:ext>
          </c:extLst>
        </c:ser>
        <c:ser>
          <c:idx val="1"/>
          <c:order val="1"/>
          <c:tx>
            <c:strRef>
              <c:f>'V1&amp;V2'!$C$1:$C$2</c:f>
              <c:strCache>
                <c:ptCount val="1"/>
                <c:pt idx="0">
                  <c:v>Complementary</c:v>
                </c:pt>
              </c:strCache>
            </c:strRef>
          </c:tx>
          <c:spPr>
            <a:solidFill>
              <a:schemeClr val="accent2"/>
            </a:solidFill>
            <a:ln>
              <a:noFill/>
            </a:ln>
            <a:effectLst/>
          </c:spPr>
          <c:invertIfNegative val="0"/>
          <c:cat>
            <c:strRef>
              <c:f>'V1&amp;V2'!$A$3:$A$5</c:f>
              <c:strCache>
                <c:ptCount val="2"/>
                <c:pt idx="0">
                  <c:v>Canceled</c:v>
                </c:pt>
                <c:pt idx="1">
                  <c:v>Not_Canceled</c:v>
                </c:pt>
              </c:strCache>
            </c:strRef>
          </c:cat>
          <c:val>
            <c:numRef>
              <c:f>'V1&amp;V2'!$C$3:$C$5</c:f>
              <c:numCache>
                <c:formatCode>0.00%</c:formatCode>
                <c:ptCount val="2"/>
                <c:pt idx="0">
                  <c:v>0</c:v>
                </c:pt>
                <c:pt idx="1">
                  <c:v>0.02</c:v>
                </c:pt>
              </c:numCache>
            </c:numRef>
          </c:val>
          <c:extLst>
            <c:ext xmlns:c16="http://schemas.microsoft.com/office/drawing/2014/chart" uri="{C3380CC4-5D6E-409C-BE32-E72D297353CC}">
              <c16:uniqueId val="{00000001-FCFC-44B6-A47C-570F1C0B69A6}"/>
            </c:ext>
          </c:extLst>
        </c:ser>
        <c:ser>
          <c:idx val="2"/>
          <c:order val="2"/>
          <c:tx>
            <c:strRef>
              <c:f>'V1&amp;V2'!$D$1:$D$2</c:f>
              <c:strCache>
                <c:ptCount val="1"/>
                <c:pt idx="0">
                  <c:v>Corporate</c:v>
                </c:pt>
              </c:strCache>
            </c:strRef>
          </c:tx>
          <c:spPr>
            <a:solidFill>
              <a:schemeClr val="accent3"/>
            </a:solidFill>
            <a:ln>
              <a:noFill/>
            </a:ln>
            <a:effectLst/>
          </c:spPr>
          <c:invertIfNegative val="0"/>
          <c:cat>
            <c:strRef>
              <c:f>'V1&amp;V2'!$A$3:$A$5</c:f>
              <c:strCache>
                <c:ptCount val="2"/>
                <c:pt idx="0">
                  <c:v>Canceled</c:v>
                </c:pt>
                <c:pt idx="1">
                  <c:v>Not_Canceled</c:v>
                </c:pt>
              </c:strCache>
            </c:strRef>
          </c:cat>
          <c:val>
            <c:numRef>
              <c:f>'V1&amp;V2'!$D$3:$D$5</c:f>
              <c:numCache>
                <c:formatCode>0.00%</c:formatCode>
                <c:ptCount val="2"/>
                <c:pt idx="0">
                  <c:v>1.4285714285714286E-3</c:v>
                </c:pt>
                <c:pt idx="1">
                  <c:v>3.7142857142857144E-2</c:v>
                </c:pt>
              </c:numCache>
            </c:numRef>
          </c:val>
          <c:extLst>
            <c:ext xmlns:c16="http://schemas.microsoft.com/office/drawing/2014/chart" uri="{C3380CC4-5D6E-409C-BE32-E72D297353CC}">
              <c16:uniqueId val="{00000002-FCFC-44B6-A47C-570F1C0B69A6}"/>
            </c:ext>
          </c:extLst>
        </c:ser>
        <c:ser>
          <c:idx val="3"/>
          <c:order val="3"/>
          <c:tx>
            <c:strRef>
              <c:f>'V1&amp;V2'!$E$1:$E$2</c:f>
              <c:strCache>
                <c:ptCount val="1"/>
                <c:pt idx="0">
                  <c:v>Offline</c:v>
                </c:pt>
              </c:strCache>
            </c:strRef>
          </c:tx>
          <c:spPr>
            <a:solidFill>
              <a:schemeClr val="accent4"/>
            </a:solidFill>
            <a:ln>
              <a:noFill/>
            </a:ln>
            <a:effectLst/>
          </c:spPr>
          <c:invertIfNegative val="0"/>
          <c:cat>
            <c:strRef>
              <c:f>'V1&amp;V2'!$A$3:$A$5</c:f>
              <c:strCache>
                <c:ptCount val="2"/>
                <c:pt idx="0">
                  <c:v>Canceled</c:v>
                </c:pt>
                <c:pt idx="1">
                  <c:v>Not_Canceled</c:v>
                </c:pt>
              </c:strCache>
            </c:strRef>
          </c:cat>
          <c:val>
            <c:numRef>
              <c:f>'V1&amp;V2'!$E$3:$E$5</c:f>
              <c:numCache>
                <c:formatCode>0.00%</c:formatCode>
                <c:ptCount val="2"/>
                <c:pt idx="0">
                  <c:v>0</c:v>
                </c:pt>
                <c:pt idx="1">
                  <c:v>0.2</c:v>
                </c:pt>
              </c:numCache>
            </c:numRef>
          </c:val>
          <c:extLst>
            <c:ext xmlns:c16="http://schemas.microsoft.com/office/drawing/2014/chart" uri="{C3380CC4-5D6E-409C-BE32-E72D297353CC}">
              <c16:uniqueId val="{00000003-FCFC-44B6-A47C-570F1C0B69A6}"/>
            </c:ext>
          </c:extLst>
        </c:ser>
        <c:ser>
          <c:idx val="4"/>
          <c:order val="4"/>
          <c:tx>
            <c:strRef>
              <c:f>'V1&amp;V2'!$F$1:$F$2</c:f>
              <c:strCache>
                <c:ptCount val="1"/>
                <c:pt idx="0">
                  <c:v>Online</c:v>
                </c:pt>
              </c:strCache>
            </c:strRef>
          </c:tx>
          <c:spPr>
            <a:solidFill>
              <a:schemeClr val="accent5"/>
            </a:solidFill>
            <a:ln>
              <a:noFill/>
            </a:ln>
            <a:effectLst/>
          </c:spPr>
          <c:invertIfNegative val="0"/>
          <c:cat>
            <c:strRef>
              <c:f>'V1&amp;V2'!$A$3:$A$5</c:f>
              <c:strCache>
                <c:ptCount val="2"/>
                <c:pt idx="0">
                  <c:v>Canceled</c:v>
                </c:pt>
                <c:pt idx="1">
                  <c:v>Not_Canceled</c:v>
                </c:pt>
              </c:strCache>
            </c:strRef>
          </c:cat>
          <c:val>
            <c:numRef>
              <c:f>'V1&amp;V2'!$F$3:$F$5</c:f>
              <c:numCache>
                <c:formatCode>0.00%</c:formatCode>
                <c:ptCount val="2"/>
                <c:pt idx="0">
                  <c:v>0.29285714285714287</c:v>
                </c:pt>
                <c:pt idx="1">
                  <c:v>0.44714285714285712</c:v>
                </c:pt>
              </c:numCache>
            </c:numRef>
          </c:val>
          <c:extLst>
            <c:ext xmlns:c16="http://schemas.microsoft.com/office/drawing/2014/chart" uri="{C3380CC4-5D6E-409C-BE32-E72D297353CC}">
              <c16:uniqueId val="{00000004-FCFC-44B6-A47C-570F1C0B69A6}"/>
            </c:ext>
          </c:extLst>
        </c:ser>
        <c:dLbls>
          <c:showLegendKey val="0"/>
          <c:showVal val="0"/>
          <c:showCatName val="0"/>
          <c:showSerName val="0"/>
          <c:showPercent val="0"/>
          <c:showBubbleSize val="0"/>
        </c:dLbls>
        <c:gapWidth val="182"/>
        <c:axId val="1024359712"/>
        <c:axId val="1213106112"/>
      </c:barChart>
      <c:catAx>
        <c:axId val="102435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06112"/>
        <c:crosses val="autoZero"/>
        <c:auto val="1"/>
        <c:lblAlgn val="ctr"/>
        <c:lblOffset val="100"/>
        <c:noMultiLvlLbl val="0"/>
      </c:catAx>
      <c:valAx>
        <c:axId val="12131061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35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Distrobution of Lead</a:t>
            </a:r>
            <a:r>
              <a:rPr lang="en-US" baseline="0"/>
              <a:t> Time</a:t>
            </a:r>
          </a:p>
        </c:rich>
      </c:tx>
      <c:layout>
        <c:manualLayout>
          <c:xMode val="edge"/>
          <c:yMode val="edge"/>
          <c:x val="0.16016486220472442"/>
          <c:y val="6.6666666666666666E-2"/>
        </c:manualLayout>
      </c:layout>
      <c:overlay val="0"/>
    </c:title>
    <c:autoTitleDeleted val="0"/>
    <c:plotArea>
      <c:layout/>
      <c:barChart>
        <c:barDir val="col"/>
        <c:grouping val="clustered"/>
        <c:varyColors val="0"/>
        <c:ser>
          <c:idx val="0"/>
          <c:order val="0"/>
          <c:tx>
            <c:v>Frequency</c:v>
          </c:tx>
          <c:invertIfNegative val="0"/>
          <c:cat>
            <c:strRef>
              <c:f>'V4'!$A$56:$A$66</c:f>
              <c:strCache>
                <c:ptCount val="11"/>
                <c:pt idx="0">
                  <c:v>30</c:v>
                </c:pt>
                <c:pt idx="1">
                  <c:v>60</c:v>
                </c:pt>
                <c:pt idx="2">
                  <c:v>90</c:v>
                </c:pt>
                <c:pt idx="3">
                  <c:v>120</c:v>
                </c:pt>
                <c:pt idx="4">
                  <c:v>150</c:v>
                </c:pt>
                <c:pt idx="5">
                  <c:v>180</c:v>
                </c:pt>
                <c:pt idx="6">
                  <c:v>210</c:v>
                </c:pt>
                <c:pt idx="7">
                  <c:v>240</c:v>
                </c:pt>
                <c:pt idx="8">
                  <c:v>270</c:v>
                </c:pt>
                <c:pt idx="9">
                  <c:v>300</c:v>
                </c:pt>
                <c:pt idx="10">
                  <c:v>More</c:v>
                </c:pt>
              </c:strCache>
            </c:strRef>
          </c:cat>
          <c:val>
            <c:numRef>
              <c:f>'V4'!$B$56:$B$66</c:f>
              <c:numCache>
                <c:formatCode>General</c:formatCode>
                <c:ptCount val="11"/>
                <c:pt idx="0">
                  <c:v>222</c:v>
                </c:pt>
                <c:pt idx="1">
                  <c:v>145</c:v>
                </c:pt>
                <c:pt idx="2">
                  <c:v>98</c:v>
                </c:pt>
                <c:pt idx="3">
                  <c:v>65</c:v>
                </c:pt>
                <c:pt idx="4">
                  <c:v>42</c:v>
                </c:pt>
                <c:pt idx="5">
                  <c:v>35</c:v>
                </c:pt>
                <c:pt idx="6">
                  <c:v>27</c:v>
                </c:pt>
                <c:pt idx="7">
                  <c:v>15</c:v>
                </c:pt>
                <c:pt idx="8">
                  <c:v>20</c:v>
                </c:pt>
                <c:pt idx="9">
                  <c:v>12</c:v>
                </c:pt>
                <c:pt idx="10">
                  <c:v>19</c:v>
                </c:pt>
              </c:numCache>
            </c:numRef>
          </c:val>
          <c:extLst>
            <c:ext xmlns:c16="http://schemas.microsoft.com/office/drawing/2014/chart" uri="{C3380CC4-5D6E-409C-BE32-E72D297353CC}">
              <c16:uniqueId val="{00000001-5C24-40A0-AB8C-13FD41E620FB}"/>
            </c:ext>
          </c:extLst>
        </c:ser>
        <c:dLbls>
          <c:showLegendKey val="0"/>
          <c:showVal val="0"/>
          <c:showCatName val="0"/>
          <c:showSerName val="0"/>
          <c:showPercent val="0"/>
          <c:showBubbleSize val="0"/>
        </c:dLbls>
        <c:gapWidth val="0"/>
        <c:axId val="1033229792"/>
        <c:axId val="1033226432"/>
      </c:barChart>
      <c:catAx>
        <c:axId val="1033229792"/>
        <c:scaling>
          <c:orientation val="minMax"/>
        </c:scaling>
        <c:delete val="0"/>
        <c:axPos val="b"/>
        <c:title>
          <c:tx>
            <c:rich>
              <a:bodyPr/>
              <a:lstStyle/>
              <a:p>
                <a:pPr>
                  <a:defRPr/>
                </a:pPr>
                <a:r>
                  <a:rPr lang="en-US"/>
                  <a:t>Days</a:t>
                </a:r>
              </a:p>
            </c:rich>
          </c:tx>
          <c:overlay val="0"/>
        </c:title>
        <c:numFmt formatCode="General" sourceLinked="1"/>
        <c:majorTickMark val="out"/>
        <c:minorTickMark val="none"/>
        <c:tickLblPos val="nextTo"/>
        <c:crossAx val="1033226432"/>
        <c:crosses val="autoZero"/>
        <c:auto val="1"/>
        <c:lblAlgn val="ctr"/>
        <c:lblOffset val="100"/>
        <c:noMultiLvlLbl val="0"/>
      </c:catAx>
      <c:valAx>
        <c:axId val="1033226432"/>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033229792"/>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Distrobution of the Average Price Per Room</a:t>
            </a:r>
          </a:p>
        </c:rich>
      </c:tx>
      <c:overlay val="0"/>
    </c:title>
    <c:autoTitleDeleted val="0"/>
    <c:plotArea>
      <c:layout/>
      <c:barChart>
        <c:barDir val="col"/>
        <c:grouping val="clustered"/>
        <c:varyColors val="0"/>
        <c:ser>
          <c:idx val="0"/>
          <c:order val="0"/>
          <c:tx>
            <c:v>Frequency</c:v>
          </c:tx>
          <c:invertIfNegative val="0"/>
          <c:cat>
            <c:strRef>
              <c:f>'V3'!$A$68:$A$74</c:f>
              <c:strCache>
                <c:ptCount val="7"/>
                <c:pt idx="0">
                  <c:v>50</c:v>
                </c:pt>
                <c:pt idx="1">
                  <c:v>100</c:v>
                </c:pt>
                <c:pt idx="2">
                  <c:v>150</c:v>
                </c:pt>
                <c:pt idx="3">
                  <c:v>200</c:v>
                </c:pt>
                <c:pt idx="4">
                  <c:v>250</c:v>
                </c:pt>
                <c:pt idx="5">
                  <c:v>300</c:v>
                </c:pt>
                <c:pt idx="6">
                  <c:v>More</c:v>
                </c:pt>
              </c:strCache>
            </c:strRef>
          </c:cat>
          <c:val>
            <c:numRef>
              <c:f>'V3'!$B$68:$B$74</c:f>
              <c:numCache>
                <c:formatCode>General</c:formatCode>
                <c:ptCount val="7"/>
                <c:pt idx="0">
                  <c:v>18</c:v>
                </c:pt>
                <c:pt idx="1">
                  <c:v>326</c:v>
                </c:pt>
                <c:pt idx="2">
                  <c:v>289</c:v>
                </c:pt>
                <c:pt idx="3">
                  <c:v>58</c:v>
                </c:pt>
                <c:pt idx="4">
                  <c:v>8</c:v>
                </c:pt>
                <c:pt idx="5">
                  <c:v>1</c:v>
                </c:pt>
                <c:pt idx="6">
                  <c:v>0</c:v>
                </c:pt>
              </c:numCache>
            </c:numRef>
          </c:val>
          <c:extLst>
            <c:ext xmlns:c16="http://schemas.microsoft.com/office/drawing/2014/chart" uri="{C3380CC4-5D6E-409C-BE32-E72D297353CC}">
              <c16:uniqueId val="{00000001-91D6-419D-8F68-9847B44F9399}"/>
            </c:ext>
          </c:extLst>
        </c:ser>
        <c:dLbls>
          <c:showLegendKey val="0"/>
          <c:showVal val="0"/>
          <c:showCatName val="0"/>
          <c:showSerName val="0"/>
          <c:showPercent val="0"/>
          <c:showBubbleSize val="0"/>
        </c:dLbls>
        <c:gapWidth val="0"/>
        <c:axId val="1188743888"/>
        <c:axId val="1188744848"/>
      </c:barChart>
      <c:catAx>
        <c:axId val="1188743888"/>
        <c:scaling>
          <c:orientation val="minMax"/>
        </c:scaling>
        <c:delete val="0"/>
        <c:axPos val="b"/>
        <c:title>
          <c:tx>
            <c:rich>
              <a:bodyPr/>
              <a:lstStyle/>
              <a:p>
                <a:pPr>
                  <a:defRPr/>
                </a:pPr>
                <a:r>
                  <a:rPr lang="en-US"/>
                  <a:t>Price</a:t>
                </a:r>
              </a:p>
            </c:rich>
          </c:tx>
          <c:overlay val="0"/>
        </c:title>
        <c:numFmt formatCode="General" sourceLinked="1"/>
        <c:majorTickMark val="out"/>
        <c:minorTickMark val="none"/>
        <c:tickLblPos val="nextTo"/>
        <c:crossAx val="1188744848"/>
        <c:crosses val="autoZero"/>
        <c:auto val="1"/>
        <c:lblAlgn val="ctr"/>
        <c:lblOffset val="100"/>
        <c:noMultiLvlLbl val="0"/>
      </c:catAx>
      <c:valAx>
        <c:axId val="1188744848"/>
        <c:scaling>
          <c:orientation val="minMax"/>
          <c:max val="330"/>
        </c:scaling>
        <c:delete val="0"/>
        <c:axPos val="l"/>
        <c:title>
          <c:tx>
            <c:rich>
              <a:bodyPr/>
              <a:lstStyle/>
              <a:p>
                <a:pPr>
                  <a:defRPr/>
                </a:pPr>
                <a:r>
                  <a:rPr lang="en-US"/>
                  <a:t>Frequency</a:t>
                </a:r>
              </a:p>
            </c:rich>
          </c:tx>
          <c:overlay val="0"/>
        </c:title>
        <c:numFmt formatCode="General" sourceLinked="1"/>
        <c:majorTickMark val="out"/>
        <c:minorTickMark val="none"/>
        <c:tickLblPos val="nextTo"/>
        <c:crossAx val="1188743888"/>
        <c:crosses val="autoZero"/>
        <c:crossBetween val="between"/>
        <c:majorUnit val="30"/>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[hotel_reservation_cancellation_analysis.xlsx]V2!PivotTable3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a:t>
            </a:r>
            <a:r>
              <a:rPr lang="en-US" baseline="0"/>
              <a:t> Segment Distrobution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'V2'!$B$3</c:f>
              <c:strCache>
                <c:ptCount val="1"/>
                <c:pt idx="0">
                  <c:v>Total</c:v>
                </c:pt>
              </c:strCache>
            </c:strRef>
          </c:tx>
          <c:spPr>
            <a:solidFill>
              <a:schemeClr val="accent1"/>
            </a:solidFill>
            <a:ln>
              <a:noFill/>
            </a:ln>
            <a:effectLst/>
          </c:spPr>
          <c:invertIfNegative val="0"/>
          <c:cat>
            <c:strRef>
              <c:f>'V2'!$A$4:$A$9</c:f>
              <c:strCache>
                <c:ptCount val="5"/>
                <c:pt idx="0">
                  <c:v>Aviation</c:v>
                </c:pt>
                <c:pt idx="1">
                  <c:v>Complementary</c:v>
                </c:pt>
                <c:pt idx="2">
                  <c:v>Corporate</c:v>
                </c:pt>
                <c:pt idx="3">
                  <c:v>Offline</c:v>
                </c:pt>
                <c:pt idx="4">
                  <c:v>Online</c:v>
                </c:pt>
              </c:strCache>
            </c:strRef>
          </c:cat>
          <c:val>
            <c:numRef>
              <c:f>'V2'!$B$4:$B$9</c:f>
              <c:numCache>
                <c:formatCode>General</c:formatCode>
                <c:ptCount val="5"/>
                <c:pt idx="0">
                  <c:v>1</c:v>
                </c:pt>
                <c:pt idx="1">
                  <c:v>14</c:v>
                </c:pt>
                <c:pt idx="2">
                  <c:v>27</c:v>
                </c:pt>
                <c:pt idx="3">
                  <c:v>140</c:v>
                </c:pt>
                <c:pt idx="4">
                  <c:v>518</c:v>
                </c:pt>
              </c:numCache>
            </c:numRef>
          </c:val>
          <c:extLst>
            <c:ext xmlns:c16="http://schemas.microsoft.com/office/drawing/2014/chart" uri="{C3380CC4-5D6E-409C-BE32-E72D297353CC}">
              <c16:uniqueId val="{00000000-9304-49FA-A297-0CFD63F72A5C}"/>
            </c:ext>
          </c:extLst>
        </c:ser>
        <c:dLbls>
          <c:showLegendKey val="0"/>
          <c:showVal val="0"/>
          <c:showCatName val="0"/>
          <c:showSerName val="0"/>
          <c:showPercent val="0"/>
          <c:showBubbleSize val="0"/>
        </c:dLbls>
        <c:gapWidth val="182"/>
        <c:axId val="855178287"/>
        <c:axId val="855183087"/>
      </c:barChart>
      <c:catAx>
        <c:axId val="855178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83087"/>
        <c:crosses val="autoZero"/>
        <c:auto val="1"/>
        <c:lblAlgn val="ctr"/>
        <c:lblOffset val="100"/>
        <c:noMultiLvlLbl val="0"/>
      </c:catAx>
      <c:valAx>
        <c:axId val="855183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17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[hotel_reservation_cancellation_analysis.xlsx]V1!PivotTable2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 Status Distrobution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'V1'!$B$3</c:f>
              <c:strCache>
                <c:ptCount val="1"/>
                <c:pt idx="0">
                  <c:v>Total</c:v>
                </c:pt>
              </c:strCache>
            </c:strRef>
          </c:tx>
          <c:spPr>
            <a:solidFill>
              <a:schemeClr val="accent1"/>
            </a:solidFill>
            <a:ln>
              <a:noFill/>
            </a:ln>
            <a:effectLst/>
          </c:spPr>
          <c:invertIfNegative val="0"/>
          <c:cat>
            <c:strRef>
              <c:f>'V1'!$A$4:$A$5</c:f>
              <c:strCache>
                <c:ptCount val="2"/>
                <c:pt idx="0">
                  <c:v>Canceled</c:v>
                </c:pt>
                <c:pt idx="1">
                  <c:v>Not_Canceled</c:v>
                </c:pt>
              </c:strCache>
            </c:strRef>
          </c:cat>
          <c:val>
            <c:numRef>
              <c:f>'V1'!$B$4:$B$5</c:f>
              <c:numCache>
                <c:formatCode>0.00%</c:formatCode>
                <c:ptCount val="2"/>
                <c:pt idx="0">
                  <c:v>0.29571428571428571</c:v>
                </c:pt>
                <c:pt idx="1">
                  <c:v>0.70428571428571429</c:v>
                </c:pt>
              </c:numCache>
            </c:numRef>
          </c:val>
          <c:extLst>
            <c:ext xmlns:c16="http://schemas.microsoft.com/office/drawing/2014/chart" uri="{C3380CC4-5D6E-409C-BE32-E72D297353CC}">
              <c16:uniqueId val="{00000000-23A8-46FA-B375-13FED88287CC}"/>
            </c:ext>
          </c:extLst>
        </c:ser>
        <c:dLbls>
          <c:showLegendKey val="0"/>
          <c:showVal val="0"/>
          <c:showCatName val="0"/>
          <c:showSerName val="0"/>
          <c:showPercent val="0"/>
          <c:showBubbleSize val="0"/>
        </c:dLbls>
        <c:gapWidth val="182"/>
        <c:axId val="1122753056"/>
        <c:axId val="1122751616"/>
      </c:barChart>
      <c:catAx>
        <c:axId val="112275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51616"/>
        <c:crosses val="autoZero"/>
        <c:auto val="1"/>
        <c:lblAlgn val="ctr"/>
        <c:lblOffset val="100"/>
        <c:noMultiLvlLbl val="0"/>
      </c:catAx>
      <c:valAx>
        <c:axId val="11227516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75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Distrobution of Lead Time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Distrobution of Lead Time</a:t>
          </a:r>
        </a:p>
      </cx:txPr>
    </cx:title>
    <cx:plotArea>
      <cx:plotAreaRegion>
        <cx:series layoutId="boxWhisker" uniqueId="{D79EEB0F-55E9-4231-9096-A1EC78A52E26}">
          <cx:tx>
            <cx:txData>
              <cx:f>_xlchart.v1.0</cx:f>
              <cx:v>lead_time</cx:v>
            </cx:txData>
          </cx:tx>
          <cx:dataId val="0"/>
          <cx:layoutPr>
            <cx:visibility meanLine="0" meanMarker="1" nonoutliers="0" outliers="1"/>
            <cx:statistics quartileMethod="exclusive"/>
          </cx:layoutPr>
        </cx:series>
      </cx:plotAreaRegion>
      <cx:axis id="0">
        <cx:catScaling gapWidth="1"/>
        <cx:tickLabels/>
      </cx:axis>
      <cx:axis id="1">
        <cx:valScaling/>
        <cx:title>
          <cx:tx>
            <cx:txData>
              <cx:v>Days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Days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Average Price Per Room Distrobution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Price Per Room Distrobution</a:t>
          </a:r>
        </a:p>
      </cx:txPr>
    </cx:title>
    <cx:plotArea>
      <cx:plotAreaRegion>
        <cx:series layoutId="boxWhisker" uniqueId="{D3128283-D559-48B6-80A7-538D53F4B6C4}">
          <cx:tx>
            <cx:txData>
              <cx:f>_xlchart.v1.2</cx:f>
              <cx:v>avg_price_per_room</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8.xml"/><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85725</xdr:rowOff>
    </xdr:from>
    <xdr:to>
      <xdr:col>10</xdr:col>
      <xdr:colOff>485775</xdr:colOff>
      <xdr:row>24</xdr:row>
      <xdr:rowOff>38100</xdr:rowOff>
    </xdr:to>
    <xdr:sp macro="" textlink="">
      <xdr:nvSpPr>
        <xdr:cNvPr id="3" name="TextBox 2">
          <a:extLst>
            <a:ext uri="{FF2B5EF4-FFF2-40B4-BE49-F238E27FC236}">
              <a16:creationId xmlns:a16="http://schemas.microsoft.com/office/drawing/2014/main" id="{F5B7E8B1-BA45-4FEE-0F84-BEA6DB19BBAC}"/>
            </a:ext>
          </a:extLst>
        </xdr:cNvPr>
        <xdr:cNvSpPr txBox="1"/>
      </xdr:nvSpPr>
      <xdr:spPr>
        <a:xfrm>
          <a:off x="2428875" y="2752725"/>
          <a:ext cx="5105400" cy="185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These two variables</a:t>
          </a:r>
          <a:r>
            <a:rPr lang="en-US" sz="1100" baseline="0"/>
            <a:t> show little to no correlation. Which shows that the amount of time a customer books in advance has little effect on the price, it has a very weak relationship of the further out, the cheaper the room will be. The rooms priced above 200 are exclusively booked within 60 days of the reservation. This shows that the hotel should raise the prices on their higher end rooms the closer rhe customer books to the date of the stay.</a:t>
          </a:r>
          <a:endParaRPr lang="en-US" sz="1100"/>
        </a:p>
      </xdr:txBody>
    </xdr:sp>
    <xdr:clientData/>
  </xdr:twoCellAnchor>
  <xdr:twoCellAnchor>
    <xdr:from>
      <xdr:col>8</xdr:col>
      <xdr:colOff>28575</xdr:colOff>
      <xdr:row>0</xdr:row>
      <xdr:rowOff>0</xdr:rowOff>
    </xdr:from>
    <xdr:to>
      <xdr:col>15</xdr:col>
      <xdr:colOff>419100</xdr:colOff>
      <xdr:row>14</xdr:row>
      <xdr:rowOff>66675</xdr:rowOff>
    </xdr:to>
    <xdr:graphicFrame macro="">
      <xdr:nvGraphicFramePr>
        <xdr:cNvPr id="2" name="Chart 1">
          <a:extLst>
            <a:ext uri="{FF2B5EF4-FFF2-40B4-BE49-F238E27FC236}">
              <a16:creationId xmlns:a16="http://schemas.microsoft.com/office/drawing/2014/main" id="{72020FE8-1629-4945-AD4A-3CB590297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95250</xdr:colOff>
      <xdr:row>0</xdr:row>
      <xdr:rowOff>61912</xdr:rowOff>
    </xdr:from>
    <xdr:to>
      <xdr:col>14</xdr:col>
      <xdr:colOff>257175</xdr:colOff>
      <xdr:row>14</xdr:row>
      <xdr:rowOff>138112</xdr:rowOff>
    </xdr:to>
    <xdr:graphicFrame macro="">
      <xdr:nvGraphicFramePr>
        <xdr:cNvPr id="2" name="Chart 1">
          <a:extLst>
            <a:ext uri="{FF2B5EF4-FFF2-40B4-BE49-F238E27FC236}">
              <a16:creationId xmlns:a16="http://schemas.microsoft.com/office/drawing/2014/main" id="{8863E8DB-CA50-EC13-0A29-91FE5992C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14</xdr:row>
      <xdr:rowOff>28575</xdr:rowOff>
    </xdr:from>
    <xdr:to>
      <xdr:col>5</xdr:col>
      <xdr:colOff>104775</xdr:colOff>
      <xdr:row>22</xdr:row>
      <xdr:rowOff>9525</xdr:rowOff>
    </xdr:to>
    <xdr:sp macro="" textlink="">
      <xdr:nvSpPr>
        <xdr:cNvPr id="3" name="TextBox 2">
          <a:extLst>
            <a:ext uri="{FF2B5EF4-FFF2-40B4-BE49-F238E27FC236}">
              <a16:creationId xmlns:a16="http://schemas.microsoft.com/office/drawing/2014/main" id="{073BD60B-0E21-D361-DC3C-01628FE673D0}"/>
            </a:ext>
          </a:extLst>
        </xdr:cNvPr>
        <xdr:cNvSpPr txBox="1"/>
      </xdr:nvSpPr>
      <xdr:spPr>
        <a:xfrm>
          <a:off x="76200" y="2695575"/>
          <a:ext cx="4667250" cy="150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large majority of the bookings across</a:t>
          </a:r>
          <a:r>
            <a:rPr lang="en-US" sz="1100" baseline="0"/>
            <a:t> all segments are made within 30 days of the reservation. Offline customers tend to be the group to plan the most in advance for their bookings. </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52387</xdr:rowOff>
    </xdr:from>
    <xdr:to>
      <xdr:col>2</xdr:col>
      <xdr:colOff>1409700</xdr:colOff>
      <xdr:row>23</xdr:row>
      <xdr:rowOff>128587</xdr:rowOff>
    </xdr:to>
    <xdr:graphicFrame macro="">
      <xdr:nvGraphicFramePr>
        <xdr:cNvPr id="2" name="Chart 1">
          <a:extLst>
            <a:ext uri="{FF2B5EF4-FFF2-40B4-BE49-F238E27FC236}">
              <a16:creationId xmlns:a16="http://schemas.microsoft.com/office/drawing/2014/main" id="{F1895862-1DE8-723F-A01F-2ADD12089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1457325</xdr:colOff>
      <xdr:row>9</xdr:row>
      <xdr:rowOff>95250</xdr:rowOff>
    </xdr:from>
    <xdr:to>
      <xdr:col>5</xdr:col>
      <xdr:colOff>552450</xdr:colOff>
      <xdr:row>23</xdr:row>
      <xdr:rowOff>28575</xdr:rowOff>
    </xdr:to>
    <xdr:sp macro="" textlink="">
      <xdr:nvSpPr>
        <xdr:cNvPr id="3" name="TextBox 2">
          <a:extLst>
            <a:ext uri="{FF2B5EF4-FFF2-40B4-BE49-F238E27FC236}">
              <a16:creationId xmlns:a16="http://schemas.microsoft.com/office/drawing/2014/main" id="{85CB0D05-31A5-9CBD-7FA2-2D5FA52A77DF}"/>
            </a:ext>
          </a:extLst>
        </xdr:cNvPr>
        <xdr:cNvSpPr txBox="1"/>
      </xdr:nvSpPr>
      <xdr:spPr>
        <a:xfrm>
          <a:off x="4619625" y="1809750"/>
          <a:ext cx="3781425" cy="2600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a:t>
          </a:r>
          <a:r>
            <a:rPr lang="en-US" sz="1100" baseline="0"/>
            <a:t> data shows that online data makes up the large majority of the bookings, and tends to spend the most out of all of the other segments, most rooms fall between 50-100, outside of complementary and online. This shows that the higher priced rooms are sold nearly exclusively online.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0</xdr:row>
      <xdr:rowOff>0</xdr:rowOff>
    </xdr:from>
    <xdr:to>
      <xdr:col>11</xdr:col>
      <xdr:colOff>161925</xdr:colOff>
      <xdr:row>14</xdr:row>
      <xdr:rowOff>76200</xdr:rowOff>
    </xdr:to>
    <xdr:graphicFrame macro="">
      <xdr:nvGraphicFramePr>
        <xdr:cNvPr id="2" name="Chart 1">
          <a:extLst>
            <a:ext uri="{FF2B5EF4-FFF2-40B4-BE49-F238E27FC236}">
              <a16:creationId xmlns:a16="http://schemas.microsoft.com/office/drawing/2014/main" id="{DC635446-7943-E90C-0DAE-C351793AE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14</xdr:row>
      <xdr:rowOff>85725</xdr:rowOff>
    </xdr:from>
    <xdr:to>
      <xdr:col>4</xdr:col>
      <xdr:colOff>47625</xdr:colOff>
      <xdr:row>22</xdr:row>
      <xdr:rowOff>161925</xdr:rowOff>
    </xdr:to>
    <xdr:sp macro="" textlink="">
      <xdr:nvSpPr>
        <xdr:cNvPr id="3" name="TextBox 2">
          <a:extLst>
            <a:ext uri="{FF2B5EF4-FFF2-40B4-BE49-F238E27FC236}">
              <a16:creationId xmlns:a16="http://schemas.microsoft.com/office/drawing/2014/main" id="{DE09E1E3-2039-AD82-5B5F-24C8047AC8C3}"/>
            </a:ext>
          </a:extLst>
        </xdr:cNvPr>
        <xdr:cNvSpPr txBox="1"/>
      </xdr:nvSpPr>
      <xdr:spPr>
        <a:xfrm>
          <a:off x="9525" y="2752725"/>
          <a:ext cx="4362450" cy="160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Bookings</a:t>
          </a:r>
          <a:r>
            <a:rPr lang="en-US" sz="1100" baseline="0"/>
            <a:t> that are made far in advance have a much higher chance of being cancelled than bookings that are made closer to the reservation. This shows that the longer the lead time, the hotel should be more ready for cancellations, especially on bookins over 150 days.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733425</xdr:colOff>
      <xdr:row>0</xdr:row>
      <xdr:rowOff>0</xdr:rowOff>
    </xdr:from>
    <xdr:to>
      <xdr:col>11</xdr:col>
      <xdr:colOff>295275</xdr:colOff>
      <xdr:row>14</xdr:row>
      <xdr:rowOff>76200</xdr:rowOff>
    </xdr:to>
    <xdr:graphicFrame macro="">
      <xdr:nvGraphicFramePr>
        <xdr:cNvPr id="2" name="Chart 1">
          <a:extLst>
            <a:ext uri="{FF2B5EF4-FFF2-40B4-BE49-F238E27FC236}">
              <a16:creationId xmlns:a16="http://schemas.microsoft.com/office/drawing/2014/main" id="{2495E333-0D97-D32C-4616-BC59664DF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9</xdr:row>
      <xdr:rowOff>66675</xdr:rowOff>
    </xdr:from>
    <xdr:to>
      <xdr:col>3</xdr:col>
      <xdr:colOff>723900</xdr:colOff>
      <xdr:row>17</xdr:row>
      <xdr:rowOff>114300</xdr:rowOff>
    </xdr:to>
    <xdr:sp macro="" textlink="">
      <xdr:nvSpPr>
        <xdr:cNvPr id="3" name="TextBox 2">
          <a:extLst>
            <a:ext uri="{FF2B5EF4-FFF2-40B4-BE49-F238E27FC236}">
              <a16:creationId xmlns:a16="http://schemas.microsoft.com/office/drawing/2014/main" id="{C2E8BC9D-A3D1-7F11-26CC-1A048BF7A9FF}"/>
            </a:ext>
          </a:extLst>
        </xdr:cNvPr>
        <xdr:cNvSpPr txBox="1"/>
      </xdr:nvSpPr>
      <xdr:spPr>
        <a:xfrm>
          <a:off x="38100" y="1781175"/>
          <a:ext cx="438150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Bookings</a:t>
          </a:r>
          <a:r>
            <a:rPr lang="en-US" sz="1100" baseline="0"/>
            <a:t> that are cancelled have a slightly higher average price, about  $102 to $111, which proves that price heavily influences the decision to cancel or not.</a:t>
          </a:r>
          <a:endParaRPr lang="en-US"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0.43583</cdr:x>
      <cdr:y>0.33333</cdr:y>
    </cdr:from>
    <cdr:to>
      <cdr:x>0.56417</cdr:x>
      <cdr:y>0.66667</cdr:y>
    </cdr:to>
    <cdr:sp macro="" textlink="">
      <cdr:nvSpPr>
        <cdr:cNvPr id="2" name="TextBox 1">
          <a:extLst xmlns:a="http://schemas.openxmlformats.org/drawingml/2006/main">
            <a:ext uri="{FF2B5EF4-FFF2-40B4-BE49-F238E27FC236}">
              <a16:creationId xmlns:a16="http://schemas.microsoft.com/office/drawing/2014/main" id="{E397028D-5CE8-6FF7-E37B-40C30AAD2A9C}"/>
            </a:ext>
          </a:extLst>
        </cdr:cNvPr>
        <cdr:cNvSpPr txBox="1"/>
      </cdr:nvSpPr>
      <cdr:spPr>
        <a:xfrm xmlns:a="http://schemas.openxmlformats.org/drawingml/2006/main">
          <a:off x="310515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0.43583</cdr:x>
      <cdr:y>0.33333</cdr:y>
    </cdr:from>
    <cdr:to>
      <cdr:x>0.56417</cdr:x>
      <cdr:y>0.66667</cdr:y>
    </cdr:to>
    <cdr:sp macro="" textlink="">
      <cdr:nvSpPr>
        <cdr:cNvPr id="3" name="TextBox 2">
          <a:extLst xmlns:a="http://schemas.openxmlformats.org/drawingml/2006/main">
            <a:ext uri="{FF2B5EF4-FFF2-40B4-BE49-F238E27FC236}">
              <a16:creationId xmlns:a16="http://schemas.microsoft.com/office/drawing/2014/main" id="{2EC1762D-E9A7-0704-941C-5339B20D00EC}"/>
            </a:ext>
          </a:extLst>
        </cdr:cNvPr>
        <cdr:cNvSpPr txBox="1"/>
      </cdr:nvSpPr>
      <cdr:spPr>
        <a:xfrm xmlns:a="http://schemas.openxmlformats.org/drawingml/2006/main">
          <a:off x="310515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5</xdr:row>
      <xdr:rowOff>14287</xdr:rowOff>
    </xdr:from>
    <xdr:to>
      <xdr:col>4</xdr:col>
      <xdr:colOff>419100</xdr:colOff>
      <xdr:row>19</xdr:row>
      <xdr:rowOff>90487</xdr:rowOff>
    </xdr:to>
    <xdr:graphicFrame macro="">
      <xdr:nvGraphicFramePr>
        <xdr:cNvPr id="2" name="Chart 1">
          <a:extLst>
            <a:ext uri="{FF2B5EF4-FFF2-40B4-BE49-F238E27FC236}">
              <a16:creationId xmlns:a16="http://schemas.microsoft.com/office/drawing/2014/main" id="{3EC5481B-2DBB-1DB7-4D0C-68341BFD3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19</xdr:row>
      <xdr:rowOff>114300</xdr:rowOff>
    </xdr:from>
    <xdr:to>
      <xdr:col>4</xdr:col>
      <xdr:colOff>409575</xdr:colOff>
      <xdr:row>30</xdr:row>
      <xdr:rowOff>104775</xdr:rowOff>
    </xdr:to>
    <xdr:sp macro="" textlink="">
      <xdr:nvSpPr>
        <xdr:cNvPr id="3" name="TextBox 2">
          <a:extLst>
            <a:ext uri="{FF2B5EF4-FFF2-40B4-BE49-F238E27FC236}">
              <a16:creationId xmlns:a16="http://schemas.microsoft.com/office/drawing/2014/main" id="{5F54A1B2-A4DB-975D-07F4-02D3206F598A}"/>
            </a:ext>
          </a:extLst>
        </xdr:cNvPr>
        <xdr:cNvSpPr txBox="1"/>
      </xdr:nvSpPr>
      <xdr:spPr>
        <a:xfrm>
          <a:off x="47625" y="3733800"/>
          <a:ext cx="4514850" cy="2085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a:t>
          </a:r>
          <a:r>
            <a:rPr lang="en-US" sz="1100" baseline="0"/>
            <a:t> seen in the chart above, the large majority of cancellations happen on online bookings, with only 1 cancellation coming from avaiation and coporate events each, and no cancellations on offline bookings. This shows that the customers who book online are less comitted than our other segments of booking.</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0</xdr:row>
      <xdr:rowOff>0</xdr:rowOff>
    </xdr:from>
    <xdr:to>
      <xdr:col>9</xdr:col>
      <xdr:colOff>76200</xdr:colOff>
      <xdr:row>12</xdr:row>
      <xdr:rowOff>180974</xdr:rowOff>
    </xdr:to>
    <xdr:graphicFrame macro="">
      <xdr:nvGraphicFramePr>
        <xdr:cNvPr id="2" name="Chart 1">
          <a:extLst>
            <a:ext uri="{FF2B5EF4-FFF2-40B4-BE49-F238E27FC236}">
              <a16:creationId xmlns:a16="http://schemas.microsoft.com/office/drawing/2014/main" id="{D1DF355B-C4C6-0F15-4433-4793953EE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13</xdr:row>
      <xdr:rowOff>66675</xdr:rowOff>
    </xdr:from>
    <xdr:to>
      <xdr:col>9</xdr:col>
      <xdr:colOff>304800</xdr:colOff>
      <xdr:row>27</xdr:row>
      <xdr:rowOff>142875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6392DAC-42AE-41CE-845C-C645ADCFD6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24075" y="2552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9525</xdr:colOff>
      <xdr:row>28</xdr:row>
      <xdr:rowOff>104775</xdr:rowOff>
    </xdr:from>
    <xdr:to>
      <xdr:col>5</xdr:col>
      <xdr:colOff>457200</xdr:colOff>
      <xdr:row>37</xdr:row>
      <xdr:rowOff>19050</xdr:rowOff>
    </xdr:to>
    <xdr:sp macro="" textlink="">
      <xdr:nvSpPr>
        <xdr:cNvPr id="4" name="TextBox 3">
          <a:extLst>
            <a:ext uri="{FF2B5EF4-FFF2-40B4-BE49-F238E27FC236}">
              <a16:creationId xmlns:a16="http://schemas.microsoft.com/office/drawing/2014/main" id="{44DB10EC-983E-7E46-0577-7B2A7F2F851B}"/>
            </a:ext>
          </a:extLst>
        </xdr:cNvPr>
        <xdr:cNvSpPr txBox="1"/>
      </xdr:nvSpPr>
      <xdr:spPr>
        <a:xfrm>
          <a:off x="9525" y="5457825"/>
          <a:ext cx="4400550" cy="162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Lead time ranges from the day</a:t>
          </a:r>
          <a:r>
            <a:rPr lang="en-US" sz="1100" baseline="0"/>
            <a:t> of to 443 days, with a mean of 83 days. The majority of these reservations take place within a month of the stay. This is useful for reward programs and surge pricing based on the time before the booking.</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8</xdr:row>
      <xdr:rowOff>9525</xdr:rowOff>
    </xdr:from>
    <xdr:to>
      <xdr:col>4</xdr:col>
      <xdr:colOff>76200</xdr:colOff>
      <xdr:row>22</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677E5C2-65DF-4EBE-81CF-080E5DC3AE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533525"/>
              <a:ext cx="47720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104775</xdr:colOff>
      <xdr:row>0</xdr:row>
      <xdr:rowOff>0</xdr:rowOff>
    </xdr:from>
    <xdr:to>
      <xdr:col>13</xdr:col>
      <xdr:colOff>85725</xdr:colOff>
      <xdr:row>16</xdr:row>
      <xdr:rowOff>66675</xdr:rowOff>
    </xdr:to>
    <xdr:graphicFrame macro="">
      <xdr:nvGraphicFramePr>
        <xdr:cNvPr id="4" name="Chart 3">
          <a:extLst>
            <a:ext uri="{FF2B5EF4-FFF2-40B4-BE49-F238E27FC236}">
              <a16:creationId xmlns:a16="http://schemas.microsoft.com/office/drawing/2014/main" id="{96D446D7-AD01-DA91-9A78-5054CC45A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333375</xdr:colOff>
      <xdr:row>17</xdr:row>
      <xdr:rowOff>161925</xdr:rowOff>
    </xdr:from>
    <xdr:to>
      <xdr:col>9</xdr:col>
      <xdr:colOff>133350</xdr:colOff>
      <xdr:row>30</xdr:row>
      <xdr:rowOff>95250</xdr:rowOff>
    </xdr:to>
    <xdr:sp macro="" textlink="">
      <xdr:nvSpPr>
        <xdr:cNvPr id="5" name="TextBox 4">
          <a:extLst>
            <a:ext uri="{FF2B5EF4-FFF2-40B4-BE49-F238E27FC236}">
              <a16:creationId xmlns:a16="http://schemas.microsoft.com/office/drawing/2014/main" id="{157FA9F6-F9D4-C198-B7C8-56988BCCD77A}"/>
            </a:ext>
          </a:extLst>
        </xdr:cNvPr>
        <xdr:cNvSpPr txBox="1"/>
      </xdr:nvSpPr>
      <xdr:spPr>
        <a:xfrm>
          <a:off x="4829175" y="3400425"/>
          <a:ext cx="2847975"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average Price per room is around $64-$140, the mean is $104. There are a few outliers on both ends of the data, with some being more than 2 deviations above and below. The distrobution shows that a large majority of the bookings fall between 100 and 150 USD.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9</xdr:row>
      <xdr:rowOff>33337</xdr:rowOff>
    </xdr:from>
    <xdr:to>
      <xdr:col>5</xdr:col>
      <xdr:colOff>438150</xdr:colOff>
      <xdr:row>23</xdr:row>
      <xdr:rowOff>109537</xdr:rowOff>
    </xdr:to>
    <xdr:graphicFrame macro="">
      <xdr:nvGraphicFramePr>
        <xdr:cNvPr id="2" name="Chart 1">
          <a:extLst>
            <a:ext uri="{FF2B5EF4-FFF2-40B4-BE49-F238E27FC236}">
              <a16:creationId xmlns:a16="http://schemas.microsoft.com/office/drawing/2014/main" id="{CCF00E68-F6D0-41D6-CD89-C044DB756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24</xdr:row>
      <xdr:rowOff>47625</xdr:rowOff>
    </xdr:from>
    <xdr:to>
      <xdr:col>4</xdr:col>
      <xdr:colOff>514350</xdr:colOff>
      <xdr:row>30</xdr:row>
      <xdr:rowOff>57150</xdr:rowOff>
    </xdr:to>
    <xdr:sp macro="" textlink="">
      <xdr:nvSpPr>
        <xdr:cNvPr id="3" name="TextBox 2">
          <a:extLst>
            <a:ext uri="{FF2B5EF4-FFF2-40B4-BE49-F238E27FC236}">
              <a16:creationId xmlns:a16="http://schemas.microsoft.com/office/drawing/2014/main" id="{0CBBE5DE-04C0-6945-C345-AB121A6B3570}"/>
            </a:ext>
          </a:extLst>
        </xdr:cNvPr>
        <xdr:cNvSpPr txBox="1"/>
      </xdr:nvSpPr>
      <xdr:spPr>
        <a:xfrm>
          <a:off x="114300" y="4619625"/>
          <a:ext cx="3924300" cy="1152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Of the 700</a:t>
          </a:r>
          <a:r>
            <a:rPr lang="en-US" sz="1100" baseline="0"/>
            <a:t> Bookings, 518 of them are online, 140 are offline, 27 are for corporate events, 14 are complementary, and 1 is for aviation. This is important to show the volume of each segment, and which segments should be prioritized.</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7</xdr:row>
      <xdr:rowOff>61912</xdr:rowOff>
    </xdr:from>
    <xdr:to>
      <xdr:col>4</xdr:col>
      <xdr:colOff>419100</xdr:colOff>
      <xdr:row>21</xdr:row>
      <xdr:rowOff>138112</xdr:rowOff>
    </xdr:to>
    <xdr:graphicFrame macro="">
      <xdr:nvGraphicFramePr>
        <xdr:cNvPr id="2" name="Chart 1">
          <a:extLst>
            <a:ext uri="{FF2B5EF4-FFF2-40B4-BE49-F238E27FC236}">
              <a16:creationId xmlns:a16="http://schemas.microsoft.com/office/drawing/2014/main" id="{0A803FEB-5902-FDD9-5123-47D8D92F2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9526</xdr:colOff>
      <xdr:row>22</xdr:row>
      <xdr:rowOff>66675</xdr:rowOff>
    </xdr:from>
    <xdr:to>
      <xdr:col>2</xdr:col>
      <xdr:colOff>590551</xdr:colOff>
      <xdr:row>29</xdr:row>
      <xdr:rowOff>19050</xdr:rowOff>
    </xdr:to>
    <xdr:sp macro="" textlink="">
      <xdr:nvSpPr>
        <xdr:cNvPr id="3" name="TextBox 2">
          <a:extLst>
            <a:ext uri="{FF2B5EF4-FFF2-40B4-BE49-F238E27FC236}">
              <a16:creationId xmlns:a16="http://schemas.microsoft.com/office/drawing/2014/main" id="{CD95C0E6-68B0-38C2-582A-E7011881A375}"/>
            </a:ext>
          </a:extLst>
        </xdr:cNvPr>
        <xdr:cNvSpPr txBox="1"/>
      </xdr:nvSpPr>
      <xdr:spPr>
        <a:xfrm>
          <a:off x="9526" y="4257675"/>
          <a:ext cx="3009900"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Out</a:t>
          </a:r>
          <a:r>
            <a:rPr lang="en-US" sz="1100" baseline="0"/>
            <a:t> of the 700 booked stays, 493 were not cancelled, and 207 being cancelled, having a near 30% cancellation rate. This shows the occupancy of the hotel, and its fluctuating bookings.</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14</xdr:row>
      <xdr:rowOff>1</xdr:rowOff>
    </xdr:from>
    <xdr:to>
      <xdr:col>1</xdr:col>
      <xdr:colOff>1905000</xdr:colOff>
      <xdr:row>16</xdr:row>
      <xdr:rowOff>171451</xdr:rowOff>
    </xdr:to>
    <xdr:sp macro="" textlink="">
      <xdr:nvSpPr>
        <xdr:cNvPr id="2" name="TextBox 1">
          <a:extLst>
            <a:ext uri="{FF2B5EF4-FFF2-40B4-BE49-F238E27FC236}">
              <a16:creationId xmlns:a16="http://schemas.microsoft.com/office/drawing/2014/main" id="{9036224A-88A5-495D-B686-E3EB4C398C2C}"/>
            </a:ext>
          </a:extLst>
        </xdr:cNvPr>
        <xdr:cNvSpPr txBox="1"/>
      </xdr:nvSpPr>
      <xdr:spPr>
        <a:xfrm>
          <a:off x="2295525" y="4886326"/>
          <a:ext cx="1905000" cy="533400"/>
        </a:xfrm>
        <a:prstGeom prst="rect">
          <a:avLst/>
        </a:prstGeom>
        <a:solidFill>
          <a:srgbClr val="CC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Good</a:t>
          </a:r>
          <a:r>
            <a:rPr lang="en-US" sz="1100" baseline="0"/>
            <a:t> documentation.</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de Miller" refreshedDate="46073.860175694441" createdVersion="8" refreshedVersion="8" minRefreshableVersion="3" recordCount="701" xr:uid="{7E947F6A-38BC-4876-AEA0-D3BA9394F026}">
  <cacheSource type="worksheet">
    <worksheetSource ref="A1:L1048576" sheet="Reservation_Dataset_Cleaned"/>
  </cacheSource>
  <cacheFields count="12">
    <cacheField name="Booking_ID" numFmtId="0">
      <sharedItems containsBlank="1"/>
    </cacheField>
    <cacheField name="no_of_adults" numFmtId="0">
      <sharedItems containsString="0" containsBlank="1" containsNumber="1" containsInteger="1" minValue="0" maxValue="4"/>
    </cacheField>
    <cacheField name="no_of_children" numFmtId="0">
      <sharedItems containsString="0" containsBlank="1" containsNumber="1" containsInteger="1" minValue="0" maxValue="2"/>
    </cacheField>
    <cacheField name="no_of_weekend_nights" numFmtId="0">
      <sharedItems containsString="0" containsBlank="1" containsNumber="1" containsInteger="1" minValue="0" maxValue="6"/>
    </cacheField>
    <cacheField name="no_of_week_nights" numFmtId="0">
      <sharedItems containsString="0" containsBlank="1" containsNumber="1" containsInteger="1" minValue="0" maxValue="15"/>
    </cacheField>
    <cacheField name="type_of_meal_plan" numFmtId="0">
      <sharedItems containsBlank="1"/>
    </cacheField>
    <cacheField name="room_type_reserved" numFmtId="0">
      <sharedItems containsBlank="1"/>
    </cacheField>
    <cacheField name="lead_time" numFmtId="0">
      <sharedItems containsString="0" containsBlank="1" containsNumber="1" containsInteger="1" minValue="0" maxValue="443" count="215">
        <n v="224"/>
        <n v="5"/>
        <n v="1"/>
        <n v="211"/>
        <n v="48"/>
        <n v="346"/>
        <n v="34"/>
        <n v="83"/>
        <n v="121"/>
        <n v="44"/>
        <n v="0"/>
        <n v="35"/>
        <n v="30"/>
        <n v="95"/>
        <n v="47"/>
        <n v="256"/>
        <n v="99"/>
        <n v="12"/>
        <n v="122"/>
        <n v="2"/>
        <n v="37"/>
        <n v="130"/>
        <n v="60"/>
        <n v="56"/>
        <n v="3"/>
        <n v="107"/>
        <n v="72"/>
        <n v="23"/>
        <n v="289"/>
        <n v="247"/>
        <n v="186"/>
        <n v="64"/>
        <n v="96"/>
        <n v="41"/>
        <n v="55"/>
        <n v="146"/>
        <n v="32"/>
        <n v="57"/>
        <n v="7"/>
        <n v="124"/>
        <n v="169"/>
        <n v="6"/>
        <n v="51"/>
        <n v="13"/>
        <n v="100"/>
        <n v="139"/>
        <n v="117"/>
        <n v="39"/>
        <n v="86"/>
        <n v="19"/>
        <n v="192"/>
        <n v="179"/>
        <n v="26"/>
        <n v="74"/>
        <n v="143"/>
        <n v="177"/>
        <n v="18"/>
        <n v="267"/>
        <n v="155"/>
        <n v="46"/>
        <n v="128"/>
        <n v="20"/>
        <n v="40"/>
        <n v="196"/>
        <n v="188"/>
        <n v="17"/>
        <n v="110"/>
        <n v="68"/>
        <n v="73"/>
        <n v="92"/>
        <n v="171"/>
        <n v="134"/>
        <n v="320"/>
        <n v="118"/>
        <n v="189"/>
        <n v="16"/>
        <n v="24"/>
        <n v="8"/>
        <n v="10"/>
        <n v="182"/>
        <n v="116"/>
        <n v="123"/>
        <n v="105"/>
        <n v="443"/>
        <n v="317"/>
        <n v="286"/>
        <n v="148"/>
        <n v="14"/>
        <n v="85"/>
        <n v="25"/>
        <n v="28"/>
        <n v="80"/>
        <n v="11"/>
        <n v="162"/>
        <n v="82"/>
        <n v="27"/>
        <n v="245"/>
        <n v="266"/>
        <n v="112"/>
        <n v="88"/>
        <n v="69"/>
        <n v="273"/>
        <n v="4"/>
        <n v="97"/>
        <n v="31"/>
        <n v="62"/>
        <n v="197"/>
        <n v="280"/>
        <n v="185"/>
        <n v="160"/>
        <n v="104"/>
        <n v="22"/>
        <n v="292"/>
        <n v="109"/>
        <n v="126"/>
        <n v="303"/>
        <n v="81"/>
        <n v="54"/>
        <n v="15"/>
        <n v="161"/>
        <n v="147"/>
        <n v="87"/>
        <n v="127"/>
        <n v="418"/>
        <n v="156"/>
        <n v="58"/>
        <n v="433"/>
        <n v="111"/>
        <n v="195"/>
        <n v="119"/>
        <n v="59"/>
        <n v="78"/>
        <n v="335"/>
        <n v="103"/>
        <n v="70"/>
        <n v="76"/>
        <n v="144"/>
        <n v="49"/>
        <n v="77"/>
        <n v="36"/>
        <n v="79"/>
        <n v="21"/>
        <n v="33"/>
        <n v="164"/>
        <n v="152"/>
        <n v="43"/>
        <n v="102"/>
        <n v="71"/>
        <n v="209"/>
        <n v="93"/>
        <n v="53"/>
        <n v="302"/>
        <n v="239"/>
        <n v="45"/>
        <n v="167"/>
        <n v="113"/>
        <n v="84"/>
        <n v="9"/>
        <n v="166"/>
        <n v="174"/>
        <n v="61"/>
        <n v="151"/>
        <n v="52"/>
        <n v="67"/>
        <n v="282"/>
        <n v="38"/>
        <n v="175"/>
        <n v="89"/>
        <n v="133"/>
        <n v="65"/>
        <n v="66"/>
        <n v="50"/>
        <n v="159"/>
        <n v="386"/>
        <n v="115"/>
        <n v="237"/>
        <n v="125"/>
        <n v="91"/>
        <n v="29"/>
        <n v="221"/>
        <n v="213"/>
        <n v="198"/>
        <n v="75"/>
        <n v="180"/>
        <n v="236"/>
        <n v="120"/>
        <n v="230"/>
        <n v="63"/>
        <n v="136"/>
        <n v="309"/>
        <n v="157"/>
        <n v="268"/>
        <n v="217"/>
        <n v="94"/>
        <n v="305"/>
        <n v="98"/>
        <n v="42"/>
        <n v="154"/>
        <n v="330"/>
        <n v="137"/>
        <n v="184"/>
        <n v="232"/>
        <n v="304"/>
        <n v="114"/>
        <n v="257"/>
        <n v="265"/>
        <n v="191"/>
        <n v="101"/>
        <n v="259"/>
        <n v="149"/>
        <n v="170"/>
        <n v="271"/>
        <n v="207"/>
        <n v="108"/>
        <m/>
      </sharedItems>
      <fieldGroup base="7">
        <rangePr autoEnd="0" startNum="0" endNum="300" groupInterval="30"/>
        <groupItems count="12">
          <s v="(blank)"/>
          <s v="0-29"/>
          <s v="30-59"/>
          <s v="60-89"/>
          <s v="90-119"/>
          <s v="120-149"/>
          <s v="150-179"/>
          <s v="180-209"/>
          <s v="210-239"/>
          <s v="240-269"/>
          <s v="270-300"/>
          <s v="&gt;300"/>
        </groupItems>
      </fieldGroup>
    </cacheField>
    <cacheField name="arrival_date" numFmtId="0">
      <sharedItems containsDate="1" containsBlank="1" containsMixedTypes="1" minDate="2017-01-07T00:00:00" maxDate="2018-12-12T00:00:00"/>
    </cacheField>
    <cacheField name="market_segment_type" numFmtId="0">
      <sharedItems containsBlank="1" count="6">
        <s v="Offline"/>
        <s v="Online"/>
        <s v="Corporate"/>
        <s v="Aviation"/>
        <s v="Complementary"/>
        <m/>
      </sharedItems>
    </cacheField>
    <cacheField name="avg_price_per_room" numFmtId="0">
      <sharedItems containsString="0" containsBlank="1" containsNumber="1" minValue="0" maxValue="258" count="341">
        <n v="65"/>
        <n v="106.68"/>
        <n v="60"/>
        <n v="100"/>
        <n v="94.5"/>
        <n v="115"/>
        <n v="107.55"/>
        <n v="105.61"/>
        <n v="96.9"/>
        <n v="133.44"/>
        <n v="85.03"/>
        <n v="140.4"/>
        <n v="88"/>
        <n v="90"/>
        <n v="96"/>
        <n v="72"/>
        <n v="67"/>
        <n v="85"/>
        <n v="105"/>
        <n v="114.3"/>
        <n v="110"/>
        <n v="37.33"/>
        <n v="82"/>
        <n v="177.5"/>
        <n v="87.5"/>
        <n v="82.44"/>
        <n v="69.5"/>
        <n v="85.5"/>
        <n v="81"/>
        <n v="63.75"/>
        <n v="121.8"/>
        <n v="93.6"/>
        <n v="102"/>
        <n v="98.1"/>
        <n v="75"/>
        <n v="73"/>
        <n v="104"/>
        <n v="79.2"/>
        <n v="125.8"/>
        <n v="87.95"/>
        <n v="106"/>
        <n v="136.66999999999999"/>
        <n v="89"/>
        <n v="136"/>
        <n v="120.6"/>
        <n v="99.3"/>
        <n v="258"/>
        <n v="120.12"/>
        <n v="95"/>
        <n v="0"/>
        <n v="157.5"/>
        <n v="97.7"/>
        <n v="142"/>
        <n v="80"/>
        <n v="122.85"/>
        <n v="116.8"/>
        <n v="121.5"/>
        <n v="111.9"/>
        <n v="121.55"/>
        <n v="159.30000000000001"/>
        <n v="132.30000000000001"/>
        <n v="98.82"/>
        <n v="98.3"/>
        <n v="150"/>
        <n v="96.05"/>
        <n v="130"/>
        <n v="113.56"/>
        <n v="101.58"/>
        <n v="105.3"/>
        <n v="115.8"/>
        <n v="149.4"/>
        <n v="111.59"/>
        <n v="130.5"/>
        <n v="90.95"/>
        <n v="76.08"/>
        <n v="156.9"/>
        <n v="74.8"/>
        <n v="107"/>
        <n v="64"/>
        <n v="82.95"/>
        <n v="155"/>
        <n v="101.68"/>
        <n v="117.9"/>
        <n v="127"/>
        <n v="116.1"/>
        <n v="184.24"/>
        <n v="155.69999999999999"/>
        <n v="135.76"/>
        <n v="102.83"/>
        <n v="103"/>
        <n v="106.2"/>
        <n v="58.5"/>
        <n v="73.95"/>
        <n v="133.19999999999999"/>
        <n v="112"/>
        <n v="190.8"/>
        <n v="91.48"/>
        <n v="135"/>
        <n v="129"/>
        <n v="70.55"/>
        <n v="72.25"/>
        <n v="109.65"/>
        <n v="142.72"/>
        <n v="111"/>
        <n v="86.7"/>
        <n v="58.9"/>
        <n v="120"/>
        <n v="107.1"/>
        <n v="126.9"/>
        <n v="139.5"/>
        <n v="80.75"/>
        <n v="109"/>
        <n v="107.95"/>
        <n v="215.6"/>
        <n v="1"/>
        <n v="156"/>
        <n v="73.150000000000006"/>
        <n v="87.4"/>
        <n v="91.43"/>
        <n v="140"/>
        <n v="87.78"/>
        <n v="80.849999999999994"/>
        <n v="82.45"/>
        <n v="108"/>
        <n v="96.3"/>
        <n v="99.45"/>
        <n v="126"/>
        <n v="78"/>
        <n v="146.6"/>
        <n v="118.8"/>
        <n v="145"/>
        <n v="84.58"/>
        <n v="118.88"/>
        <n v="101.52"/>
        <n v="58"/>
        <n v="61.5"/>
        <n v="87.3"/>
        <n v="76.5"/>
        <n v="70"/>
        <n v="98.39"/>
        <n v="106.07"/>
        <n v="106.03"/>
        <n v="89.25"/>
        <n v="86.32"/>
        <n v="55.96"/>
        <n v="86"/>
        <n v="118.95"/>
        <n v="90.56"/>
        <n v="177.65"/>
        <n v="200.75"/>
        <n v="72.900000000000006"/>
        <n v="135.15"/>
        <n v="114"/>
        <n v="125.1"/>
        <n v="95.13"/>
        <n v="105.84"/>
        <n v="139.33000000000001"/>
        <n v="80.3"/>
        <n v="112.8"/>
        <n v="151"/>
        <n v="91"/>
        <n v="146.69999999999999"/>
        <n v="58.4"/>
        <n v="140.13"/>
        <n v="76"/>
        <n v="200"/>
        <n v="101.5"/>
        <n v="189"/>
        <n v="166"/>
        <n v="67.5"/>
        <n v="78.540000000000006"/>
        <n v="152.1"/>
        <n v="66.53"/>
        <n v="90.3"/>
        <n v="115.37"/>
        <n v="94.35"/>
        <n v="118.46"/>
        <n v="90.6"/>
        <n v="82.9"/>
        <n v="95.33"/>
        <n v="135.63999999999999"/>
        <n v="122.4"/>
        <n v="62.18"/>
        <n v="167"/>
        <n v="187.85"/>
        <n v="108.38"/>
        <n v="128.69999999999999"/>
        <n v="80.33"/>
        <n v="83"/>
        <n v="104.5"/>
        <n v="92.54"/>
        <n v="63"/>
        <n v="109.8"/>
        <n v="117"/>
        <n v="60.5"/>
        <n v="112.2"/>
        <n v="135.9"/>
        <n v="239"/>
        <n v="59.09"/>
        <n v="103.09"/>
        <n v="87"/>
        <n v="137"/>
        <n v="132.9"/>
        <n v="76.67"/>
        <n v="140.69999999999999"/>
        <n v="103.7"/>
        <n v="137.69999999999999"/>
        <n v="97"/>
        <n v="150.30000000000001"/>
        <n v="134.85"/>
        <n v="168.25"/>
        <n v="63.5"/>
        <n v="98.4"/>
        <n v="81.900000000000006"/>
        <n v="78.849999999999994"/>
        <n v="141.30000000000001"/>
        <n v="170.1"/>
        <n v="199"/>
        <n v="192.86"/>
        <n v="185"/>
        <n v="68.069999999999993"/>
        <n v="104.4"/>
        <n v="71.099999999999994"/>
        <n v="116.62"/>
        <n v="147.9"/>
        <n v="123.7"/>
        <n v="186"/>
        <n v="115.6"/>
        <n v="221"/>
        <n v="73.83"/>
        <n v="79"/>
        <n v="102.85"/>
        <n v="62.37"/>
        <n v="98"/>
        <n v="117.67"/>
        <n v="141"/>
        <n v="156.61000000000001"/>
        <n v="119.85"/>
        <n v="97.2"/>
        <n v="150.44999999999999"/>
        <n v="71"/>
        <n v="75.900000000000006"/>
        <n v="104.55"/>
        <n v="187"/>
        <n v="84.43"/>
        <n v="208"/>
        <n v="97.18"/>
        <n v="79.11"/>
        <n v="67.319999999999993"/>
        <n v="81.62"/>
        <n v="123.66"/>
        <n v="88.01"/>
        <n v="83.5"/>
        <n v="126.75"/>
        <n v="106.43"/>
        <n v="100.12"/>
        <n v="156.25"/>
        <n v="101"/>
        <n v="161.1"/>
        <n v="83.8"/>
        <n v="168"/>
        <n v="112.59"/>
        <n v="187.04"/>
        <n v="169"/>
        <n v="46.63"/>
        <n v="143.22"/>
        <n v="6.5"/>
        <n v="83.03"/>
        <n v="109.81"/>
        <n v="70.88"/>
        <n v="83.6"/>
        <n v="62"/>
        <n v="142.19999999999999"/>
        <n v="95.4"/>
        <n v="160"/>
        <n v="104.1"/>
        <n v="93.78"/>
        <n v="85.85"/>
        <n v="120.28"/>
        <n v="77.77"/>
        <n v="152.66999999999999"/>
        <n v="66.31"/>
        <n v="122"/>
        <n v="89.89"/>
        <n v="172.8"/>
        <n v="98.56"/>
        <n v="128.06"/>
        <n v="130.61000000000001"/>
        <n v="105.74"/>
        <n v="54"/>
        <n v="186.22"/>
        <n v="130.05000000000001"/>
        <n v="100.3"/>
        <n v="66"/>
        <n v="106.88"/>
        <n v="109.35"/>
        <n v="117.55"/>
        <n v="129.88"/>
        <n v="79.53"/>
        <n v="29"/>
        <n v="192.03"/>
        <n v="168.3"/>
        <n v="72.760000000000005"/>
        <n v="68"/>
        <n v="124.46"/>
        <n v="70.33"/>
        <n v="125.25"/>
        <n v="55.9"/>
        <n v="168.73"/>
        <n v="100.38"/>
        <n v="98.8"/>
        <n v="100.5"/>
        <n v="89.75"/>
        <n v="87.54"/>
        <n v="108.9"/>
        <n v="131.4"/>
        <n v="130.94999999999999"/>
        <n v="55.72"/>
        <n v="158.4"/>
        <n v="69"/>
        <n v="219.6"/>
        <n v="44.8"/>
        <n v="115.68"/>
        <n v="134.1"/>
        <n v="124.1"/>
        <n v="214.75"/>
        <n v="139"/>
        <n v="115.5"/>
        <n v="195.5"/>
        <n v="84"/>
        <n v="107.8"/>
        <n v="96.17"/>
        <n v="69.739999999999995"/>
        <n v="172.55"/>
        <n v="166.35"/>
        <n v="203.73"/>
        <n v="78.69"/>
        <n v="88.4"/>
        <n v="78.3"/>
        <n v="51.19"/>
        <m/>
      </sharedItems>
      <fieldGroup base="10">
        <rangePr autoEnd="0" startNum="0" endNum="500" groupInterval="50"/>
        <groupItems count="12">
          <s v="(blank)"/>
          <s v="0-50"/>
          <s v="50-100"/>
          <s v="100-150"/>
          <s v="150-200"/>
          <s v="200-250"/>
          <s v="250-300"/>
          <s v="300-350"/>
          <s v="350-400"/>
          <s v="400-450"/>
          <s v="450-500"/>
          <s v="&gt;500"/>
        </groupItems>
      </fieldGroup>
    </cacheField>
    <cacheField name="booking_status" numFmtId="0">
      <sharedItems containsBlank="1" count="3">
        <s v="Not_Canceled"/>
        <s v="Cancel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s v="INN00001"/>
    <n v="2"/>
    <n v="0"/>
    <n v="1"/>
    <n v="2"/>
    <s v="Meal Plan 1"/>
    <s v="Room_Type 1"/>
    <x v="0"/>
    <d v="2017-02-10T00:00:00"/>
    <x v="0"/>
    <x v="0"/>
    <x v="0"/>
  </r>
  <r>
    <s v="INN00002"/>
    <n v="2"/>
    <n v="0"/>
    <n v="2"/>
    <n v="3"/>
    <s v="Not Selected"/>
    <s v="Room_Type 1"/>
    <x v="1"/>
    <d v="2018-06-11T00:00:00"/>
    <x v="1"/>
    <x v="1"/>
    <x v="0"/>
  </r>
  <r>
    <s v="INN00003"/>
    <n v="1"/>
    <n v="0"/>
    <n v="2"/>
    <n v="1"/>
    <s v="Meal Plan 1"/>
    <s v="Room_Type 1"/>
    <x v="2"/>
    <s v="28-02-2018"/>
    <x v="1"/>
    <x v="2"/>
    <x v="1"/>
  </r>
  <r>
    <s v="INN00004"/>
    <n v="2"/>
    <n v="0"/>
    <n v="0"/>
    <n v="2"/>
    <s v="Meal Plan 1"/>
    <s v="Room_Type 1"/>
    <x v="3"/>
    <s v="20-05-2018"/>
    <x v="1"/>
    <x v="3"/>
    <x v="1"/>
  </r>
  <r>
    <s v="INN00005"/>
    <n v="2"/>
    <n v="0"/>
    <n v="1"/>
    <n v="1"/>
    <s v="Not Selected"/>
    <s v="Room_Type 1"/>
    <x v="4"/>
    <d v="2018-11-04T00:00:00"/>
    <x v="1"/>
    <x v="4"/>
    <x v="1"/>
  </r>
  <r>
    <s v="INN00006"/>
    <n v="2"/>
    <n v="0"/>
    <n v="0"/>
    <n v="2"/>
    <s v="Meal Plan 2"/>
    <s v="Room_Type 1"/>
    <x v="5"/>
    <s v="13-09-2018"/>
    <x v="1"/>
    <x v="5"/>
    <x v="1"/>
  </r>
  <r>
    <s v="INN00007"/>
    <n v="2"/>
    <n v="0"/>
    <n v="1"/>
    <n v="3"/>
    <s v="Meal Plan 1"/>
    <s v="Room_Type 1"/>
    <x v="6"/>
    <s v="15-10-2017"/>
    <x v="1"/>
    <x v="6"/>
    <x v="0"/>
  </r>
  <r>
    <s v="INN00008"/>
    <n v="2"/>
    <n v="0"/>
    <n v="1"/>
    <n v="3"/>
    <s v="Meal Plan 1"/>
    <s v="Room_Type 4"/>
    <x v="7"/>
    <s v="26-12-2018"/>
    <x v="1"/>
    <x v="7"/>
    <x v="0"/>
  </r>
  <r>
    <s v="INN00009"/>
    <n v="3"/>
    <n v="0"/>
    <n v="0"/>
    <n v="4"/>
    <s v="Meal Plan 1"/>
    <s v="Room_Type 1"/>
    <x v="8"/>
    <d v="2018-06-07T00:00:00"/>
    <x v="0"/>
    <x v="8"/>
    <x v="0"/>
  </r>
  <r>
    <s v="INN00010"/>
    <n v="2"/>
    <n v="0"/>
    <n v="0"/>
    <n v="5"/>
    <s v="Meal Plan 1"/>
    <s v="Room_Type 4"/>
    <x v="9"/>
    <s v="18-10-2018"/>
    <x v="1"/>
    <x v="9"/>
    <x v="0"/>
  </r>
  <r>
    <s v="INN00011"/>
    <n v="1"/>
    <n v="0"/>
    <n v="1"/>
    <n v="0"/>
    <s v="Not Selected"/>
    <s v="Room_Type 1"/>
    <x v="10"/>
    <d v="2018-11-09T00:00:00"/>
    <x v="1"/>
    <x v="10"/>
    <x v="0"/>
  </r>
  <r>
    <s v="INN00012"/>
    <n v="1"/>
    <n v="0"/>
    <n v="2"/>
    <n v="1"/>
    <s v="Meal Plan 1"/>
    <s v="Room_Type 4"/>
    <x v="11"/>
    <s v="30-04-2018"/>
    <x v="1"/>
    <x v="11"/>
    <x v="0"/>
  </r>
  <r>
    <s v="INN00013"/>
    <n v="2"/>
    <n v="0"/>
    <n v="2"/>
    <n v="1"/>
    <s v="Not Selected"/>
    <s v="Room_Type 1"/>
    <x v="12"/>
    <s v="26-11-2018"/>
    <x v="1"/>
    <x v="12"/>
    <x v="1"/>
  </r>
  <r>
    <s v="INN00014"/>
    <n v="1"/>
    <n v="0"/>
    <n v="2"/>
    <n v="0"/>
    <s v="Meal Plan 1"/>
    <s v="Room_Type 1"/>
    <x v="13"/>
    <s v="20-11-2018"/>
    <x v="1"/>
    <x v="13"/>
    <x v="1"/>
  </r>
  <r>
    <s v="INN00015"/>
    <n v="2"/>
    <n v="0"/>
    <n v="0"/>
    <n v="2"/>
    <s v="Meal Plan 1"/>
    <s v="Room_Type 1"/>
    <x v="14"/>
    <s v="20-10-2017"/>
    <x v="1"/>
    <x v="4"/>
    <x v="0"/>
  </r>
  <r>
    <s v="INN00016"/>
    <n v="2"/>
    <n v="0"/>
    <n v="0"/>
    <n v="2"/>
    <s v="Meal Plan 2"/>
    <s v="Room_Type 1"/>
    <x v="15"/>
    <s v="15-06-2018"/>
    <x v="1"/>
    <x v="5"/>
    <x v="1"/>
  </r>
  <r>
    <s v="INN00017"/>
    <n v="1"/>
    <n v="0"/>
    <n v="1"/>
    <n v="0"/>
    <s v="Meal Plan 1"/>
    <s v="Room_Type 1"/>
    <x v="10"/>
    <d v="2017-05-10T00:00:00"/>
    <x v="0"/>
    <x v="14"/>
    <x v="0"/>
  </r>
  <r>
    <s v="INN00018"/>
    <n v="2"/>
    <n v="0"/>
    <n v="1"/>
    <n v="3"/>
    <s v="Not Selected"/>
    <s v="Room_Type 1"/>
    <x v="2"/>
    <d v="2017-10-08T00:00:00"/>
    <x v="1"/>
    <x v="14"/>
    <x v="0"/>
  </r>
  <r>
    <s v="INN00019"/>
    <n v="2"/>
    <n v="0"/>
    <n v="2"/>
    <n v="2"/>
    <s v="Meal Plan 1"/>
    <s v="Room_Type 1"/>
    <x v="16"/>
    <s v="30-10-2017"/>
    <x v="1"/>
    <x v="0"/>
    <x v="1"/>
  </r>
  <r>
    <s v="INN00020"/>
    <n v="2"/>
    <n v="0"/>
    <n v="1"/>
    <n v="0"/>
    <s v="Meal Plan 1"/>
    <s v="Room_Type 1"/>
    <x v="17"/>
    <d v="2017-04-10T00:00:00"/>
    <x v="0"/>
    <x v="15"/>
    <x v="0"/>
  </r>
  <r>
    <s v="INN00021"/>
    <n v="2"/>
    <n v="0"/>
    <n v="2"/>
    <n v="2"/>
    <s v="Meal Plan 1"/>
    <s v="Room_Type 1"/>
    <x v="16"/>
    <s v="30-10-2017"/>
    <x v="1"/>
    <x v="0"/>
    <x v="1"/>
  </r>
  <r>
    <s v="INN00022"/>
    <n v="1"/>
    <n v="0"/>
    <n v="0"/>
    <n v="1"/>
    <s v="Meal Plan 1"/>
    <s v="Room_Type 1"/>
    <x v="18"/>
    <s v="25-11-2018"/>
    <x v="2"/>
    <x v="16"/>
    <x v="0"/>
  </r>
  <r>
    <s v="INN00023"/>
    <n v="2"/>
    <n v="0"/>
    <n v="2"/>
    <n v="4"/>
    <s v="Meal Plan 1"/>
    <s v="Room_Type 1"/>
    <x v="19"/>
    <s v="20-03-2018"/>
    <x v="0"/>
    <x v="17"/>
    <x v="0"/>
  </r>
  <r>
    <s v="INN00024"/>
    <n v="2"/>
    <n v="0"/>
    <n v="0"/>
    <n v="3"/>
    <s v="Meal Plan 1"/>
    <s v="Room_Type 1"/>
    <x v="20"/>
    <s v="13-10-2018"/>
    <x v="0"/>
    <x v="18"/>
    <x v="0"/>
  </r>
  <r>
    <s v="INN00025"/>
    <n v="2"/>
    <n v="0"/>
    <n v="2"/>
    <n v="1"/>
    <s v="Not Selected"/>
    <s v="Room_Type 1"/>
    <x v="21"/>
    <s v="22-05-2018"/>
    <x v="1"/>
    <x v="4"/>
    <x v="0"/>
  </r>
  <r>
    <s v="INN00026"/>
    <n v="2"/>
    <n v="0"/>
    <n v="0"/>
    <n v="2"/>
    <s v="Meal Plan 1"/>
    <s v="Room_Type 1"/>
    <x v="16"/>
    <s v="28-04-2018"/>
    <x v="1"/>
    <x v="19"/>
    <x v="0"/>
  </r>
  <r>
    <s v="INN00027"/>
    <n v="2"/>
    <n v="0"/>
    <n v="1"/>
    <n v="1"/>
    <s v="Meal Plan 1"/>
    <s v="Room_Type 1"/>
    <x v="22"/>
    <s v="21-09-2017"/>
    <x v="0"/>
    <x v="0"/>
    <x v="0"/>
  </r>
  <r>
    <s v="INN00028"/>
    <n v="1"/>
    <n v="0"/>
    <n v="0"/>
    <n v="2"/>
    <s v="Meal Plan 1"/>
    <s v="Room_Type 4"/>
    <x v="19"/>
    <s v="19-05-2018"/>
    <x v="3"/>
    <x v="20"/>
    <x v="1"/>
  </r>
  <r>
    <s v="INN00029"/>
    <n v="1"/>
    <n v="0"/>
    <n v="1"/>
    <n v="2"/>
    <s v="Meal Plan 1"/>
    <s v="Room_Type 1"/>
    <x v="20"/>
    <d v="2017-06-11T00:00:00"/>
    <x v="1"/>
    <x v="21"/>
    <x v="1"/>
  </r>
  <r>
    <s v="INN00030"/>
    <n v="2"/>
    <n v="0"/>
    <n v="0"/>
    <n v="2"/>
    <s v="Meal Plan 2"/>
    <s v="Room_Type 1"/>
    <x v="23"/>
    <s v="17-09-2017"/>
    <x v="0"/>
    <x v="22"/>
    <x v="0"/>
  </r>
  <r>
    <s v="INN00031"/>
    <n v="2"/>
    <n v="0"/>
    <n v="1"/>
    <n v="1"/>
    <s v="Meal Plan 1"/>
    <s v="Room_Type 4"/>
    <x v="24"/>
    <s v="19-09-2017"/>
    <x v="1"/>
    <x v="23"/>
    <x v="0"/>
  </r>
  <r>
    <s v="INN00032"/>
    <n v="2"/>
    <n v="0"/>
    <n v="2"/>
    <n v="2"/>
    <s v="Meal Plan 1"/>
    <s v="Room_Type 1"/>
    <x v="25"/>
    <s v="13-11-2018"/>
    <x v="1"/>
    <x v="24"/>
    <x v="0"/>
  </r>
  <r>
    <s v="INN00033"/>
    <n v="0"/>
    <n v="2"/>
    <n v="0"/>
    <n v="3"/>
    <s v="Meal Plan 1"/>
    <s v="Room_Type 2"/>
    <x v="23"/>
    <d v="2018-07-12T00:00:00"/>
    <x v="1"/>
    <x v="25"/>
    <x v="0"/>
  </r>
  <r>
    <s v="INN00034"/>
    <n v="2"/>
    <n v="0"/>
    <n v="0"/>
    <n v="1"/>
    <s v="Not Selected"/>
    <s v="Room_Type 1"/>
    <x v="19"/>
    <d v="2018-09-01T00:00:00"/>
    <x v="1"/>
    <x v="26"/>
    <x v="0"/>
  </r>
  <r>
    <s v="INN00035"/>
    <n v="2"/>
    <n v="0"/>
    <n v="0"/>
    <n v="2"/>
    <s v="Meal Plan 1"/>
    <s v="Room_Type 1"/>
    <x v="26"/>
    <d v="2018-07-10T00:00:00"/>
    <x v="0"/>
    <x v="27"/>
    <x v="0"/>
  </r>
  <r>
    <s v="INN00036"/>
    <n v="2"/>
    <n v="0"/>
    <n v="0"/>
    <n v="1"/>
    <s v="Not Selected"/>
    <s v="Room_Type 1"/>
    <x v="27"/>
    <s v="27-04-2018"/>
    <x v="1"/>
    <x v="5"/>
    <x v="0"/>
  </r>
  <r>
    <s v="INN00037"/>
    <n v="1"/>
    <n v="0"/>
    <n v="2"/>
    <n v="1"/>
    <s v="Meal Plan 1"/>
    <s v="Room_Type 1"/>
    <x v="6"/>
    <s v="19-06-2018"/>
    <x v="1"/>
    <x v="28"/>
    <x v="1"/>
  </r>
  <r>
    <s v="INN00038"/>
    <n v="2"/>
    <n v="0"/>
    <n v="0"/>
    <n v="1"/>
    <s v="Meal Plan 1"/>
    <s v="Room_Type 1"/>
    <x v="28"/>
    <s v="17-10-2017"/>
    <x v="0"/>
    <x v="16"/>
    <x v="0"/>
  </r>
  <r>
    <s v="INN00039"/>
    <n v="2"/>
    <n v="0"/>
    <n v="2"/>
    <n v="3"/>
    <s v="Not Selected"/>
    <s v="Room_Type 1"/>
    <x v="29"/>
    <s v="19-11-2018"/>
    <x v="1"/>
    <x v="29"/>
    <x v="1"/>
  </r>
  <r>
    <s v="INN00040"/>
    <n v="2"/>
    <n v="0"/>
    <n v="2"/>
    <n v="1"/>
    <s v="Meal Plan 1"/>
    <s v="Room_Type 4"/>
    <x v="30"/>
    <s v="30-07-2018"/>
    <x v="1"/>
    <x v="30"/>
    <x v="1"/>
  </r>
  <r>
    <s v="INN00041"/>
    <n v="2"/>
    <n v="0"/>
    <n v="0"/>
    <n v="4"/>
    <s v="Meal Plan 1"/>
    <s v="Room_Type 1"/>
    <x v="31"/>
    <d v="2018-01-11T00:00:00"/>
    <x v="1"/>
    <x v="31"/>
    <x v="0"/>
  </r>
  <r>
    <s v="INN00042"/>
    <n v="2"/>
    <n v="0"/>
    <n v="0"/>
    <n v="2"/>
    <s v="Meal Plan 1"/>
    <s v="Room_Type 1"/>
    <x v="11"/>
    <s v="21-06-2018"/>
    <x v="1"/>
    <x v="32"/>
    <x v="0"/>
  </r>
  <r>
    <s v="INN00043"/>
    <n v="3"/>
    <n v="0"/>
    <n v="2"/>
    <n v="1"/>
    <s v="Meal Plan 1"/>
    <s v="Room_Type 1"/>
    <x v="32"/>
    <d v="2018-10-04T00:00:00"/>
    <x v="1"/>
    <x v="30"/>
    <x v="0"/>
  </r>
  <r>
    <s v="INN00044"/>
    <n v="2"/>
    <n v="0"/>
    <n v="1"/>
    <n v="1"/>
    <s v="Not Selected"/>
    <s v="Room_Type 1"/>
    <x v="33"/>
    <s v="27-06-2018"/>
    <x v="1"/>
    <x v="33"/>
    <x v="1"/>
  </r>
  <r>
    <s v="INN00045"/>
    <n v="2"/>
    <n v="0"/>
    <n v="0"/>
    <n v="4"/>
    <s v="Meal Plan 1"/>
    <s v="Room_Type 4"/>
    <x v="34"/>
    <s v="18-11-2017"/>
    <x v="0"/>
    <x v="2"/>
    <x v="0"/>
  </r>
  <r>
    <s v="INN00046"/>
    <n v="2"/>
    <n v="0"/>
    <n v="0"/>
    <n v="3"/>
    <s v="Meal Plan 1"/>
    <s v="Room_Type 1"/>
    <x v="35"/>
    <s v="29-12-2017"/>
    <x v="0"/>
    <x v="34"/>
    <x v="0"/>
  </r>
  <r>
    <s v="INN00047"/>
    <n v="1"/>
    <n v="0"/>
    <n v="0"/>
    <n v="2"/>
    <s v="Meal Plan 1"/>
    <s v="Room_Type 1"/>
    <x v="36"/>
    <s v="20-11-2017"/>
    <x v="0"/>
    <x v="35"/>
    <x v="0"/>
  </r>
  <r>
    <s v="INN00048"/>
    <n v="2"/>
    <n v="0"/>
    <n v="0"/>
    <n v="1"/>
    <s v="Meal Plan 2"/>
    <s v="Room_Type 1"/>
    <x v="34"/>
    <d v="2018-06-04T00:00:00"/>
    <x v="0"/>
    <x v="36"/>
    <x v="0"/>
  </r>
  <r>
    <s v="INN00049"/>
    <n v="2"/>
    <n v="0"/>
    <n v="0"/>
    <n v="4"/>
    <s v="Not Selected"/>
    <s v="Room_Type 1"/>
    <x v="37"/>
    <d v="2018-01-11T00:00:00"/>
    <x v="1"/>
    <x v="37"/>
    <x v="0"/>
  </r>
  <r>
    <s v="INN00050"/>
    <n v="1"/>
    <n v="0"/>
    <n v="1"/>
    <n v="3"/>
    <s v="Meal Plan 1"/>
    <s v="Room_Type 4"/>
    <x v="38"/>
    <s v="29-12-2018"/>
    <x v="1"/>
    <x v="38"/>
    <x v="0"/>
  </r>
  <r>
    <s v="INN00051"/>
    <n v="1"/>
    <n v="0"/>
    <n v="2"/>
    <n v="5"/>
    <s v="Not Selected"/>
    <s v="Room_Type 1"/>
    <x v="39"/>
    <s v="30-05-2018"/>
    <x v="1"/>
    <x v="39"/>
    <x v="0"/>
  </r>
  <r>
    <s v="INN00052"/>
    <n v="2"/>
    <n v="0"/>
    <n v="2"/>
    <n v="2"/>
    <s v="Meal Plan 2"/>
    <s v="Room_Type 1"/>
    <x v="40"/>
    <s v="22-04-2018"/>
    <x v="1"/>
    <x v="40"/>
    <x v="1"/>
  </r>
  <r>
    <s v="INN00053"/>
    <n v="1"/>
    <n v="0"/>
    <n v="1"/>
    <n v="2"/>
    <s v="Meal Plan 1"/>
    <s v="Room_Type 1"/>
    <x v="41"/>
    <s v="16-05-2018"/>
    <x v="1"/>
    <x v="41"/>
    <x v="0"/>
  </r>
  <r>
    <s v="INN00054"/>
    <n v="2"/>
    <n v="0"/>
    <n v="0"/>
    <n v="4"/>
    <s v="Meal Plan 1"/>
    <s v="Room_Type 4"/>
    <x v="42"/>
    <d v="2017-11-11T00:00:00"/>
    <x v="0"/>
    <x v="2"/>
    <x v="0"/>
  </r>
  <r>
    <s v="INN00055"/>
    <n v="2"/>
    <n v="0"/>
    <n v="1"/>
    <n v="0"/>
    <s v="Not Selected"/>
    <s v="Room_Type 1"/>
    <x v="43"/>
    <s v="13-06-2018"/>
    <x v="1"/>
    <x v="42"/>
    <x v="0"/>
  </r>
  <r>
    <s v="INN00056"/>
    <n v="2"/>
    <n v="0"/>
    <n v="1"/>
    <n v="3"/>
    <s v="Meal Plan 1"/>
    <s v="Room_Type 1"/>
    <x v="44"/>
    <s v="19-05-2018"/>
    <x v="1"/>
    <x v="43"/>
    <x v="0"/>
  </r>
  <r>
    <s v="INN00057"/>
    <n v="2"/>
    <n v="0"/>
    <n v="0"/>
    <n v="1"/>
    <s v="Not Selected"/>
    <s v="Room_Type 1"/>
    <x v="45"/>
    <s v="28-07-2018"/>
    <x v="1"/>
    <x v="4"/>
    <x v="0"/>
  </r>
  <r>
    <s v="INN00058"/>
    <n v="2"/>
    <n v="0"/>
    <n v="1"/>
    <n v="2"/>
    <s v="Meal Plan 1"/>
    <s v="Room_Type 1"/>
    <x v="46"/>
    <s v="26-12-2018"/>
    <x v="1"/>
    <x v="31"/>
    <x v="0"/>
  </r>
  <r>
    <s v="INN00059"/>
    <n v="2"/>
    <n v="0"/>
    <n v="1"/>
    <n v="4"/>
    <s v="Meal Plan 1"/>
    <s v="Room_Type 4"/>
    <x v="47"/>
    <s v="20-04-2018"/>
    <x v="1"/>
    <x v="44"/>
    <x v="1"/>
  </r>
  <r>
    <s v="INN00060"/>
    <n v="2"/>
    <n v="0"/>
    <n v="0"/>
    <n v="3"/>
    <s v="Meal Plan 1"/>
    <s v="Room_Type 4"/>
    <x v="48"/>
    <d v="2018-06-04T00:00:00"/>
    <x v="1"/>
    <x v="45"/>
    <x v="0"/>
  </r>
  <r>
    <s v="INN00061"/>
    <n v="2"/>
    <n v="2"/>
    <n v="0"/>
    <n v="1"/>
    <s v="Meal Plan 1"/>
    <s v="Room_Type 6"/>
    <x v="19"/>
    <d v="2018-02-09T00:00:00"/>
    <x v="1"/>
    <x v="46"/>
    <x v="0"/>
  </r>
  <r>
    <s v="INN00062"/>
    <n v="1"/>
    <n v="0"/>
    <n v="0"/>
    <n v="3"/>
    <s v="Meal Plan 1"/>
    <s v="Room_Type 4"/>
    <x v="49"/>
    <d v="2018-03-05T00:00:00"/>
    <x v="1"/>
    <x v="47"/>
    <x v="0"/>
  </r>
  <r>
    <s v="INN00063"/>
    <n v="1"/>
    <n v="0"/>
    <n v="0"/>
    <n v="2"/>
    <s v="Meal Plan 1"/>
    <s v="Room_Type 1"/>
    <x v="50"/>
    <s v="24-06-2018"/>
    <x v="0"/>
    <x v="48"/>
    <x v="0"/>
  </r>
  <r>
    <s v="INN00064"/>
    <n v="1"/>
    <n v="0"/>
    <n v="0"/>
    <n v="1"/>
    <s v="Meal Plan 1"/>
    <s v="Room_Type 1"/>
    <x v="19"/>
    <d v="2017-10-09T00:00:00"/>
    <x v="4"/>
    <x v="49"/>
    <x v="0"/>
  </r>
  <r>
    <s v="INN00065"/>
    <n v="2"/>
    <n v="0"/>
    <n v="2"/>
    <n v="1"/>
    <s v="Meal Plan 1"/>
    <s v="Room_Type 1"/>
    <x v="48"/>
    <s v="18-12-2018"/>
    <x v="0"/>
    <x v="34"/>
    <x v="0"/>
  </r>
  <r>
    <s v="INN00066"/>
    <n v="2"/>
    <n v="0"/>
    <n v="0"/>
    <n v="3"/>
    <s v="Meal Plan 1"/>
    <s v="Room_Type 4"/>
    <x v="12"/>
    <d v="2018-05-10T00:00:00"/>
    <x v="1"/>
    <x v="50"/>
    <x v="0"/>
  </r>
  <r>
    <s v="INN00067"/>
    <n v="2"/>
    <n v="0"/>
    <n v="0"/>
    <n v="2"/>
    <s v="Meal Plan 1"/>
    <s v="Room_Type 4"/>
    <x v="51"/>
    <d v="2018-03-06T00:00:00"/>
    <x v="1"/>
    <x v="51"/>
    <x v="0"/>
  </r>
  <r>
    <s v="INN00068"/>
    <n v="2"/>
    <n v="0"/>
    <n v="0"/>
    <n v="2"/>
    <s v="Meal Plan 1"/>
    <s v="Room_Type 4"/>
    <x v="52"/>
    <s v="15-04-2018"/>
    <x v="1"/>
    <x v="52"/>
    <x v="1"/>
  </r>
  <r>
    <s v="INN00069"/>
    <n v="2"/>
    <n v="0"/>
    <n v="0"/>
    <n v="1"/>
    <s v="Meal Plan 1"/>
    <s v="Room_Type 1"/>
    <x v="34"/>
    <d v="2018-06-04T00:00:00"/>
    <x v="0"/>
    <x v="53"/>
    <x v="0"/>
  </r>
  <r>
    <s v="INN00070"/>
    <n v="2"/>
    <n v="0"/>
    <n v="1"/>
    <n v="2"/>
    <s v="Meal Plan 1"/>
    <s v="Room_Type 1"/>
    <x v="53"/>
    <s v="25-04-2018"/>
    <x v="1"/>
    <x v="27"/>
    <x v="0"/>
  </r>
  <r>
    <s v="INN00071"/>
    <n v="2"/>
    <n v="0"/>
    <n v="0"/>
    <n v="3"/>
    <s v="Meal Plan 1"/>
    <s v="Room_Type 1"/>
    <x v="54"/>
    <s v="25-08-2018"/>
    <x v="0"/>
    <x v="3"/>
    <x v="0"/>
  </r>
  <r>
    <s v="INN00072"/>
    <n v="2"/>
    <n v="0"/>
    <n v="1"/>
    <n v="0"/>
    <s v="Not Selected"/>
    <s v="Room_Type 1"/>
    <x v="6"/>
    <s v="14-11-2018"/>
    <x v="1"/>
    <x v="12"/>
    <x v="0"/>
  </r>
  <r>
    <s v="INN00073"/>
    <n v="2"/>
    <n v="0"/>
    <n v="1"/>
    <n v="1"/>
    <s v="Meal Plan 1"/>
    <s v="Room_Type 1"/>
    <x v="12"/>
    <s v="29-08-2018"/>
    <x v="1"/>
    <x v="54"/>
    <x v="0"/>
  </r>
  <r>
    <s v="INN00074"/>
    <n v="2"/>
    <n v="0"/>
    <n v="0"/>
    <n v="2"/>
    <s v="Meal Plan 1"/>
    <s v="Room_Type 1"/>
    <x v="55"/>
    <d v="2018-03-06T00:00:00"/>
    <x v="1"/>
    <x v="3"/>
    <x v="1"/>
  </r>
  <r>
    <s v="INN00075"/>
    <n v="2"/>
    <n v="0"/>
    <n v="2"/>
    <n v="3"/>
    <s v="Meal Plan 1"/>
    <s v="Room_Type 4"/>
    <x v="6"/>
    <s v="25-10-2017"/>
    <x v="0"/>
    <x v="34"/>
    <x v="0"/>
  </r>
  <r>
    <s v="INN00076"/>
    <n v="2"/>
    <n v="0"/>
    <n v="1"/>
    <n v="4"/>
    <s v="Meal Plan 1"/>
    <s v="Room_Type 4"/>
    <x v="56"/>
    <d v="2018-09-03T00:00:00"/>
    <x v="1"/>
    <x v="55"/>
    <x v="0"/>
  </r>
  <r>
    <s v="INN00077"/>
    <n v="3"/>
    <n v="0"/>
    <n v="1"/>
    <n v="1"/>
    <s v="Meal Plan 1"/>
    <s v="Room_Type 4"/>
    <x v="57"/>
    <s v="31-12-2018"/>
    <x v="1"/>
    <x v="56"/>
    <x v="0"/>
  </r>
  <r>
    <s v="INN00078"/>
    <n v="2"/>
    <n v="0"/>
    <n v="1"/>
    <n v="2"/>
    <s v="Meal Plan 1"/>
    <s v="Room_Type 1"/>
    <x v="31"/>
    <s v="27-06-2018"/>
    <x v="1"/>
    <x v="57"/>
    <x v="0"/>
  </r>
  <r>
    <s v="INN00079"/>
    <n v="3"/>
    <n v="0"/>
    <n v="2"/>
    <n v="5"/>
    <s v="Meal Plan 1"/>
    <s v="Room_Type 4"/>
    <x v="58"/>
    <s v="28-06-2018"/>
    <x v="1"/>
    <x v="58"/>
    <x v="1"/>
  </r>
  <r>
    <s v="INN00080"/>
    <n v="2"/>
    <n v="0"/>
    <n v="0"/>
    <n v="5"/>
    <s v="Meal Plan 1"/>
    <s v="Room_Type 1"/>
    <x v="59"/>
    <s v="29-03-2018"/>
    <x v="0"/>
    <x v="34"/>
    <x v="0"/>
  </r>
  <r>
    <s v="INN00081"/>
    <n v="2"/>
    <n v="2"/>
    <n v="0"/>
    <n v="2"/>
    <s v="Meal Plan 1"/>
    <s v="Room_Type 6"/>
    <x v="7"/>
    <d v="2018-01-04T00:00:00"/>
    <x v="1"/>
    <x v="59"/>
    <x v="1"/>
  </r>
  <r>
    <s v="INN00082"/>
    <n v="2"/>
    <n v="0"/>
    <n v="0"/>
    <n v="5"/>
    <s v="Meal Plan 1"/>
    <s v="Room_Type 4"/>
    <x v="60"/>
    <d v="2018-11-10T00:00:00"/>
    <x v="1"/>
    <x v="60"/>
    <x v="1"/>
  </r>
  <r>
    <s v="INN00083"/>
    <n v="2"/>
    <n v="0"/>
    <n v="2"/>
    <n v="0"/>
    <s v="Not Selected"/>
    <s v="Room_Type 1"/>
    <x v="61"/>
    <s v="25-12-2018"/>
    <x v="1"/>
    <x v="12"/>
    <x v="0"/>
  </r>
  <r>
    <s v="INN00084"/>
    <n v="2"/>
    <n v="0"/>
    <n v="1"/>
    <n v="4"/>
    <s v="Meal Plan 1"/>
    <s v="Room_Type 4"/>
    <x v="62"/>
    <s v="14-03-2018"/>
    <x v="1"/>
    <x v="61"/>
    <x v="0"/>
  </r>
  <r>
    <s v="INN00085"/>
    <n v="2"/>
    <n v="0"/>
    <n v="1"/>
    <n v="2"/>
    <s v="Meal Plan 1"/>
    <s v="Room_Type 4"/>
    <x v="59"/>
    <d v="2018-04-03T00:00:00"/>
    <x v="1"/>
    <x v="62"/>
    <x v="0"/>
  </r>
  <r>
    <s v="INN00086"/>
    <n v="1"/>
    <n v="0"/>
    <n v="1"/>
    <n v="0"/>
    <s v="Meal Plan 1"/>
    <s v="Room_Type 1"/>
    <x v="2"/>
    <s v="17-10-2018"/>
    <x v="1"/>
    <x v="63"/>
    <x v="0"/>
  </r>
  <r>
    <s v="INN00087"/>
    <n v="2"/>
    <n v="0"/>
    <n v="2"/>
    <n v="3"/>
    <s v="Not Selected"/>
    <s v="Room_Type 1"/>
    <x v="63"/>
    <d v="2018-04-09T00:00:00"/>
    <x v="1"/>
    <x v="64"/>
    <x v="0"/>
  </r>
  <r>
    <s v="INN00088"/>
    <n v="1"/>
    <n v="0"/>
    <n v="0"/>
    <n v="2"/>
    <s v="Meal Plan 1"/>
    <s v="Room_Type 1"/>
    <x v="64"/>
    <s v="15-06-2018"/>
    <x v="1"/>
    <x v="65"/>
    <x v="1"/>
  </r>
  <r>
    <s v="INN00089"/>
    <n v="2"/>
    <n v="0"/>
    <n v="0"/>
    <n v="1"/>
    <s v="Not Selected"/>
    <s v="Room_Type 1"/>
    <x v="65"/>
    <d v="2018-10-12T00:00:00"/>
    <x v="1"/>
    <x v="48"/>
    <x v="0"/>
  </r>
  <r>
    <s v="INN00090"/>
    <n v="2"/>
    <n v="0"/>
    <n v="0"/>
    <n v="3"/>
    <s v="Meal Plan 1"/>
    <s v="Room_Type 5"/>
    <x v="35"/>
    <d v="2018-09-08T00:00:00"/>
    <x v="0"/>
    <x v="66"/>
    <x v="0"/>
  </r>
  <r>
    <s v="INN00091"/>
    <n v="2"/>
    <n v="0"/>
    <n v="1"/>
    <n v="3"/>
    <s v="Not Selected"/>
    <s v="Room_Type 1"/>
    <x v="66"/>
    <d v="2018-05-05T00:00:00"/>
    <x v="1"/>
    <x v="67"/>
    <x v="0"/>
  </r>
  <r>
    <s v="INN00092"/>
    <n v="2"/>
    <n v="0"/>
    <n v="1"/>
    <n v="2"/>
    <s v="Meal Plan 1"/>
    <s v="Room_Type 1"/>
    <x v="67"/>
    <s v="18-03-2018"/>
    <x v="1"/>
    <x v="68"/>
    <x v="0"/>
  </r>
  <r>
    <s v="INN00093"/>
    <n v="2"/>
    <n v="0"/>
    <n v="2"/>
    <n v="1"/>
    <s v="Meal Plan 1"/>
    <s v="Room_Type 4"/>
    <x v="68"/>
    <d v="2018-09-04T00:00:00"/>
    <x v="1"/>
    <x v="69"/>
    <x v="0"/>
  </r>
  <r>
    <s v="INN00094"/>
    <n v="2"/>
    <n v="0"/>
    <n v="0"/>
    <n v="1"/>
    <s v="Meal Plan 1"/>
    <s v="Room_Type 4"/>
    <x v="69"/>
    <s v="19-05-2018"/>
    <x v="1"/>
    <x v="70"/>
    <x v="0"/>
  </r>
  <r>
    <s v="INN00095"/>
    <n v="2"/>
    <n v="0"/>
    <n v="2"/>
    <n v="5"/>
    <s v="Meal Plan 1"/>
    <s v="Room_Type 1"/>
    <x v="70"/>
    <s v="30-08-2018"/>
    <x v="1"/>
    <x v="71"/>
    <x v="1"/>
  </r>
  <r>
    <s v="INN00096"/>
    <n v="2"/>
    <n v="1"/>
    <n v="0"/>
    <n v="2"/>
    <s v="Meal Plan 1"/>
    <s v="Room_Type 1"/>
    <x v="71"/>
    <d v="2018-04-08T00:00:00"/>
    <x v="1"/>
    <x v="72"/>
    <x v="0"/>
  </r>
  <r>
    <s v="INN00097"/>
    <n v="2"/>
    <n v="0"/>
    <n v="0"/>
    <n v="2"/>
    <s v="Meal Plan 2"/>
    <s v="Room_Type 1"/>
    <x v="72"/>
    <s v="18-08-2018"/>
    <x v="1"/>
    <x v="5"/>
    <x v="1"/>
  </r>
  <r>
    <s v="INN00098"/>
    <n v="2"/>
    <n v="0"/>
    <n v="0"/>
    <n v="4"/>
    <s v="Meal Plan 1"/>
    <s v="Room_Type 1"/>
    <x v="73"/>
    <s v="13-04-2018"/>
    <x v="1"/>
    <x v="73"/>
    <x v="0"/>
  </r>
  <r>
    <s v="INN00099"/>
    <n v="2"/>
    <n v="0"/>
    <n v="0"/>
    <n v="3"/>
    <s v="Meal Plan 1"/>
    <s v="Room_Type 1"/>
    <x v="12"/>
    <s v="17-11-2018"/>
    <x v="1"/>
    <x v="74"/>
    <x v="0"/>
  </r>
  <r>
    <s v="INN00100"/>
    <n v="2"/>
    <n v="2"/>
    <n v="1"/>
    <n v="3"/>
    <s v="Meal Plan 1"/>
    <s v="Room_Type 6"/>
    <x v="12"/>
    <s v="22-12-2018"/>
    <x v="1"/>
    <x v="75"/>
    <x v="0"/>
  </r>
  <r>
    <s v="INN00101"/>
    <n v="2"/>
    <n v="0"/>
    <n v="1"/>
    <n v="0"/>
    <s v="Not Selected"/>
    <s v="Room_Type 1"/>
    <x v="74"/>
    <s v="23-10-2018"/>
    <x v="1"/>
    <x v="27"/>
    <x v="0"/>
  </r>
  <r>
    <s v="INN00102"/>
    <n v="3"/>
    <n v="0"/>
    <n v="1"/>
    <n v="2"/>
    <s v="Meal Plan 1"/>
    <s v="Room_Type 4"/>
    <x v="34"/>
    <s v="13-05-2018"/>
    <x v="1"/>
    <x v="59"/>
    <x v="0"/>
  </r>
  <r>
    <s v="INN00103"/>
    <n v="1"/>
    <n v="0"/>
    <n v="0"/>
    <n v="4"/>
    <s v="Meal Plan 1"/>
    <s v="Room_Type 1"/>
    <x v="34"/>
    <s v="13-12-2018"/>
    <x v="1"/>
    <x v="76"/>
    <x v="0"/>
  </r>
  <r>
    <s v="INN00104"/>
    <n v="2"/>
    <n v="0"/>
    <n v="0"/>
    <n v="1"/>
    <s v="Meal Plan 1"/>
    <s v="Room_Type 1"/>
    <x v="75"/>
    <s v="31-10-2017"/>
    <x v="1"/>
    <x v="48"/>
    <x v="0"/>
  </r>
  <r>
    <s v="INN00105"/>
    <n v="2"/>
    <n v="0"/>
    <n v="0"/>
    <n v="3"/>
    <s v="Meal Plan 1"/>
    <s v="Room_Type 1"/>
    <x v="76"/>
    <d v="2017-08-10T00:00:00"/>
    <x v="1"/>
    <x v="77"/>
    <x v="0"/>
  </r>
  <r>
    <s v="INN00106"/>
    <n v="2"/>
    <n v="0"/>
    <n v="0"/>
    <n v="3"/>
    <s v="Meal Plan 1"/>
    <s v="Room_Type 1"/>
    <x v="77"/>
    <s v="16-02-2018"/>
    <x v="0"/>
    <x v="78"/>
    <x v="0"/>
  </r>
  <r>
    <s v="INN00107"/>
    <n v="2"/>
    <n v="0"/>
    <n v="1"/>
    <n v="4"/>
    <s v="Meal Plan 1"/>
    <s v="Room_Type 1"/>
    <x v="78"/>
    <d v="2017-02-11T00:00:00"/>
    <x v="1"/>
    <x v="79"/>
    <x v="0"/>
  </r>
  <r>
    <s v="INN00108"/>
    <n v="2"/>
    <n v="0"/>
    <n v="1"/>
    <n v="3"/>
    <s v="Meal Plan 1"/>
    <s v="Room_Type 4"/>
    <x v="10"/>
    <s v="21-09-2017"/>
    <x v="1"/>
    <x v="80"/>
    <x v="0"/>
  </r>
  <r>
    <s v="INN00109"/>
    <n v="2"/>
    <n v="0"/>
    <n v="0"/>
    <n v="1"/>
    <s v="Not Selected"/>
    <s v="Room_Type 1"/>
    <x v="17"/>
    <s v="30-06-2018"/>
    <x v="1"/>
    <x v="81"/>
    <x v="0"/>
  </r>
  <r>
    <s v="INN00110"/>
    <n v="2"/>
    <n v="0"/>
    <n v="2"/>
    <n v="1"/>
    <s v="Meal Plan 1"/>
    <s v="Room_Type 1"/>
    <x v="36"/>
    <d v="2017-05-09T00:00:00"/>
    <x v="1"/>
    <x v="4"/>
    <x v="0"/>
  </r>
  <r>
    <s v="INN00111"/>
    <n v="2"/>
    <n v="0"/>
    <n v="0"/>
    <n v="2"/>
    <s v="Meal Plan 1"/>
    <s v="Room_Type 1"/>
    <x v="79"/>
    <s v="30-09-2018"/>
    <x v="1"/>
    <x v="82"/>
    <x v="1"/>
  </r>
  <r>
    <s v="INN00112"/>
    <n v="2"/>
    <n v="0"/>
    <n v="1"/>
    <n v="0"/>
    <s v="Not Selected"/>
    <s v="Room_Type 1"/>
    <x v="2"/>
    <s v="27-06-2018"/>
    <x v="1"/>
    <x v="83"/>
    <x v="0"/>
  </r>
  <r>
    <s v="INN00113"/>
    <n v="2"/>
    <n v="0"/>
    <n v="0"/>
    <n v="3"/>
    <s v="Not Selected"/>
    <s v="Room_Type 1"/>
    <x v="18"/>
    <s v="16-06-2018"/>
    <x v="1"/>
    <x v="84"/>
    <x v="0"/>
  </r>
  <r>
    <s v="INN00114"/>
    <n v="2"/>
    <n v="0"/>
    <n v="2"/>
    <n v="3"/>
    <s v="Meal Plan 1"/>
    <s v="Room_Type 1"/>
    <x v="62"/>
    <s v="30-06-2018"/>
    <x v="1"/>
    <x v="82"/>
    <x v="0"/>
  </r>
  <r>
    <s v="INN00115"/>
    <n v="2"/>
    <n v="2"/>
    <n v="2"/>
    <n v="2"/>
    <s v="Meal Plan 1"/>
    <s v="Room_Type 2"/>
    <x v="80"/>
    <s v="26-06-2018"/>
    <x v="1"/>
    <x v="85"/>
    <x v="1"/>
  </r>
  <r>
    <s v="INN00116"/>
    <n v="3"/>
    <n v="0"/>
    <n v="2"/>
    <n v="2"/>
    <s v="Meal Plan 1"/>
    <s v="Room_Type 4"/>
    <x v="81"/>
    <s v="13-08-2018"/>
    <x v="1"/>
    <x v="86"/>
    <x v="0"/>
  </r>
  <r>
    <s v="INN00117"/>
    <n v="3"/>
    <n v="0"/>
    <n v="2"/>
    <n v="5"/>
    <s v="Meal Plan 1"/>
    <s v="Room_Type 4"/>
    <x v="62"/>
    <s v="22-04-2018"/>
    <x v="1"/>
    <x v="87"/>
    <x v="1"/>
  </r>
  <r>
    <s v="INN00118"/>
    <n v="2"/>
    <n v="1"/>
    <n v="2"/>
    <n v="5"/>
    <s v="Meal Plan 1"/>
    <s v="Room_Type 1"/>
    <x v="82"/>
    <d v="2018-12-11T00:00:00"/>
    <x v="1"/>
    <x v="88"/>
    <x v="0"/>
  </r>
  <r>
    <s v="INN00119"/>
    <n v="2"/>
    <n v="0"/>
    <n v="0"/>
    <n v="1"/>
    <s v="Meal Plan 1"/>
    <s v="Room_Type 1"/>
    <x v="83"/>
    <s v="29-04-2018"/>
    <x v="1"/>
    <x v="0"/>
    <x v="1"/>
  </r>
  <r>
    <s v="INN00120"/>
    <n v="2"/>
    <n v="0"/>
    <n v="2"/>
    <n v="3"/>
    <s v="Meal Plan 1"/>
    <s v="Room_Type 1"/>
    <x v="19"/>
    <s v="14-11-2017"/>
    <x v="1"/>
    <x v="89"/>
    <x v="0"/>
  </r>
  <r>
    <s v="INN00121"/>
    <n v="2"/>
    <n v="0"/>
    <n v="0"/>
    <n v="3"/>
    <s v="Meal Plan 1"/>
    <s v="Room_Type 1"/>
    <x v="84"/>
    <d v="2018-01-09T00:00:00"/>
    <x v="1"/>
    <x v="90"/>
    <x v="1"/>
  </r>
  <r>
    <s v="INN00122"/>
    <n v="2"/>
    <n v="0"/>
    <n v="0"/>
    <n v="2"/>
    <s v="Meal Plan 2"/>
    <s v="Room_Type 1"/>
    <x v="85"/>
    <s v="16-09-2018"/>
    <x v="0"/>
    <x v="91"/>
    <x v="0"/>
  </r>
  <r>
    <s v="INN00123"/>
    <n v="2"/>
    <n v="0"/>
    <n v="1"/>
    <n v="3"/>
    <s v="Meal Plan 1"/>
    <s v="Room_Type 1"/>
    <x v="67"/>
    <d v="2018-10-03T00:00:00"/>
    <x v="1"/>
    <x v="92"/>
    <x v="1"/>
  </r>
  <r>
    <s v="INN00124"/>
    <n v="2"/>
    <n v="0"/>
    <n v="0"/>
    <n v="3"/>
    <s v="Meal Plan 1"/>
    <s v="Room_Type 1"/>
    <x v="86"/>
    <d v="2018-05-05T00:00:00"/>
    <x v="1"/>
    <x v="68"/>
    <x v="0"/>
  </r>
  <r>
    <s v="INN00125"/>
    <n v="3"/>
    <n v="0"/>
    <n v="2"/>
    <n v="0"/>
    <s v="Meal Plan 1"/>
    <s v="Room_Type 4"/>
    <x v="67"/>
    <s v="24-04-2018"/>
    <x v="1"/>
    <x v="93"/>
    <x v="0"/>
  </r>
  <r>
    <s v="INN00126"/>
    <n v="2"/>
    <n v="0"/>
    <n v="0"/>
    <n v="2"/>
    <s v="Meal Plan 1"/>
    <s v="Room_Type 1"/>
    <x v="12"/>
    <s v="30-03-2018"/>
    <x v="0"/>
    <x v="27"/>
    <x v="0"/>
  </r>
  <r>
    <s v="INN00127"/>
    <n v="1"/>
    <n v="0"/>
    <n v="0"/>
    <n v="1"/>
    <s v="Meal Plan 1"/>
    <s v="Room_Type 1"/>
    <x v="87"/>
    <d v="2018-03-11T00:00:00"/>
    <x v="1"/>
    <x v="94"/>
    <x v="1"/>
  </r>
  <r>
    <s v="INN00128"/>
    <n v="2"/>
    <n v="2"/>
    <n v="0"/>
    <n v="2"/>
    <s v="Meal Plan 1"/>
    <s v="Room_Type 6"/>
    <x v="66"/>
    <s v="14-10-2018"/>
    <x v="1"/>
    <x v="95"/>
    <x v="1"/>
  </r>
  <r>
    <s v="INN00129"/>
    <n v="1"/>
    <n v="0"/>
    <n v="2"/>
    <n v="3"/>
    <s v="Meal Plan 1"/>
    <s v="Room_Type 1"/>
    <x v="46"/>
    <d v="2018-05-06T00:00:00"/>
    <x v="0"/>
    <x v="20"/>
    <x v="0"/>
  </r>
  <r>
    <s v="INN00130"/>
    <n v="2"/>
    <n v="0"/>
    <n v="1"/>
    <n v="4"/>
    <s v="Meal Plan 1"/>
    <s v="Room_Type 4"/>
    <x v="88"/>
    <s v="13-07-2018"/>
    <x v="1"/>
    <x v="96"/>
    <x v="0"/>
  </r>
  <r>
    <s v="INN00131"/>
    <n v="2"/>
    <n v="0"/>
    <n v="0"/>
    <n v="2"/>
    <s v="Not Selected"/>
    <s v="Room_Type 1"/>
    <x v="2"/>
    <s v="20-10-2018"/>
    <x v="1"/>
    <x v="97"/>
    <x v="0"/>
  </r>
  <r>
    <s v="INN00132"/>
    <n v="1"/>
    <n v="0"/>
    <n v="1"/>
    <n v="2"/>
    <s v="Meal Plan 1"/>
    <s v="Room_Type 1"/>
    <x v="89"/>
    <s v="17-10-2018"/>
    <x v="1"/>
    <x v="98"/>
    <x v="0"/>
  </r>
  <r>
    <s v="INN00133"/>
    <n v="2"/>
    <n v="0"/>
    <n v="2"/>
    <n v="4"/>
    <s v="Not Selected"/>
    <s v="Room_Type 1"/>
    <x v="28"/>
    <s v="28-12-2018"/>
    <x v="1"/>
    <x v="99"/>
    <x v="1"/>
  </r>
  <r>
    <s v="INN00134"/>
    <n v="2"/>
    <n v="0"/>
    <n v="1"/>
    <n v="4"/>
    <s v="Meal Plan 1"/>
    <s v="Room_Type 4"/>
    <x v="90"/>
    <s v="19-10-2017"/>
    <x v="0"/>
    <x v="34"/>
    <x v="0"/>
  </r>
  <r>
    <s v="INN00135"/>
    <n v="1"/>
    <n v="0"/>
    <n v="0"/>
    <n v="4"/>
    <s v="Not Selected"/>
    <s v="Room_Type 1"/>
    <x v="91"/>
    <s v="29-03-2018"/>
    <x v="1"/>
    <x v="100"/>
    <x v="0"/>
  </r>
  <r>
    <s v="INN00136"/>
    <n v="2"/>
    <n v="0"/>
    <n v="0"/>
    <n v="1"/>
    <s v="Meal Plan 1"/>
    <s v="Room_Type 4"/>
    <x v="92"/>
    <d v="2017-09-10T00:00:00"/>
    <x v="1"/>
    <x v="80"/>
    <x v="0"/>
  </r>
  <r>
    <s v="INN00137"/>
    <n v="2"/>
    <n v="1"/>
    <n v="1"/>
    <n v="0"/>
    <s v="Meal Plan 1"/>
    <s v="Room_Type 1"/>
    <x v="93"/>
    <s v="25-07-2018"/>
    <x v="1"/>
    <x v="56"/>
    <x v="1"/>
  </r>
  <r>
    <s v="INN00138"/>
    <n v="2"/>
    <n v="0"/>
    <n v="2"/>
    <n v="5"/>
    <s v="Meal Plan 1"/>
    <s v="Room_Type 1"/>
    <x v="58"/>
    <s v="28-06-2018"/>
    <x v="1"/>
    <x v="73"/>
    <x v="0"/>
  </r>
  <r>
    <s v="INN00139"/>
    <n v="1"/>
    <n v="0"/>
    <n v="2"/>
    <n v="2"/>
    <s v="Meal Plan 1"/>
    <s v="Room_Type 1"/>
    <x v="94"/>
    <s v="22-05-2018"/>
    <x v="1"/>
    <x v="101"/>
    <x v="0"/>
  </r>
  <r>
    <s v="INN00140"/>
    <n v="3"/>
    <n v="0"/>
    <n v="2"/>
    <n v="4"/>
    <s v="Meal Plan 1"/>
    <s v="Room_Type 4"/>
    <x v="95"/>
    <s v="15-04-2018"/>
    <x v="1"/>
    <x v="102"/>
    <x v="1"/>
  </r>
  <r>
    <s v="INN00141"/>
    <n v="1"/>
    <n v="0"/>
    <n v="1"/>
    <n v="2"/>
    <s v="Meal Plan 1"/>
    <s v="Room_Type 1"/>
    <x v="43"/>
    <d v="2018-09-05T00:00:00"/>
    <x v="0"/>
    <x v="13"/>
    <x v="0"/>
  </r>
  <r>
    <s v="INN00142"/>
    <n v="2"/>
    <n v="0"/>
    <n v="0"/>
    <n v="2"/>
    <s v="Meal Plan 1"/>
    <s v="Room_Type 1"/>
    <x v="96"/>
    <s v="17-06-2018"/>
    <x v="1"/>
    <x v="34"/>
    <x v="1"/>
  </r>
  <r>
    <s v="INN00143"/>
    <n v="2"/>
    <n v="0"/>
    <n v="0"/>
    <n v="2"/>
    <s v="Meal Plan 1"/>
    <s v="Room_Type 1"/>
    <x v="92"/>
    <s v="18-11-2018"/>
    <x v="1"/>
    <x v="103"/>
    <x v="1"/>
  </r>
  <r>
    <s v="INN00144"/>
    <n v="2"/>
    <n v="0"/>
    <n v="2"/>
    <n v="2"/>
    <s v="Meal Plan 1"/>
    <s v="Room_Type 1"/>
    <x v="97"/>
    <s v="30-10-2018"/>
    <x v="1"/>
    <x v="104"/>
    <x v="0"/>
  </r>
  <r>
    <s v="INN00145"/>
    <n v="2"/>
    <n v="0"/>
    <n v="1"/>
    <n v="0"/>
    <s v="Meal Plan 1"/>
    <s v="Room_Type 1"/>
    <x v="47"/>
    <s v="28-03-2018"/>
    <x v="1"/>
    <x v="82"/>
    <x v="0"/>
  </r>
  <r>
    <s v="INN00146"/>
    <n v="1"/>
    <n v="0"/>
    <n v="0"/>
    <n v="2"/>
    <s v="Meal Plan 1"/>
    <s v="Room_Type 1"/>
    <x v="43"/>
    <d v="2018-01-06T00:00:00"/>
    <x v="4"/>
    <x v="49"/>
    <x v="0"/>
  </r>
  <r>
    <s v="INN00147"/>
    <n v="2"/>
    <n v="0"/>
    <n v="0"/>
    <n v="4"/>
    <s v="Not Selected"/>
    <s v="Room_Type 1"/>
    <x v="98"/>
    <d v="2018-04-05T00:00:00"/>
    <x v="1"/>
    <x v="67"/>
    <x v="0"/>
  </r>
  <r>
    <s v="INN00148"/>
    <n v="2"/>
    <n v="0"/>
    <n v="1"/>
    <n v="2"/>
    <s v="Not Selected"/>
    <s v="Room_Type 1"/>
    <x v="99"/>
    <d v="2018-08-04T00:00:00"/>
    <x v="1"/>
    <x v="105"/>
    <x v="0"/>
  </r>
  <r>
    <s v="INN00149"/>
    <n v="2"/>
    <n v="0"/>
    <n v="0"/>
    <n v="1"/>
    <s v="Meal Plan 1"/>
    <s v="Room_Type 1"/>
    <x v="23"/>
    <d v="2018-08-06T00:00:00"/>
    <x v="0"/>
    <x v="106"/>
    <x v="0"/>
  </r>
  <r>
    <s v="INN00150"/>
    <n v="2"/>
    <n v="0"/>
    <n v="2"/>
    <n v="3"/>
    <s v="Meal Plan 1"/>
    <s v="Room_Type 4"/>
    <x v="68"/>
    <d v="2018-07-04T00:00:00"/>
    <x v="1"/>
    <x v="107"/>
    <x v="1"/>
  </r>
  <r>
    <s v="INN00151"/>
    <n v="2"/>
    <n v="0"/>
    <n v="1"/>
    <n v="1"/>
    <s v="Meal Plan 1"/>
    <s v="Room_Type 1"/>
    <x v="91"/>
    <d v="2018-02-05T00:00:00"/>
    <x v="1"/>
    <x v="108"/>
    <x v="0"/>
  </r>
  <r>
    <s v="INN00152"/>
    <n v="2"/>
    <n v="0"/>
    <n v="0"/>
    <n v="3"/>
    <s v="Meal Plan 1"/>
    <s v="Room_Type 4"/>
    <x v="21"/>
    <s v="29-09-2018"/>
    <x v="1"/>
    <x v="109"/>
    <x v="1"/>
  </r>
  <r>
    <s v="INN00153"/>
    <n v="2"/>
    <n v="0"/>
    <n v="1"/>
    <n v="3"/>
    <s v="Not Selected"/>
    <s v="Room_Type 1"/>
    <x v="100"/>
    <d v="2018-04-04T00:00:00"/>
    <x v="1"/>
    <x v="110"/>
    <x v="0"/>
  </r>
  <r>
    <s v="INN00154"/>
    <n v="2"/>
    <n v="0"/>
    <n v="0"/>
    <n v="2"/>
    <s v="Meal Plan 2"/>
    <s v="Room_Type 1"/>
    <x v="101"/>
    <s v="17-07-2017"/>
    <x v="1"/>
    <x v="111"/>
    <x v="1"/>
  </r>
  <r>
    <s v="INN00155"/>
    <n v="2"/>
    <n v="0"/>
    <n v="0"/>
    <n v="1"/>
    <s v="Meal Plan 2"/>
    <s v="Room_Type 1"/>
    <x v="34"/>
    <d v="2018-06-04T00:00:00"/>
    <x v="0"/>
    <x v="36"/>
    <x v="0"/>
  </r>
  <r>
    <s v="INN00156"/>
    <n v="1"/>
    <n v="0"/>
    <n v="0"/>
    <n v="3"/>
    <s v="Meal Plan 1"/>
    <s v="Room_Type 1"/>
    <x v="102"/>
    <d v="2018-01-11T00:00:00"/>
    <x v="2"/>
    <x v="0"/>
    <x v="0"/>
  </r>
  <r>
    <s v="INN00157"/>
    <n v="2"/>
    <n v="0"/>
    <n v="0"/>
    <n v="3"/>
    <s v="Meal Plan 1"/>
    <s v="Room_Type 4"/>
    <x v="103"/>
    <s v="24-05-2018"/>
    <x v="1"/>
    <x v="11"/>
    <x v="0"/>
  </r>
  <r>
    <s v="INN00158"/>
    <n v="2"/>
    <n v="0"/>
    <n v="0"/>
    <n v="3"/>
    <s v="Meal Plan 1"/>
    <s v="Room_Type 1"/>
    <x v="9"/>
    <s v="17-02-2018"/>
    <x v="0"/>
    <x v="34"/>
    <x v="0"/>
  </r>
  <r>
    <s v="INN00159"/>
    <n v="2"/>
    <n v="0"/>
    <n v="0"/>
    <n v="1"/>
    <s v="Not Selected"/>
    <s v="Room_Type 1"/>
    <x v="104"/>
    <s v="14-04-2018"/>
    <x v="1"/>
    <x v="4"/>
    <x v="1"/>
  </r>
  <r>
    <s v="INN00160"/>
    <n v="2"/>
    <n v="0"/>
    <n v="1"/>
    <n v="0"/>
    <s v="Not Selected"/>
    <s v="Room_Type 1"/>
    <x v="10"/>
    <d v="2018-05-06T00:00:00"/>
    <x v="1"/>
    <x v="111"/>
    <x v="0"/>
  </r>
  <r>
    <s v="INN00161"/>
    <n v="2"/>
    <n v="0"/>
    <n v="2"/>
    <n v="2"/>
    <s v="Meal Plan 1"/>
    <s v="Room_Type 1"/>
    <x v="105"/>
    <d v="2018-12-11T00:00:00"/>
    <x v="1"/>
    <x v="18"/>
    <x v="0"/>
  </r>
  <r>
    <s v="INN00162"/>
    <n v="2"/>
    <n v="0"/>
    <n v="2"/>
    <n v="2"/>
    <s v="Meal Plan 1"/>
    <s v="Room_Type 4"/>
    <x v="48"/>
    <s v="17-04-2018"/>
    <x v="1"/>
    <x v="112"/>
    <x v="0"/>
  </r>
  <r>
    <s v="INN00163"/>
    <n v="3"/>
    <n v="0"/>
    <n v="2"/>
    <n v="2"/>
    <s v="Meal Plan 1"/>
    <s v="Room_Type 7"/>
    <x v="24"/>
    <d v="2018-07-10T00:00:00"/>
    <x v="1"/>
    <x v="113"/>
    <x v="0"/>
  </r>
  <r>
    <s v="INN00164"/>
    <n v="2"/>
    <n v="0"/>
    <n v="1"/>
    <n v="1"/>
    <s v="Not Selected"/>
    <s v="Room_Type 1"/>
    <x v="106"/>
    <d v="2018-01-08T00:00:00"/>
    <x v="1"/>
    <x v="27"/>
    <x v="0"/>
  </r>
  <r>
    <s v="INN00165"/>
    <n v="2"/>
    <n v="0"/>
    <n v="0"/>
    <n v="2"/>
    <s v="Meal Plan 1"/>
    <s v="Room_Type 1"/>
    <x v="54"/>
    <d v="2018-12-07T00:00:00"/>
    <x v="1"/>
    <x v="68"/>
    <x v="0"/>
  </r>
  <r>
    <s v="INN00166"/>
    <n v="1"/>
    <n v="0"/>
    <n v="2"/>
    <n v="1"/>
    <s v="Meal Plan 2"/>
    <s v="Room_Type 1"/>
    <x v="27"/>
    <d v="2018-02-01T00:00:00"/>
    <x v="1"/>
    <x v="114"/>
    <x v="0"/>
  </r>
  <r>
    <s v="INN00167"/>
    <n v="2"/>
    <n v="0"/>
    <n v="0"/>
    <n v="2"/>
    <s v="Meal Plan 1"/>
    <s v="Room_Type 4"/>
    <x v="77"/>
    <s v="15-06-2018"/>
    <x v="1"/>
    <x v="115"/>
    <x v="1"/>
  </r>
  <r>
    <s v="INN00168"/>
    <n v="1"/>
    <n v="0"/>
    <n v="0"/>
    <n v="2"/>
    <s v="Meal Plan 1"/>
    <s v="Room_Type 1"/>
    <x v="43"/>
    <s v="16-11-2018"/>
    <x v="1"/>
    <x v="116"/>
    <x v="0"/>
  </r>
  <r>
    <s v="INN00169"/>
    <n v="2"/>
    <n v="0"/>
    <n v="1"/>
    <n v="2"/>
    <s v="Meal Plan 1"/>
    <s v="Room_Type 1"/>
    <x v="107"/>
    <s v="19-09-2018"/>
    <x v="1"/>
    <x v="20"/>
    <x v="1"/>
  </r>
  <r>
    <s v="INN00170"/>
    <n v="2"/>
    <n v="1"/>
    <n v="1"/>
    <n v="0"/>
    <s v="Not Selected"/>
    <s v="Room_Type 1"/>
    <x v="92"/>
    <s v="13-09-2017"/>
    <x v="1"/>
    <x v="117"/>
    <x v="0"/>
  </r>
  <r>
    <s v="INN00171"/>
    <n v="2"/>
    <n v="0"/>
    <n v="0"/>
    <n v="2"/>
    <s v="Meal Plan 1"/>
    <s v="Room_Type 1"/>
    <x v="84"/>
    <s v="15-09-2018"/>
    <x v="1"/>
    <x v="106"/>
    <x v="1"/>
  </r>
  <r>
    <s v="INN00172"/>
    <n v="2"/>
    <n v="0"/>
    <n v="1"/>
    <n v="2"/>
    <s v="Not Selected"/>
    <s v="Room_Type 1"/>
    <x v="108"/>
    <s v="16-12-2018"/>
    <x v="1"/>
    <x v="37"/>
    <x v="1"/>
  </r>
  <r>
    <s v="INN00173"/>
    <n v="2"/>
    <n v="0"/>
    <n v="1"/>
    <n v="3"/>
    <s v="Meal Plan 1"/>
    <s v="Room_Type 1"/>
    <x v="109"/>
    <s v="30-06-2018"/>
    <x v="1"/>
    <x v="73"/>
    <x v="0"/>
  </r>
  <r>
    <s v="INN00174"/>
    <n v="2"/>
    <n v="0"/>
    <n v="0"/>
    <n v="4"/>
    <s v="Meal Plan 1"/>
    <s v="Room_Type 1"/>
    <x v="110"/>
    <s v="18-10-2018"/>
    <x v="1"/>
    <x v="96"/>
    <x v="0"/>
  </r>
  <r>
    <s v="INN00175"/>
    <n v="2"/>
    <n v="1"/>
    <n v="0"/>
    <n v="1"/>
    <s v="Meal Plan 1"/>
    <s v="Room_Type 1"/>
    <x v="92"/>
    <d v="2018-05-11T00:00:00"/>
    <x v="1"/>
    <x v="63"/>
    <x v="1"/>
  </r>
  <r>
    <s v="INN00176"/>
    <n v="2"/>
    <n v="0"/>
    <n v="0"/>
    <n v="1"/>
    <s v="Not Selected"/>
    <s v="Room_Type 1"/>
    <x v="19"/>
    <s v="22-03-2018"/>
    <x v="1"/>
    <x v="42"/>
    <x v="0"/>
  </r>
  <r>
    <s v="INN00177"/>
    <n v="2"/>
    <n v="0"/>
    <n v="1"/>
    <n v="4"/>
    <s v="Not Selected"/>
    <s v="Room_Type 1"/>
    <x v="87"/>
    <s v="17-08-2018"/>
    <x v="1"/>
    <x v="118"/>
    <x v="0"/>
  </r>
  <r>
    <s v="INN00178"/>
    <n v="2"/>
    <n v="0"/>
    <n v="0"/>
    <n v="2"/>
    <s v="Meal Plan 1"/>
    <s v="Room_Type 1"/>
    <x v="111"/>
    <s v="20-05-2018"/>
    <x v="0"/>
    <x v="119"/>
    <x v="0"/>
  </r>
  <r>
    <s v="INN00179"/>
    <n v="1"/>
    <n v="1"/>
    <n v="2"/>
    <n v="5"/>
    <s v="Not Selected"/>
    <s v="Room_Type 1"/>
    <x v="20"/>
    <s v="24-10-2017"/>
    <x v="1"/>
    <x v="120"/>
    <x v="0"/>
  </r>
  <r>
    <s v="INN00180"/>
    <n v="2"/>
    <n v="0"/>
    <n v="0"/>
    <n v="2"/>
    <s v="Meal Plan 2"/>
    <s v="Room_Type 1"/>
    <x v="112"/>
    <s v="21-07-2018"/>
    <x v="1"/>
    <x v="5"/>
    <x v="1"/>
  </r>
  <r>
    <s v="INN00181"/>
    <n v="2"/>
    <n v="0"/>
    <n v="0"/>
    <n v="3"/>
    <s v="Meal Plan 1"/>
    <s v="Room_Type 1"/>
    <x v="92"/>
    <d v="2017-09-09T00:00:00"/>
    <x v="1"/>
    <x v="121"/>
    <x v="0"/>
  </r>
  <r>
    <s v="INN00182"/>
    <n v="2"/>
    <n v="0"/>
    <n v="1"/>
    <n v="3"/>
    <s v="Meal Plan 1"/>
    <s v="Room_Type 1"/>
    <x v="48"/>
    <s v="31-03-2018"/>
    <x v="1"/>
    <x v="122"/>
    <x v="0"/>
  </r>
  <r>
    <s v="INN00183"/>
    <n v="2"/>
    <n v="0"/>
    <n v="0"/>
    <n v="1"/>
    <s v="Not Selected"/>
    <s v="Room_Type 1"/>
    <x v="113"/>
    <d v="2018-11-10T00:00:00"/>
    <x v="1"/>
    <x v="123"/>
    <x v="1"/>
  </r>
  <r>
    <s v="INN00184"/>
    <n v="2"/>
    <n v="0"/>
    <n v="1"/>
    <n v="1"/>
    <s v="Meal Plan 1"/>
    <s v="Room_Type 4"/>
    <x v="26"/>
    <d v="2018-02-04T00:00:00"/>
    <x v="1"/>
    <x v="124"/>
    <x v="0"/>
  </r>
  <r>
    <s v="INN00185"/>
    <n v="2"/>
    <n v="0"/>
    <n v="1"/>
    <n v="5"/>
    <s v="Meal Plan 1"/>
    <s v="Room_Type 1"/>
    <x v="63"/>
    <s v="22-08-2018"/>
    <x v="1"/>
    <x v="125"/>
    <x v="1"/>
  </r>
  <r>
    <s v="INN00186"/>
    <n v="2"/>
    <n v="0"/>
    <n v="0"/>
    <n v="2"/>
    <s v="Meal Plan 1"/>
    <s v="Room_Type 4"/>
    <x v="23"/>
    <s v="13-05-2018"/>
    <x v="1"/>
    <x v="11"/>
    <x v="0"/>
  </r>
  <r>
    <s v="INN00187"/>
    <n v="2"/>
    <n v="0"/>
    <n v="1"/>
    <n v="3"/>
    <s v="Meal Plan 1"/>
    <s v="Room_Type 1"/>
    <x v="74"/>
    <d v="2018-08-08T00:00:00"/>
    <x v="0"/>
    <x v="100"/>
    <x v="0"/>
  </r>
  <r>
    <s v="INN00188"/>
    <n v="2"/>
    <n v="0"/>
    <n v="1"/>
    <n v="4"/>
    <s v="Meal Plan 1"/>
    <s v="Room_Type 4"/>
    <x v="114"/>
    <s v="15-08-2018"/>
    <x v="1"/>
    <x v="126"/>
    <x v="0"/>
  </r>
  <r>
    <s v="INN00189"/>
    <n v="2"/>
    <n v="0"/>
    <n v="2"/>
    <n v="3"/>
    <s v="Meal Plan 1"/>
    <s v="Room_Type 1"/>
    <x v="115"/>
    <s v="19-08-2018"/>
    <x v="1"/>
    <x v="127"/>
    <x v="1"/>
  </r>
  <r>
    <s v="INN00190"/>
    <n v="1"/>
    <n v="0"/>
    <n v="2"/>
    <n v="2"/>
    <s v="Meal Plan 1"/>
    <s v="Room_Type 4"/>
    <x v="116"/>
    <d v="2018-06-11T00:00:00"/>
    <x v="1"/>
    <x v="128"/>
    <x v="0"/>
  </r>
  <r>
    <s v="INN00191"/>
    <n v="2"/>
    <n v="0"/>
    <n v="1"/>
    <n v="2"/>
    <s v="Meal Plan 1"/>
    <s v="Room_Type 1"/>
    <x v="117"/>
    <d v="2018-10-10T00:00:00"/>
    <x v="1"/>
    <x v="129"/>
    <x v="1"/>
  </r>
  <r>
    <s v="INN00192"/>
    <n v="1"/>
    <n v="0"/>
    <n v="0"/>
    <n v="1"/>
    <s v="Meal Plan 1"/>
    <s v="Room_Type 1"/>
    <x v="118"/>
    <d v="2018-06-10T00:00:00"/>
    <x v="1"/>
    <x v="130"/>
    <x v="1"/>
  </r>
  <r>
    <s v="INN00193"/>
    <n v="2"/>
    <n v="0"/>
    <n v="0"/>
    <n v="4"/>
    <s v="Meal Plan 1"/>
    <s v="Room_Type 1"/>
    <x v="48"/>
    <d v="2018-06-04T00:00:00"/>
    <x v="1"/>
    <x v="131"/>
    <x v="1"/>
  </r>
  <r>
    <s v="INN00194"/>
    <n v="2"/>
    <n v="0"/>
    <n v="1"/>
    <n v="2"/>
    <s v="Meal Plan 2"/>
    <s v="Room_Type 1"/>
    <x v="119"/>
    <s v="25-03-2018"/>
    <x v="1"/>
    <x v="65"/>
    <x v="1"/>
  </r>
  <r>
    <s v="INN00195"/>
    <n v="2"/>
    <n v="0"/>
    <n v="4"/>
    <n v="10"/>
    <s v="Meal Plan 1"/>
    <s v="Room_Type 4"/>
    <x v="120"/>
    <d v="2018-03-08T00:00:00"/>
    <x v="1"/>
    <x v="132"/>
    <x v="1"/>
  </r>
  <r>
    <s v="INN00196"/>
    <n v="2"/>
    <n v="0"/>
    <n v="1"/>
    <n v="2"/>
    <s v="Meal Plan 1"/>
    <s v="Room_Type 1"/>
    <x v="69"/>
    <s v="30-05-2018"/>
    <x v="0"/>
    <x v="133"/>
    <x v="0"/>
  </r>
  <r>
    <s v="INN00197"/>
    <n v="2"/>
    <n v="0"/>
    <n v="0"/>
    <n v="1"/>
    <s v="Meal Plan 1"/>
    <s v="Room_Type 1"/>
    <x v="121"/>
    <d v="2017-11-09T00:00:00"/>
    <x v="2"/>
    <x v="3"/>
    <x v="1"/>
  </r>
  <r>
    <s v="INN00198"/>
    <n v="2"/>
    <n v="0"/>
    <n v="2"/>
    <n v="1"/>
    <s v="Meal Plan 1"/>
    <s v="Room_Type 1"/>
    <x v="113"/>
    <s v="20-03-2018"/>
    <x v="0"/>
    <x v="134"/>
    <x v="0"/>
  </r>
  <r>
    <s v="INN00199"/>
    <n v="2"/>
    <n v="0"/>
    <n v="0"/>
    <n v="4"/>
    <s v="Meal Plan 1"/>
    <s v="Room_Type 1"/>
    <x v="122"/>
    <s v="23-03-2018"/>
    <x v="0"/>
    <x v="135"/>
    <x v="0"/>
  </r>
  <r>
    <s v="INN00200"/>
    <n v="2"/>
    <n v="0"/>
    <n v="1"/>
    <n v="2"/>
    <s v="Meal Plan 2"/>
    <s v="Room_Type 1"/>
    <x v="123"/>
    <s v="26-09-2018"/>
    <x v="1"/>
    <x v="77"/>
    <x v="1"/>
  </r>
  <r>
    <s v="INN00201"/>
    <n v="2"/>
    <n v="0"/>
    <n v="1"/>
    <n v="4"/>
    <s v="Not Selected"/>
    <s v="Room_Type 1"/>
    <x v="124"/>
    <s v="24-08-2018"/>
    <x v="1"/>
    <x v="136"/>
    <x v="0"/>
  </r>
  <r>
    <s v="INN00202"/>
    <n v="2"/>
    <n v="0"/>
    <n v="0"/>
    <n v="2"/>
    <s v="Meal Plan 1"/>
    <s v="Room_Type 1"/>
    <x v="91"/>
    <s v="16-07-2017"/>
    <x v="1"/>
    <x v="137"/>
    <x v="1"/>
  </r>
  <r>
    <s v="INN00203"/>
    <n v="2"/>
    <n v="0"/>
    <n v="2"/>
    <n v="2"/>
    <s v="Not Selected"/>
    <s v="Room_Type 1"/>
    <x v="3"/>
    <s v="16-12-2018"/>
    <x v="1"/>
    <x v="29"/>
    <x v="1"/>
  </r>
  <r>
    <s v="INN00204"/>
    <n v="2"/>
    <n v="0"/>
    <n v="1"/>
    <n v="2"/>
    <s v="Meal Plan 1"/>
    <s v="Room_Type 1"/>
    <x v="101"/>
    <s v="13-05-2018"/>
    <x v="1"/>
    <x v="48"/>
    <x v="1"/>
  </r>
  <r>
    <s v="INN00205"/>
    <n v="2"/>
    <n v="0"/>
    <n v="2"/>
    <n v="1"/>
    <s v="Meal Plan 1"/>
    <s v="Room_Type 1"/>
    <x v="125"/>
    <s v="19-11-2018"/>
    <x v="0"/>
    <x v="34"/>
    <x v="0"/>
  </r>
  <r>
    <s v="INN00206"/>
    <n v="2"/>
    <n v="0"/>
    <n v="0"/>
    <n v="3"/>
    <s v="Meal Plan 1"/>
    <s v="Room_Type 1"/>
    <x v="126"/>
    <d v="2018-08-09T00:00:00"/>
    <x v="1"/>
    <x v="138"/>
    <x v="1"/>
  </r>
  <r>
    <s v="INN00207"/>
    <n v="2"/>
    <n v="0"/>
    <n v="1"/>
    <n v="3"/>
    <s v="Meal Plan 1"/>
    <s v="Room_Type 1"/>
    <x v="127"/>
    <d v="2018-02-05T00:00:00"/>
    <x v="1"/>
    <x v="67"/>
    <x v="0"/>
  </r>
  <r>
    <s v="INN00208"/>
    <n v="2"/>
    <n v="0"/>
    <n v="2"/>
    <n v="3"/>
    <s v="Meal Plan 1"/>
    <s v="Room_Type 1"/>
    <x v="6"/>
    <s v="21-08-2018"/>
    <x v="0"/>
    <x v="17"/>
    <x v="0"/>
  </r>
  <r>
    <s v="INN00209"/>
    <n v="2"/>
    <n v="0"/>
    <n v="2"/>
    <n v="4"/>
    <s v="Meal Plan 1"/>
    <s v="Room_Type 1"/>
    <x v="65"/>
    <d v="2018-03-12T00:00:00"/>
    <x v="1"/>
    <x v="139"/>
    <x v="0"/>
  </r>
  <r>
    <s v="INN00210"/>
    <n v="1"/>
    <n v="0"/>
    <n v="0"/>
    <n v="0"/>
    <s v="Meal Plan 1"/>
    <s v="Room_Type 1"/>
    <x v="102"/>
    <s v="27-02-2018"/>
    <x v="4"/>
    <x v="49"/>
    <x v="0"/>
  </r>
  <r>
    <s v="INN00211"/>
    <n v="2"/>
    <n v="0"/>
    <n v="0"/>
    <n v="3"/>
    <s v="Meal Plan 1"/>
    <s v="Room_Type 1"/>
    <x v="41"/>
    <s v="22-09-2017"/>
    <x v="1"/>
    <x v="140"/>
    <x v="0"/>
  </r>
  <r>
    <s v="INN00212"/>
    <n v="2"/>
    <n v="0"/>
    <n v="1"/>
    <n v="1"/>
    <s v="Meal Plan 1"/>
    <s v="Room_Type 1"/>
    <x v="36"/>
    <s v="18-07-2018"/>
    <x v="0"/>
    <x v="18"/>
    <x v="0"/>
  </r>
  <r>
    <s v="INN00213"/>
    <n v="2"/>
    <n v="0"/>
    <n v="0"/>
    <n v="1"/>
    <s v="Meal Plan 1"/>
    <s v="Room_Type 1"/>
    <x v="102"/>
    <s v="22-09-2017"/>
    <x v="1"/>
    <x v="130"/>
    <x v="0"/>
  </r>
  <r>
    <s v="INN00214"/>
    <n v="3"/>
    <n v="0"/>
    <n v="2"/>
    <n v="1"/>
    <s v="Meal Plan 1"/>
    <s v="Room_Type 1"/>
    <x v="128"/>
    <s v="13-08-2018"/>
    <x v="1"/>
    <x v="141"/>
    <x v="1"/>
  </r>
  <r>
    <s v="INN00215"/>
    <n v="2"/>
    <n v="0"/>
    <n v="2"/>
    <n v="2"/>
    <s v="Meal Plan 1"/>
    <s v="Room_Type 1"/>
    <x v="129"/>
    <s v="13-08-2018"/>
    <x v="1"/>
    <x v="19"/>
    <x v="0"/>
  </r>
  <r>
    <s v="INN00216"/>
    <n v="1"/>
    <n v="0"/>
    <n v="1"/>
    <n v="1"/>
    <s v="Not Selected"/>
    <s v="Room_Type 1"/>
    <x v="43"/>
    <d v="2018-05-12T00:00:00"/>
    <x v="1"/>
    <x v="12"/>
    <x v="0"/>
  </r>
  <r>
    <s v="INN00217"/>
    <n v="2"/>
    <n v="0"/>
    <n v="0"/>
    <n v="2"/>
    <s v="Meal Plan 1"/>
    <s v="Room_Type 1"/>
    <x v="130"/>
    <s v="15-10-2017"/>
    <x v="1"/>
    <x v="142"/>
    <x v="0"/>
  </r>
  <r>
    <s v="INN00218"/>
    <n v="2"/>
    <n v="1"/>
    <n v="2"/>
    <n v="5"/>
    <s v="Meal Plan 1"/>
    <s v="Room_Type 4"/>
    <x v="131"/>
    <s v="20-03-2018"/>
    <x v="1"/>
    <x v="143"/>
    <x v="0"/>
  </r>
  <r>
    <s v="INN00219"/>
    <n v="2"/>
    <n v="0"/>
    <n v="0"/>
    <n v="3"/>
    <s v="Meal Plan 1"/>
    <s v="Room_Type 1"/>
    <x v="132"/>
    <s v="13-10-2018"/>
    <x v="0"/>
    <x v="13"/>
    <x v="0"/>
  </r>
  <r>
    <s v="INN00220"/>
    <n v="2"/>
    <n v="0"/>
    <n v="2"/>
    <n v="5"/>
    <s v="Meal Plan 1"/>
    <s v="Room_Type 1"/>
    <x v="133"/>
    <s v="22-08-2017"/>
    <x v="1"/>
    <x v="144"/>
    <x v="0"/>
  </r>
  <r>
    <s v="INN00221"/>
    <n v="1"/>
    <n v="0"/>
    <n v="0"/>
    <n v="2"/>
    <s v="Not Selected"/>
    <s v="Room_Type 1"/>
    <x v="10"/>
    <d v="2018-08-06T00:00:00"/>
    <x v="1"/>
    <x v="111"/>
    <x v="0"/>
  </r>
  <r>
    <s v="INN00222"/>
    <n v="2"/>
    <n v="0"/>
    <n v="0"/>
    <n v="1"/>
    <s v="Meal Plan 1"/>
    <s v="Room_Type 1"/>
    <x v="73"/>
    <d v="2018-01-03T00:00:00"/>
    <x v="0"/>
    <x v="145"/>
    <x v="0"/>
  </r>
  <r>
    <s v="INN00223"/>
    <n v="2"/>
    <n v="0"/>
    <n v="1"/>
    <n v="5"/>
    <s v="Meal Plan 1"/>
    <s v="Room_Type 1"/>
    <x v="23"/>
    <d v="2018-05-09T00:00:00"/>
    <x v="1"/>
    <x v="146"/>
    <x v="0"/>
  </r>
  <r>
    <s v="INN00224"/>
    <n v="2"/>
    <n v="0"/>
    <n v="0"/>
    <n v="2"/>
    <s v="Meal Plan 1"/>
    <s v="Room_Type 1"/>
    <x v="25"/>
    <d v="2018-10-06T00:00:00"/>
    <x v="0"/>
    <x v="65"/>
    <x v="0"/>
  </r>
  <r>
    <s v="INN00225"/>
    <n v="2"/>
    <n v="0"/>
    <n v="1"/>
    <n v="3"/>
    <s v="Not Selected"/>
    <s v="Room_Type 1"/>
    <x v="134"/>
    <s v="14-04-2018"/>
    <x v="1"/>
    <x v="147"/>
    <x v="0"/>
  </r>
  <r>
    <s v="INN00226"/>
    <n v="2"/>
    <n v="0"/>
    <n v="0"/>
    <n v="2"/>
    <s v="Meal Plan 1"/>
    <s v="Room_Type 1"/>
    <x v="135"/>
    <d v="2018-01-04T00:00:00"/>
    <x v="1"/>
    <x v="136"/>
    <x v="0"/>
  </r>
  <r>
    <s v="INN00227"/>
    <n v="2"/>
    <n v="2"/>
    <n v="2"/>
    <n v="2"/>
    <s v="Meal Plan 1"/>
    <s v="Room_Type 6"/>
    <x v="136"/>
    <s v="27-05-2018"/>
    <x v="1"/>
    <x v="148"/>
    <x v="1"/>
  </r>
  <r>
    <s v="INN00228"/>
    <n v="1"/>
    <n v="2"/>
    <n v="2"/>
    <n v="2"/>
    <s v="Meal Plan 1"/>
    <s v="Room_Type 6"/>
    <x v="102"/>
    <s v="19-09-2017"/>
    <x v="1"/>
    <x v="149"/>
    <x v="0"/>
  </r>
  <r>
    <s v="INN00229"/>
    <n v="2"/>
    <n v="1"/>
    <n v="0"/>
    <n v="2"/>
    <s v="Meal Plan 1"/>
    <s v="Room_Type 1"/>
    <x v="118"/>
    <s v="18-03-2018"/>
    <x v="1"/>
    <x v="83"/>
    <x v="0"/>
  </r>
  <r>
    <s v="INN00230"/>
    <n v="1"/>
    <n v="0"/>
    <n v="1"/>
    <n v="2"/>
    <s v="Meal Plan 1"/>
    <s v="Room_Type 1"/>
    <x v="36"/>
    <d v="2018-05-02T00:00:00"/>
    <x v="1"/>
    <x v="150"/>
    <x v="1"/>
  </r>
  <r>
    <s v="INN00231"/>
    <n v="3"/>
    <n v="0"/>
    <n v="1"/>
    <n v="1"/>
    <s v="Meal Plan 1"/>
    <s v="Room_Type 4"/>
    <x v="137"/>
    <d v="2018-07-05T00:00:00"/>
    <x v="1"/>
    <x v="59"/>
    <x v="1"/>
  </r>
  <r>
    <s v="INN00232"/>
    <n v="2"/>
    <n v="1"/>
    <n v="1"/>
    <n v="3"/>
    <s v="Meal Plan 1"/>
    <s v="Room_Type 1"/>
    <x v="138"/>
    <d v="2018-12-05T00:00:00"/>
    <x v="1"/>
    <x v="151"/>
    <x v="0"/>
  </r>
  <r>
    <s v="INN00233"/>
    <n v="1"/>
    <n v="0"/>
    <n v="0"/>
    <n v="2"/>
    <s v="Meal Plan 1"/>
    <s v="Room_Type 1"/>
    <x v="111"/>
    <s v="28-10-2018"/>
    <x v="0"/>
    <x v="13"/>
    <x v="0"/>
  </r>
  <r>
    <s v="INN00234"/>
    <n v="2"/>
    <n v="0"/>
    <n v="1"/>
    <n v="0"/>
    <s v="Not Selected"/>
    <s v="Room_Type 1"/>
    <x v="10"/>
    <s v="18-10-2017"/>
    <x v="1"/>
    <x v="152"/>
    <x v="0"/>
  </r>
  <r>
    <s v="INN00235"/>
    <n v="2"/>
    <n v="1"/>
    <n v="0"/>
    <n v="1"/>
    <s v="Meal Plan 1"/>
    <s v="Room_Type 1"/>
    <x v="125"/>
    <s v="21-06-2018"/>
    <x v="1"/>
    <x v="153"/>
    <x v="0"/>
  </r>
  <r>
    <s v="INN00236"/>
    <n v="2"/>
    <n v="0"/>
    <n v="2"/>
    <n v="6"/>
    <s v="Not Selected"/>
    <s v="Room_Type 1"/>
    <x v="102"/>
    <s v="14-08-2017"/>
    <x v="1"/>
    <x v="154"/>
    <x v="0"/>
  </r>
  <r>
    <s v="INN00237"/>
    <n v="2"/>
    <n v="0"/>
    <n v="0"/>
    <n v="2"/>
    <s v="Meal Plan 1"/>
    <s v="Room_Type 5"/>
    <x v="46"/>
    <s v="29-04-2018"/>
    <x v="1"/>
    <x v="155"/>
    <x v="1"/>
  </r>
  <r>
    <s v="INN00238"/>
    <n v="2"/>
    <n v="0"/>
    <n v="1"/>
    <n v="3"/>
    <s v="Meal Plan 1"/>
    <s v="Room_Type 1"/>
    <x v="139"/>
    <s v="26-12-2018"/>
    <x v="1"/>
    <x v="32"/>
    <x v="1"/>
  </r>
  <r>
    <s v="INN00239"/>
    <n v="2"/>
    <n v="0"/>
    <n v="2"/>
    <n v="2"/>
    <s v="Not Selected"/>
    <s v="Room_Type 1"/>
    <x v="11"/>
    <d v="2018-02-12T00:00:00"/>
    <x v="1"/>
    <x v="76"/>
    <x v="0"/>
  </r>
  <r>
    <s v="INN00240"/>
    <n v="2"/>
    <n v="0"/>
    <n v="1"/>
    <n v="0"/>
    <s v="Not Selected"/>
    <s v="Room_Type 1"/>
    <x v="104"/>
    <s v="24-04-2018"/>
    <x v="1"/>
    <x v="4"/>
    <x v="1"/>
  </r>
  <r>
    <s v="INN00241"/>
    <n v="2"/>
    <n v="0"/>
    <n v="2"/>
    <n v="4"/>
    <s v="Not Selected"/>
    <s v="Room_Type 1"/>
    <x v="140"/>
    <s v="16-06-2018"/>
    <x v="1"/>
    <x v="44"/>
    <x v="0"/>
  </r>
  <r>
    <s v="INN00242"/>
    <n v="2"/>
    <n v="0"/>
    <n v="1"/>
    <n v="2"/>
    <s v="Meal Plan 1"/>
    <s v="Room_Type 1"/>
    <x v="2"/>
    <d v="2017-09-10T00:00:00"/>
    <x v="1"/>
    <x v="156"/>
    <x v="0"/>
  </r>
  <r>
    <s v="INN00243"/>
    <n v="2"/>
    <n v="0"/>
    <n v="0"/>
    <n v="2"/>
    <s v="Meal Plan 1"/>
    <s v="Room_Type 1"/>
    <x v="141"/>
    <d v="2017-03-09T00:00:00"/>
    <x v="1"/>
    <x v="18"/>
    <x v="0"/>
  </r>
  <r>
    <s v="INN00244"/>
    <n v="2"/>
    <n v="0"/>
    <n v="0"/>
    <n v="2"/>
    <s v="Not Selected"/>
    <s v="Room_Type 1"/>
    <x v="17"/>
    <s v="14-09-2018"/>
    <x v="2"/>
    <x v="3"/>
    <x v="0"/>
  </r>
  <r>
    <s v="INN00245"/>
    <n v="2"/>
    <n v="0"/>
    <n v="1"/>
    <n v="0"/>
    <s v="Meal Plan 1"/>
    <s v="Room_Type 1"/>
    <x v="142"/>
    <d v="2018-08-02T00:00:00"/>
    <x v="1"/>
    <x v="157"/>
    <x v="0"/>
  </r>
  <r>
    <s v="INN00246"/>
    <n v="1"/>
    <n v="0"/>
    <n v="0"/>
    <n v="2"/>
    <s v="Meal Plan 1"/>
    <s v="Room_Type 1"/>
    <x v="143"/>
    <d v="2017-02-10T00:00:00"/>
    <x v="0"/>
    <x v="3"/>
    <x v="0"/>
  </r>
  <r>
    <s v="INN00247"/>
    <n v="2"/>
    <n v="0"/>
    <n v="0"/>
    <n v="3"/>
    <s v="Meal Plan 1"/>
    <s v="Room_Type 1"/>
    <x v="131"/>
    <s v="24-03-2018"/>
    <x v="1"/>
    <x v="68"/>
    <x v="0"/>
  </r>
  <r>
    <s v="INN00248"/>
    <n v="2"/>
    <n v="0"/>
    <n v="0"/>
    <n v="4"/>
    <s v="Meal Plan 1"/>
    <s v="Room_Type 4"/>
    <x v="56"/>
    <s v="31-05-2018"/>
    <x v="1"/>
    <x v="158"/>
    <x v="1"/>
  </r>
  <r>
    <s v="INN00249"/>
    <n v="2"/>
    <n v="0"/>
    <n v="1"/>
    <n v="2"/>
    <s v="Meal Plan 1"/>
    <s v="Room_Type 1"/>
    <x v="141"/>
    <s v="15-08-2018"/>
    <x v="1"/>
    <x v="159"/>
    <x v="1"/>
  </r>
  <r>
    <s v="INN00250"/>
    <n v="1"/>
    <n v="0"/>
    <n v="1"/>
    <n v="3"/>
    <s v="Meal Plan 1"/>
    <s v="Room_Type 1"/>
    <x v="10"/>
    <d v="2017-09-11T00:00:00"/>
    <x v="1"/>
    <x v="160"/>
    <x v="0"/>
  </r>
  <r>
    <s v="INN00251"/>
    <n v="3"/>
    <n v="0"/>
    <n v="2"/>
    <n v="1"/>
    <s v="Meal Plan 1"/>
    <s v="Room_Type 4"/>
    <x v="144"/>
    <s v="13-08-2018"/>
    <x v="1"/>
    <x v="161"/>
    <x v="1"/>
  </r>
  <r>
    <s v="INN00252"/>
    <n v="2"/>
    <n v="0"/>
    <n v="2"/>
    <n v="3"/>
    <s v="Meal Plan 1"/>
    <s v="Room_Type 1"/>
    <x v="145"/>
    <d v="2017-02-10T00:00:00"/>
    <x v="0"/>
    <x v="162"/>
    <x v="0"/>
  </r>
  <r>
    <s v="INN00253"/>
    <n v="2"/>
    <n v="0"/>
    <n v="0"/>
    <n v="4"/>
    <s v="Not Selected"/>
    <s v="Room_Type 1"/>
    <x v="55"/>
    <s v="26-07-2018"/>
    <x v="1"/>
    <x v="110"/>
    <x v="1"/>
  </r>
  <r>
    <s v="INN00254"/>
    <n v="2"/>
    <n v="0"/>
    <n v="1"/>
    <n v="1"/>
    <s v="Not Selected"/>
    <s v="Room_Type 1"/>
    <x v="14"/>
    <s v="21-05-2018"/>
    <x v="0"/>
    <x v="137"/>
    <x v="0"/>
  </r>
  <r>
    <s v="INN00255"/>
    <n v="3"/>
    <n v="0"/>
    <n v="0"/>
    <n v="3"/>
    <s v="Meal Plan 1"/>
    <s v="Room_Type 4"/>
    <x v="37"/>
    <d v="2018-07-09T00:00:00"/>
    <x v="1"/>
    <x v="163"/>
    <x v="0"/>
  </r>
  <r>
    <s v="INN00256"/>
    <n v="2"/>
    <n v="0"/>
    <n v="2"/>
    <n v="4"/>
    <s v="Not Selected"/>
    <s v="Room_Type 1"/>
    <x v="22"/>
    <s v="15-11-2017"/>
    <x v="1"/>
    <x v="164"/>
    <x v="0"/>
  </r>
  <r>
    <s v="INN00257"/>
    <n v="2"/>
    <n v="0"/>
    <n v="0"/>
    <n v="1"/>
    <s v="Meal Plan 1"/>
    <s v="Room_Type 1"/>
    <x v="10"/>
    <s v="16-09-2017"/>
    <x v="1"/>
    <x v="165"/>
    <x v="0"/>
  </r>
  <r>
    <s v="INN00258"/>
    <n v="2"/>
    <n v="0"/>
    <n v="0"/>
    <n v="2"/>
    <s v="Meal Plan 2"/>
    <s v="Room_Type 1"/>
    <x v="146"/>
    <s v="16-10-2017"/>
    <x v="1"/>
    <x v="166"/>
    <x v="1"/>
  </r>
  <r>
    <s v="INN00259"/>
    <n v="2"/>
    <n v="0"/>
    <n v="0"/>
    <n v="3"/>
    <s v="Not Selected"/>
    <s v="Room_Type 1"/>
    <x v="147"/>
    <s v="18-10-2018"/>
    <x v="1"/>
    <x v="123"/>
    <x v="0"/>
  </r>
  <r>
    <s v="INN00260"/>
    <n v="3"/>
    <n v="0"/>
    <n v="2"/>
    <n v="3"/>
    <s v="Meal Plan 2"/>
    <s v="Room_Type 4"/>
    <x v="127"/>
    <s v="23-07-2018"/>
    <x v="1"/>
    <x v="167"/>
    <x v="0"/>
  </r>
  <r>
    <s v="INN00261"/>
    <n v="3"/>
    <n v="0"/>
    <n v="1"/>
    <n v="1"/>
    <s v="Meal Plan 1"/>
    <s v="Room_Type 4"/>
    <x v="2"/>
    <d v="2018-11-06T00:00:00"/>
    <x v="1"/>
    <x v="168"/>
    <x v="0"/>
  </r>
  <r>
    <s v="INN00262"/>
    <n v="2"/>
    <n v="0"/>
    <n v="1"/>
    <n v="1"/>
    <s v="Not Selected"/>
    <s v="Room_Type 1"/>
    <x v="102"/>
    <s v="16-01-2018"/>
    <x v="1"/>
    <x v="169"/>
    <x v="0"/>
  </r>
  <r>
    <s v="INN00263"/>
    <n v="2"/>
    <n v="0"/>
    <n v="1"/>
    <n v="3"/>
    <s v="Meal Plan 1"/>
    <s v="Room_Type 4"/>
    <x v="89"/>
    <s v="14-09-2017"/>
    <x v="1"/>
    <x v="170"/>
    <x v="0"/>
  </r>
  <r>
    <s v="INN00264"/>
    <n v="1"/>
    <n v="0"/>
    <n v="2"/>
    <n v="2"/>
    <s v="Meal Plan 1"/>
    <s v="Room_Type 1"/>
    <x v="148"/>
    <d v="2018-06-11T00:00:00"/>
    <x v="1"/>
    <x v="171"/>
    <x v="1"/>
  </r>
  <r>
    <s v="INN00265"/>
    <n v="1"/>
    <n v="0"/>
    <n v="2"/>
    <n v="1"/>
    <s v="Meal Plan 1"/>
    <s v="Room_Type 1"/>
    <x v="149"/>
    <s v="15-10-2018"/>
    <x v="1"/>
    <x v="5"/>
    <x v="1"/>
  </r>
  <r>
    <s v="INN00266"/>
    <n v="2"/>
    <n v="0"/>
    <n v="2"/>
    <n v="5"/>
    <s v="Not Selected"/>
    <s v="Room_Type 1"/>
    <x v="150"/>
    <d v="2017-02-09T00:00:00"/>
    <x v="1"/>
    <x v="172"/>
    <x v="0"/>
  </r>
  <r>
    <s v="INN00267"/>
    <n v="1"/>
    <n v="0"/>
    <n v="0"/>
    <n v="2"/>
    <s v="Meal Plan 1"/>
    <s v="Room_Type 1"/>
    <x v="2"/>
    <d v="2017-12-08T00:00:00"/>
    <x v="4"/>
    <x v="49"/>
    <x v="0"/>
  </r>
  <r>
    <s v="INN00268"/>
    <n v="1"/>
    <n v="0"/>
    <n v="2"/>
    <n v="1"/>
    <s v="Meal Plan 1"/>
    <s v="Room_Type 1"/>
    <x v="102"/>
    <s v="23-08-2017"/>
    <x v="4"/>
    <x v="49"/>
    <x v="0"/>
  </r>
  <r>
    <s v="INN00269"/>
    <n v="2"/>
    <n v="0"/>
    <n v="0"/>
    <n v="3"/>
    <s v="Meal Plan 1"/>
    <s v="Room_Type 1"/>
    <x v="151"/>
    <s v="29-12-2018"/>
    <x v="1"/>
    <x v="173"/>
    <x v="1"/>
  </r>
  <r>
    <s v="INN00270"/>
    <n v="2"/>
    <n v="0"/>
    <n v="0"/>
    <n v="2"/>
    <s v="Meal Plan 1"/>
    <s v="Room_Type 1"/>
    <x v="18"/>
    <s v="15-04-2018"/>
    <x v="0"/>
    <x v="17"/>
    <x v="0"/>
  </r>
  <r>
    <s v="INN00271"/>
    <n v="1"/>
    <n v="0"/>
    <n v="0"/>
    <n v="1"/>
    <s v="Meal Plan 1"/>
    <s v="Room_Type 1"/>
    <x v="75"/>
    <d v="2018-11-03T00:00:00"/>
    <x v="2"/>
    <x v="34"/>
    <x v="0"/>
  </r>
  <r>
    <s v="INN00272"/>
    <n v="2"/>
    <n v="0"/>
    <n v="2"/>
    <n v="4"/>
    <s v="Meal Plan 1"/>
    <s v="Room_Type 1"/>
    <x v="90"/>
    <s v="28-08-2018"/>
    <x v="1"/>
    <x v="174"/>
    <x v="1"/>
  </r>
  <r>
    <s v="INN00273"/>
    <n v="2"/>
    <n v="0"/>
    <n v="1"/>
    <n v="2"/>
    <s v="Meal Plan 2"/>
    <s v="Room_Type 1"/>
    <x v="119"/>
    <s v="25-03-2018"/>
    <x v="1"/>
    <x v="65"/>
    <x v="1"/>
  </r>
  <r>
    <s v="INN00274"/>
    <n v="3"/>
    <n v="0"/>
    <n v="0"/>
    <n v="2"/>
    <s v="Meal Plan 1"/>
    <s v="Room_Type 4"/>
    <x v="37"/>
    <d v="2018-09-12T00:00:00"/>
    <x v="1"/>
    <x v="126"/>
    <x v="0"/>
  </r>
  <r>
    <s v="INN00275"/>
    <n v="2"/>
    <n v="0"/>
    <n v="1"/>
    <n v="0"/>
    <s v="Meal Plan 1"/>
    <s v="Room_Type 1"/>
    <x v="49"/>
    <d v="2018-12-06T00:00:00"/>
    <x v="1"/>
    <x v="175"/>
    <x v="0"/>
  </r>
  <r>
    <s v="INN00276"/>
    <n v="3"/>
    <n v="0"/>
    <n v="2"/>
    <n v="4"/>
    <s v="Meal Plan 1"/>
    <s v="Room_Type 4"/>
    <x v="113"/>
    <d v="2018-06-07T00:00:00"/>
    <x v="1"/>
    <x v="176"/>
    <x v="0"/>
  </r>
  <r>
    <s v="INN00277"/>
    <n v="1"/>
    <n v="0"/>
    <n v="0"/>
    <n v="2"/>
    <s v="Meal Plan 2"/>
    <s v="Room_Type 1"/>
    <x v="152"/>
    <s v="15-06-2018"/>
    <x v="1"/>
    <x v="177"/>
    <x v="1"/>
  </r>
  <r>
    <s v="INN00278"/>
    <n v="1"/>
    <n v="0"/>
    <n v="2"/>
    <n v="1"/>
    <s v="Meal Plan 1"/>
    <s v="Room_Type 1"/>
    <x v="142"/>
    <d v="2018-05-03T00:00:00"/>
    <x v="1"/>
    <x v="178"/>
    <x v="0"/>
  </r>
  <r>
    <s v="INN00279"/>
    <n v="2"/>
    <n v="0"/>
    <n v="0"/>
    <n v="3"/>
    <s v="Meal Plan 1"/>
    <s v="Room_Type 1"/>
    <x v="92"/>
    <s v="18-08-2017"/>
    <x v="1"/>
    <x v="179"/>
    <x v="0"/>
  </r>
  <r>
    <s v="INN00280"/>
    <n v="3"/>
    <n v="0"/>
    <n v="2"/>
    <n v="5"/>
    <s v="Meal Plan 1"/>
    <s v="Room_Type 4"/>
    <x v="62"/>
    <s v="21-04-2018"/>
    <x v="1"/>
    <x v="180"/>
    <x v="0"/>
  </r>
  <r>
    <s v="INN00281"/>
    <n v="3"/>
    <n v="0"/>
    <n v="1"/>
    <n v="1"/>
    <s v="Meal Plan 1"/>
    <s v="Room_Type 4"/>
    <x v="153"/>
    <s v="18-06-2018"/>
    <x v="0"/>
    <x v="181"/>
    <x v="0"/>
  </r>
  <r>
    <s v="INN00282"/>
    <n v="2"/>
    <n v="0"/>
    <n v="1"/>
    <n v="3"/>
    <s v="Not Selected"/>
    <s v="Room_Type 1"/>
    <x v="33"/>
    <d v="2018-09-05T00:00:00"/>
    <x v="1"/>
    <x v="84"/>
    <x v="1"/>
  </r>
  <r>
    <s v="INN00283"/>
    <n v="2"/>
    <n v="0"/>
    <n v="0"/>
    <n v="4"/>
    <s v="Not Selected"/>
    <s v="Room_Type 1"/>
    <x v="154"/>
    <s v="28-06-2018"/>
    <x v="1"/>
    <x v="182"/>
    <x v="1"/>
  </r>
  <r>
    <s v="INN00284"/>
    <n v="2"/>
    <n v="0"/>
    <n v="0"/>
    <n v="4"/>
    <s v="Not Selected"/>
    <s v="Room_Type 1"/>
    <x v="105"/>
    <d v="2018-09-03T00:00:00"/>
    <x v="1"/>
    <x v="29"/>
    <x v="1"/>
  </r>
  <r>
    <s v="INN00285"/>
    <n v="1"/>
    <n v="0"/>
    <n v="1"/>
    <n v="4"/>
    <s v="Meal Plan 1"/>
    <s v="Room_Type 1"/>
    <x v="155"/>
    <d v="2018-07-09T00:00:00"/>
    <x v="1"/>
    <x v="129"/>
    <x v="1"/>
  </r>
  <r>
    <s v="INN00286"/>
    <n v="2"/>
    <n v="0"/>
    <n v="0"/>
    <n v="2"/>
    <s v="Not Selected"/>
    <s v="Room_Type 1"/>
    <x v="2"/>
    <d v="2018-10-08T00:00:00"/>
    <x v="1"/>
    <x v="183"/>
    <x v="0"/>
  </r>
  <r>
    <s v="INN00287"/>
    <n v="2"/>
    <n v="2"/>
    <n v="2"/>
    <n v="2"/>
    <s v="Meal Plan 1"/>
    <s v="Room_Type 6"/>
    <x v="156"/>
    <s v="13-05-2018"/>
    <x v="1"/>
    <x v="184"/>
    <x v="0"/>
  </r>
  <r>
    <s v="INN00288"/>
    <n v="0"/>
    <n v="2"/>
    <n v="2"/>
    <n v="2"/>
    <s v="Meal Plan 1"/>
    <s v="Room_Type 1"/>
    <x v="67"/>
    <s v="24-04-2018"/>
    <x v="1"/>
    <x v="185"/>
    <x v="1"/>
  </r>
  <r>
    <s v="INN00289"/>
    <n v="2"/>
    <n v="0"/>
    <n v="0"/>
    <n v="1"/>
    <s v="Meal Plan 1"/>
    <s v="Room_Type 2"/>
    <x v="157"/>
    <d v="2018-07-09T00:00:00"/>
    <x v="4"/>
    <x v="49"/>
    <x v="0"/>
  </r>
  <r>
    <s v="INN00290"/>
    <n v="3"/>
    <n v="0"/>
    <n v="1"/>
    <n v="2"/>
    <s v="Meal Plan 1"/>
    <s v="Room_Type 1"/>
    <x v="96"/>
    <s v="28-10-2018"/>
    <x v="1"/>
    <x v="186"/>
    <x v="1"/>
  </r>
  <r>
    <s v="INN00291"/>
    <n v="2"/>
    <n v="0"/>
    <n v="1"/>
    <n v="3"/>
    <s v="Meal Plan 1"/>
    <s v="Room_Type 1"/>
    <x v="91"/>
    <s v="17-03-2018"/>
    <x v="1"/>
    <x v="187"/>
    <x v="0"/>
  </r>
  <r>
    <s v="INN00292"/>
    <n v="2"/>
    <n v="0"/>
    <n v="1"/>
    <n v="1"/>
    <s v="Meal Plan 1"/>
    <s v="Room_Type 1"/>
    <x v="38"/>
    <s v="22-08-2018"/>
    <x v="1"/>
    <x v="119"/>
    <x v="1"/>
  </r>
  <r>
    <s v="INN00293"/>
    <n v="2"/>
    <n v="1"/>
    <n v="1"/>
    <n v="1"/>
    <s v="Meal Plan 1"/>
    <s v="Room_Type 1"/>
    <x v="60"/>
    <d v="2017-08-08T00:00:00"/>
    <x v="1"/>
    <x v="137"/>
    <x v="0"/>
  </r>
  <r>
    <s v="INN00294"/>
    <n v="2"/>
    <n v="0"/>
    <n v="2"/>
    <n v="1"/>
    <s v="Meal Plan 1"/>
    <s v="Room_Type 1"/>
    <x v="44"/>
    <d v="2018-01-05T00:00:00"/>
    <x v="1"/>
    <x v="68"/>
    <x v="0"/>
  </r>
  <r>
    <s v="INN00295"/>
    <n v="2"/>
    <n v="0"/>
    <n v="2"/>
    <n v="1"/>
    <s v="Meal Plan 1"/>
    <s v="Room_Type 1"/>
    <x v="73"/>
    <d v="2018-03-04T00:00:00"/>
    <x v="1"/>
    <x v="136"/>
    <x v="1"/>
  </r>
  <r>
    <s v="INN00296"/>
    <n v="1"/>
    <n v="0"/>
    <n v="0"/>
    <n v="3"/>
    <s v="Meal Plan 1"/>
    <s v="Room_Type 1"/>
    <x v="158"/>
    <d v="2018-01-11T00:00:00"/>
    <x v="1"/>
    <x v="20"/>
    <x v="1"/>
  </r>
  <r>
    <s v="INN00297"/>
    <n v="1"/>
    <n v="0"/>
    <n v="0"/>
    <n v="1"/>
    <s v="Meal Plan 2"/>
    <s v="Room_Type 1"/>
    <x v="33"/>
    <d v="2017-04-09T00:00:00"/>
    <x v="0"/>
    <x v="188"/>
    <x v="0"/>
  </r>
  <r>
    <s v="INN00298"/>
    <n v="2"/>
    <n v="0"/>
    <n v="2"/>
    <n v="2"/>
    <s v="Meal Plan 1"/>
    <s v="Room_Type 1"/>
    <x v="159"/>
    <s v="13-08-2018"/>
    <x v="1"/>
    <x v="125"/>
    <x v="0"/>
  </r>
  <r>
    <s v="INN00299"/>
    <n v="2"/>
    <n v="1"/>
    <n v="2"/>
    <n v="1"/>
    <s v="Meal Plan 2"/>
    <s v="Room_Type 1"/>
    <x v="95"/>
    <s v="27-12-2017"/>
    <x v="0"/>
    <x v="189"/>
    <x v="0"/>
  </r>
  <r>
    <s v="INN00300"/>
    <n v="2"/>
    <n v="0"/>
    <n v="2"/>
    <n v="6"/>
    <s v="Meal Plan 1"/>
    <s v="Room_Type 1"/>
    <x v="19"/>
    <s v="16-11-2018"/>
    <x v="1"/>
    <x v="190"/>
    <x v="0"/>
  </r>
  <r>
    <s v="INN00301"/>
    <n v="1"/>
    <n v="0"/>
    <n v="0"/>
    <n v="3"/>
    <s v="Meal Plan 1"/>
    <s v="Room_Type 1"/>
    <x v="20"/>
    <s v="13-10-2018"/>
    <x v="0"/>
    <x v="48"/>
    <x v="0"/>
  </r>
  <r>
    <s v="INN00302"/>
    <n v="1"/>
    <n v="0"/>
    <n v="0"/>
    <n v="2"/>
    <s v="Meal Plan 1"/>
    <s v="Room_Type 1"/>
    <x v="64"/>
    <s v="15-06-2018"/>
    <x v="1"/>
    <x v="65"/>
    <x v="1"/>
  </r>
  <r>
    <s v="INN00303"/>
    <n v="2"/>
    <n v="0"/>
    <n v="2"/>
    <n v="1"/>
    <s v="Meal Plan 1"/>
    <s v="Room_Type 1"/>
    <x v="67"/>
    <d v="2018-02-01T00:00:00"/>
    <x v="0"/>
    <x v="191"/>
    <x v="0"/>
  </r>
  <r>
    <s v="INN00304"/>
    <n v="2"/>
    <n v="0"/>
    <n v="1"/>
    <n v="2"/>
    <s v="Meal Plan 1"/>
    <s v="Room_Type 4"/>
    <x v="74"/>
    <s v="28-10-2018"/>
    <x v="1"/>
    <x v="192"/>
    <x v="1"/>
  </r>
  <r>
    <s v="INN00305"/>
    <n v="2"/>
    <n v="0"/>
    <n v="1"/>
    <n v="0"/>
    <s v="Meal Plan 1"/>
    <s v="Room_Type 1"/>
    <x v="78"/>
    <s v="16-05-2018"/>
    <x v="1"/>
    <x v="89"/>
    <x v="0"/>
  </r>
  <r>
    <s v="INN00306"/>
    <n v="3"/>
    <n v="0"/>
    <n v="2"/>
    <n v="1"/>
    <s v="Meal Plan 1"/>
    <s v="Room_Type 4"/>
    <x v="49"/>
    <s v="20-02-2018"/>
    <x v="1"/>
    <x v="65"/>
    <x v="0"/>
  </r>
  <r>
    <s v="INN00307"/>
    <n v="2"/>
    <n v="0"/>
    <n v="0"/>
    <n v="2"/>
    <s v="Meal Plan 1"/>
    <s v="Room_Type 1"/>
    <x v="160"/>
    <s v="23-03-2018"/>
    <x v="1"/>
    <x v="193"/>
    <x v="1"/>
  </r>
  <r>
    <s v="INN00308"/>
    <n v="2"/>
    <n v="0"/>
    <n v="0"/>
    <n v="4"/>
    <s v="Meal Plan 1"/>
    <s v="Room_Type 4"/>
    <x v="13"/>
    <s v="29-12-2017"/>
    <x v="0"/>
    <x v="194"/>
    <x v="0"/>
  </r>
  <r>
    <s v="INN00309"/>
    <n v="2"/>
    <n v="0"/>
    <n v="0"/>
    <n v="1"/>
    <s v="Meal Plan 2"/>
    <s v="Room_Type 1"/>
    <x v="7"/>
    <s v="30-09-2017"/>
    <x v="0"/>
    <x v="195"/>
    <x v="0"/>
  </r>
  <r>
    <s v="INN00310"/>
    <n v="2"/>
    <n v="0"/>
    <n v="1"/>
    <n v="3"/>
    <s v="Meal Plan 1"/>
    <s v="Room_Type 1"/>
    <x v="20"/>
    <d v="2018-01-08T00:00:00"/>
    <x v="1"/>
    <x v="196"/>
    <x v="1"/>
  </r>
  <r>
    <s v="INN00311"/>
    <n v="2"/>
    <n v="0"/>
    <n v="1"/>
    <n v="0"/>
    <s v="Meal Plan 1"/>
    <s v="Room_Type 1"/>
    <x v="49"/>
    <s v="25-07-2018"/>
    <x v="1"/>
    <x v="159"/>
    <x v="1"/>
  </r>
  <r>
    <s v="INN00312"/>
    <n v="2"/>
    <n v="2"/>
    <n v="0"/>
    <n v="2"/>
    <s v="Meal Plan 1"/>
    <s v="Room_Type 6"/>
    <x v="111"/>
    <s v="16-09-2018"/>
    <x v="1"/>
    <x v="197"/>
    <x v="0"/>
  </r>
  <r>
    <s v="INN00313"/>
    <n v="2"/>
    <n v="0"/>
    <n v="2"/>
    <n v="1"/>
    <s v="Meal Plan 1"/>
    <s v="Room_Type 1"/>
    <x v="111"/>
    <s v="26-12-2017"/>
    <x v="1"/>
    <x v="198"/>
    <x v="0"/>
  </r>
  <r>
    <s v="INN00314"/>
    <n v="2"/>
    <n v="0"/>
    <n v="2"/>
    <n v="5"/>
    <s v="Meal Plan 1"/>
    <s v="Room_Type 1"/>
    <x v="161"/>
    <d v="2018-09-07T00:00:00"/>
    <x v="1"/>
    <x v="199"/>
    <x v="1"/>
  </r>
  <r>
    <s v="INN00315"/>
    <n v="2"/>
    <n v="0"/>
    <n v="2"/>
    <n v="1"/>
    <s v="Meal Plan 1"/>
    <s v="Room_Type 1"/>
    <x v="52"/>
    <s v="28-02-2018"/>
    <x v="0"/>
    <x v="200"/>
    <x v="0"/>
  </r>
  <r>
    <s v="INN00316"/>
    <n v="3"/>
    <n v="0"/>
    <n v="1"/>
    <n v="0"/>
    <s v="Meal Plan 1"/>
    <s v="Room_Type 4"/>
    <x v="95"/>
    <s v="17-04-2018"/>
    <x v="1"/>
    <x v="201"/>
    <x v="1"/>
  </r>
  <r>
    <s v="INN00317"/>
    <n v="2"/>
    <n v="0"/>
    <n v="0"/>
    <n v="2"/>
    <s v="Meal Plan 2"/>
    <s v="Room_Type 1"/>
    <x v="140"/>
    <s v="24-06-2018"/>
    <x v="0"/>
    <x v="111"/>
    <x v="0"/>
  </r>
  <r>
    <s v="INN00318"/>
    <n v="2"/>
    <n v="0"/>
    <n v="1"/>
    <n v="1"/>
    <s v="Meal Plan 2"/>
    <s v="Room_Type 1"/>
    <x v="29"/>
    <d v="2018-06-06T00:00:00"/>
    <x v="1"/>
    <x v="5"/>
    <x v="1"/>
  </r>
  <r>
    <s v="INN00319"/>
    <n v="2"/>
    <n v="0"/>
    <n v="2"/>
    <n v="3"/>
    <s v="Meal Plan 1"/>
    <s v="Room_Type 4"/>
    <x v="74"/>
    <s v="17-07-2018"/>
    <x v="1"/>
    <x v="125"/>
    <x v="0"/>
  </r>
  <r>
    <s v="INN00320"/>
    <n v="2"/>
    <n v="0"/>
    <n v="0"/>
    <n v="2"/>
    <s v="Meal Plan 2"/>
    <s v="Room_Type 1"/>
    <x v="72"/>
    <s v="18-08-2018"/>
    <x v="1"/>
    <x v="5"/>
    <x v="1"/>
  </r>
  <r>
    <s v="INN00321"/>
    <n v="3"/>
    <n v="0"/>
    <n v="1"/>
    <n v="2"/>
    <s v="Meal Plan 1"/>
    <s v="Room_Type 4"/>
    <x v="95"/>
    <s v="22-02-2018"/>
    <x v="1"/>
    <x v="65"/>
    <x v="0"/>
  </r>
  <r>
    <s v="INN00322"/>
    <n v="1"/>
    <n v="0"/>
    <n v="1"/>
    <n v="0"/>
    <s v="Meal Plan 1"/>
    <s v="Room_Type 1"/>
    <x v="42"/>
    <s v="22-05-2018"/>
    <x v="2"/>
    <x v="0"/>
    <x v="0"/>
  </r>
  <r>
    <s v="INN00323"/>
    <n v="2"/>
    <n v="0"/>
    <n v="0"/>
    <n v="2"/>
    <s v="Meal Plan 1"/>
    <s v="Room_Type 1"/>
    <x v="96"/>
    <s v="17-06-2018"/>
    <x v="1"/>
    <x v="34"/>
    <x v="1"/>
  </r>
  <r>
    <s v="INN00324"/>
    <n v="2"/>
    <n v="1"/>
    <n v="1"/>
    <n v="2"/>
    <s v="Meal Plan 1"/>
    <s v="Room_Type 1"/>
    <x v="162"/>
    <d v="2018-08-07T00:00:00"/>
    <x v="1"/>
    <x v="202"/>
    <x v="1"/>
  </r>
  <r>
    <s v="INN00325"/>
    <n v="1"/>
    <n v="0"/>
    <n v="2"/>
    <n v="0"/>
    <s v="Meal Plan 1"/>
    <s v="Room_Type 1"/>
    <x v="43"/>
    <s v="18-10-2017"/>
    <x v="1"/>
    <x v="106"/>
    <x v="0"/>
  </r>
  <r>
    <s v="INN00326"/>
    <n v="2"/>
    <n v="0"/>
    <n v="0"/>
    <n v="2"/>
    <s v="Not Selected"/>
    <s v="Room_Type 1"/>
    <x v="59"/>
    <d v="2018-11-11T00:00:00"/>
    <x v="1"/>
    <x v="37"/>
    <x v="1"/>
  </r>
  <r>
    <s v="INN00327"/>
    <n v="3"/>
    <n v="0"/>
    <n v="2"/>
    <n v="1"/>
    <s v="Meal Plan 1"/>
    <s v="Room_Type 4"/>
    <x v="156"/>
    <s v="28-08-2018"/>
    <x v="1"/>
    <x v="59"/>
    <x v="1"/>
  </r>
  <r>
    <s v="INN00328"/>
    <n v="1"/>
    <n v="0"/>
    <n v="0"/>
    <n v="2"/>
    <s v="Meal Plan 1"/>
    <s v="Room_Type 1"/>
    <x v="64"/>
    <s v="15-06-2018"/>
    <x v="1"/>
    <x v="65"/>
    <x v="1"/>
  </r>
  <r>
    <s v="INN00329"/>
    <n v="2"/>
    <n v="0"/>
    <n v="0"/>
    <n v="3"/>
    <s v="Meal Plan 1"/>
    <s v="Room_Type 1"/>
    <x v="49"/>
    <d v="2017-06-10T00:00:00"/>
    <x v="0"/>
    <x v="13"/>
    <x v="0"/>
  </r>
  <r>
    <s v="INN00330"/>
    <n v="2"/>
    <n v="0"/>
    <n v="0"/>
    <n v="2"/>
    <s v="Meal Plan 1"/>
    <s v="Room_Type 4"/>
    <x v="163"/>
    <s v="27-05-2018"/>
    <x v="1"/>
    <x v="11"/>
    <x v="0"/>
  </r>
  <r>
    <s v="INN00331"/>
    <n v="2"/>
    <n v="0"/>
    <n v="0"/>
    <n v="1"/>
    <s v="Meal Plan 1"/>
    <s v="Room_Type 1"/>
    <x v="10"/>
    <d v="2017-11-08T00:00:00"/>
    <x v="1"/>
    <x v="34"/>
    <x v="0"/>
  </r>
  <r>
    <s v="INN00332"/>
    <n v="2"/>
    <n v="0"/>
    <n v="0"/>
    <n v="2"/>
    <s v="Meal Plan 2"/>
    <s v="Room_Type 1"/>
    <x v="101"/>
    <s v="17-07-2017"/>
    <x v="1"/>
    <x v="111"/>
    <x v="1"/>
  </r>
  <r>
    <s v="INN00333"/>
    <n v="2"/>
    <n v="0"/>
    <n v="2"/>
    <n v="1"/>
    <s v="Meal Plan 2"/>
    <s v="Room_Type 1"/>
    <x v="66"/>
    <s v="25-07-2017"/>
    <x v="1"/>
    <x v="4"/>
    <x v="1"/>
  </r>
  <r>
    <s v="INN00334"/>
    <n v="1"/>
    <n v="0"/>
    <n v="0"/>
    <n v="1"/>
    <s v="Meal Plan 1"/>
    <s v="Room_Type 1"/>
    <x v="10"/>
    <s v="15-12-2017"/>
    <x v="2"/>
    <x v="34"/>
    <x v="0"/>
  </r>
  <r>
    <s v="INN00335"/>
    <n v="2"/>
    <n v="0"/>
    <n v="1"/>
    <n v="2"/>
    <s v="Meal Plan 1"/>
    <s v="Room_Type 4"/>
    <x v="36"/>
    <s v="23-10-2017"/>
    <x v="0"/>
    <x v="34"/>
    <x v="0"/>
  </r>
  <r>
    <s v="INN00336"/>
    <n v="2"/>
    <n v="0"/>
    <n v="2"/>
    <n v="1"/>
    <s v="Meal Plan 1"/>
    <s v="Room_Type 1"/>
    <x v="164"/>
    <d v="2017-10-10T00:00:00"/>
    <x v="0"/>
    <x v="203"/>
    <x v="0"/>
  </r>
  <r>
    <s v="INN00337"/>
    <n v="2"/>
    <n v="0"/>
    <n v="2"/>
    <n v="2"/>
    <s v="Meal Plan 1"/>
    <s v="Room_Type 1"/>
    <x v="165"/>
    <d v="2018-02-10T00:00:00"/>
    <x v="1"/>
    <x v="126"/>
    <x v="0"/>
  </r>
  <r>
    <s v="INN00338"/>
    <n v="2"/>
    <n v="0"/>
    <n v="1"/>
    <n v="1"/>
    <s v="Not Selected"/>
    <s v="Room_Type 1"/>
    <x v="166"/>
    <s v="23-07-2018"/>
    <x v="1"/>
    <x v="27"/>
    <x v="0"/>
  </r>
  <r>
    <s v="INN00339"/>
    <n v="2"/>
    <n v="0"/>
    <n v="0"/>
    <n v="3"/>
    <s v="Meal Plan 1"/>
    <s v="Room_Type 4"/>
    <x v="54"/>
    <s v="18-08-2018"/>
    <x v="1"/>
    <x v="204"/>
    <x v="1"/>
  </r>
  <r>
    <s v="INN00340"/>
    <n v="2"/>
    <n v="0"/>
    <n v="2"/>
    <n v="2"/>
    <s v="Meal Plan 1"/>
    <s v="Room_Type 4"/>
    <x v="122"/>
    <s v="26-06-2018"/>
    <x v="1"/>
    <x v="205"/>
    <x v="0"/>
  </r>
  <r>
    <s v="INN00341"/>
    <n v="1"/>
    <n v="0"/>
    <n v="0"/>
    <n v="1"/>
    <s v="Meal Plan 1"/>
    <s v="Room_Type 1"/>
    <x v="10"/>
    <d v="2017-08-09T00:00:00"/>
    <x v="1"/>
    <x v="52"/>
    <x v="0"/>
  </r>
  <r>
    <s v="INN00342"/>
    <n v="2"/>
    <n v="1"/>
    <n v="2"/>
    <n v="5"/>
    <s v="Meal Plan 1"/>
    <s v="Room_Type 1"/>
    <x v="13"/>
    <s v="21-12-2018"/>
    <x v="1"/>
    <x v="205"/>
    <x v="0"/>
  </r>
  <r>
    <s v="INN00343"/>
    <n v="1"/>
    <n v="0"/>
    <n v="1"/>
    <n v="2"/>
    <s v="Meal Plan 1"/>
    <s v="Room_Type 1"/>
    <x v="73"/>
    <d v="2018-06-06T00:00:00"/>
    <x v="0"/>
    <x v="20"/>
    <x v="0"/>
  </r>
  <r>
    <s v="INN00344"/>
    <n v="2"/>
    <n v="0"/>
    <n v="0"/>
    <n v="3"/>
    <s v="Meal Plan 1"/>
    <s v="Room_Type 1"/>
    <x v="153"/>
    <d v="2018-10-11T00:00:00"/>
    <x v="0"/>
    <x v="34"/>
    <x v="0"/>
  </r>
  <r>
    <s v="INN00345"/>
    <n v="3"/>
    <n v="0"/>
    <n v="1"/>
    <n v="1"/>
    <s v="Meal Plan 1"/>
    <s v="Room_Type 4"/>
    <x v="100"/>
    <s v="25-07-2018"/>
    <x v="1"/>
    <x v="206"/>
    <x v="0"/>
  </r>
  <r>
    <s v="INN00346"/>
    <n v="2"/>
    <n v="0"/>
    <n v="0"/>
    <n v="1"/>
    <s v="Not Selected"/>
    <s v="Room_Type 1"/>
    <x v="37"/>
    <d v="2018-07-09T00:00:00"/>
    <x v="1"/>
    <x v="136"/>
    <x v="0"/>
  </r>
  <r>
    <s v="INN00347"/>
    <n v="1"/>
    <n v="0"/>
    <n v="0"/>
    <n v="2"/>
    <s v="Meal Plan 1"/>
    <s v="Room_Type 1"/>
    <x v="1"/>
    <s v="24-08-2018"/>
    <x v="4"/>
    <x v="49"/>
    <x v="0"/>
  </r>
  <r>
    <s v="INN00348"/>
    <n v="2"/>
    <n v="0"/>
    <n v="0"/>
    <n v="2"/>
    <s v="Meal Plan 2"/>
    <s v="Room_Type 1"/>
    <x v="47"/>
    <s v="14-08-2017"/>
    <x v="0"/>
    <x v="166"/>
    <x v="0"/>
  </r>
  <r>
    <s v="INN00349"/>
    <n v="2"/>
    <n v="0"/>
    <n v="0"/>
    <n v="1"/>
    <s v="Meal Plan 1"/>
    <s v="Room_Type 1"/>
    <x v="10"/>
    <s v="24-02-2018"/>
    <x v="1"/>
    <x v="207"/>
    <x v="0"/>
  </r>
  <r>
    <s v="INN00350"/>
    <n v="3"/>
    <n v="0"/>
    <n v="1"/>
    <n v="1"/>
    <s v="Meal Plan 1"/>
    <s v="Room_Type 4"/>
    <x v="167"/>
    <s v="15-08-2018"/>
    <x v="1"/>
    <x v="208"/>
    <x v="0"/>
  </r>
  <r>
    <s v="INN00351"/>
    <n v="2"/>
    <n v="0"/>
    <n v="0"/>
    <n v="4"/>
    <s v="Meal Plan 1"/>
    <s v="Room_Type 1"/>
    <x v="88"/>
    <s v="29-03-2018"/>
    <x v="1"/>
    <x v="122"/>
    <x v="0"/>
  </r>
  <r>
    <s v="INN00352"/>
    <n v="1"/>
    <n v="0"/>
    <n v="0"/>
    <n v="1"/>
    <s v="Meal Plan 1"/>
    <s v="Room_Type 4"/>
    <x v="102"/>
    <d v="2018-01-07T00:00:00"/>
    <x v="2"/>
    <x v="89"/>
    <x v="0"/>
  </r>
  <r>
    <s v="INN00353"/>
    <n v="1"/>
    <n v="0"/>
    <n v="2"/>
    <n v="6"/>
    <s v="Meal Plan 1"/>
    <s v="Room_Type 1"/>
    <x v="92"/>
    <d v="2018-05-07T00:00:00"/>
    <x v="1"/>
    <x v="130"/>
    <x v="1"/>
  </r>
  <r>
    <s v="INN00354"/>
    <n v="1"/>
    <n v="0"/>
    <n v="1"/>
    <n v="1"/>
    <s v="Meal Plan 1"/>
    <s v="Room_Type 1"/>
    <x v="17"/>
    <d v="2018-11-07T00:00:00"/>
    <x v="1"/>
    <x v="130"/>
    <x v="0"/>
  </r>
  <r>
    <s v="INN00355"/>
    <n v="2"/>
    <n v="0"/>
    <n v="2"/>
    <n v="2"/>
    <s v="Meal Plan 1"/>
    <s v="Room_Type 4"/>
    <x v="138"/>
    <s v="14-05-2018"/>
    <x v="1"/>
    <x v="209"/>
    <x v="0"/>
  </r>
  <r>
    <s v="INN00356"/>
    <n v="2"/>
    <n v="1"/>
    <n v="1"/>
    <n v="1"/>
    <s v="Meal Plan 1"/>
    <s v="Room_Type 6"/>
    <x v="87"/>
    <s v="22-10-2018"/>
    <x v="1"/>
    <x v="210"/>
    <x v="0"/>
  </r>
  <r>
    <s v="INN00357"/>
    <n v="1"/>
    <n v="0"/>
    <n v="2"/>
    <n v="1"/>
    <s v="Meal Plan 1"/>
    <s v="Room_Type 1"/>
    <x v="2"/>
    <s v="28-02-2018"/>
    <x v="1"/>
    <x v="2"/>
    <x v="1"/>
  </r>
  <r>
    <s v="INN00358"/>
    <n v="2"/>
    <n v="0"/>
    <n v="1"/>
    <n v="3"/>
    <s v="Meal Plan 1"/>
    <s v="Room_Type 1"/>
    <x v="168"/>
    <s v="13-06-2018"/>
    <x v="0"/>
    <x v="164"/>
    <x v="0"/>
  </r>
  <r>
    <s v="INN00359"/>
    <n v="2"/>
    <n v="0"/>
    <n v="1"/>
    <n v="2"/>
    <s v="Meal Plan 1"/>
    <s v="Room_Type 1"/>
    <x v="24"/>
    <d v="2017-10-08T00:00:00"/>
    <x v="0"/>
    <x v="211"/>
    <x v="0"/>
  </r>
  <r>
    <s v="INN00360"/>
    <n v="2"/>
    <n v="0"/>
    <n v="2"/>
    <n v="0"/>
    <s v="Meal Plan 1"/>
    <s v="Room_Type 1"/>
    <x v="49"/>
    <s v="18-09-2018"/>
    <x v="0"/>
    <x v="48"/>
    <x v="0"/>
  </r>
  <r>
    <s v="INN00361"/>
    <n v="2"/>
    <n v="0"/>
    <n v="2"/>
    <n v="2"/>
    <s v="Meal Plan 1"/>
    <s v="Room_Type 4"/>
    <x v="48"/>
    <d v="2018-03-09T00:00:00"/>
    <x v="0"/>
    <x v="73"/>
    <x v="0"/>
  </r>
  <r>
    <s v="INN00362"/>
    <n v="2"/>
    <n v="0"/>
    <n v="0"/>
    <n v="2"/>
    <s v="Meal Plan 1"/>
    <s v="Room_Type 1"/>
    <x v="27"/>
    <s v="16-10-2017"/>
    <x v="1"/>
    <x v="212"/>
    <x v="0"/>
  </r>
  <r>
    <s v="INN00363"/>
    <n v="2"/>
    <n v="0"/>
    <n v="0"/>
    <n v="1"/>
    <s v="Meal Plan 1"/>
    <s v="Room_Type 1"/>
    <x v="169"/>
    <s v="22-09-2018"/>
    <x v="1"/>
    <x v="196"/>
    <x v="0"/>
  </r>
  <r>
    <s v="INN00364"/>
    <n v="2"/>
    <n v="0"/>
    <n v="0"/>
    <n v="2"/>
    <s v="Meal Plan 1"/>
    <s v="Room_Type 4"/>
    <x v="2"/>
    <s v="16-11-2018"/>
    <x v="1"/>
    <x v="65"/>
    <x v="0"/>
  </r>
  <r>
    <s v="INN00365"/>
    <n v="2"/>
    <n v="0"/>
    <n v="0"/>
    <n v="1"/>
    <s v="Meal Plan 1"/>
    <s v="Room_Type 4"/>
    <x v="170"/>
    <s v="19-11-2017"/>
    <x v="1"/>
    <x v="213"/>
    <x v="0"/>
  </r>
  <r>
    <s v="INN00366"/>
    <n v="3"/>
    <n v="0"/>
    <n v="1"/>
    <n v="4"/>
    <s v="Meal Plan 1"/>
    <s v="Room_Type 1"/>
    <x v="171"/>
    <s v="22-02-2018"/>
    <x v="1"/>
    <x v="214"/>
    <x v="0"/>
  </r>
  <r>
    <s v="INN00367"/>
    <n v="2"/>
    <n v="0"/>
    <n v="2"/>
    <n v="3"/>
    <s v="Meal Plan 2"/>
    <s v="Room_Type 1"/>
    <x v="121"/>
    <s v="26-06-2018"/>
    <x v="1"/>
    <x v="215"/>
    <x v="1"/>
  </r>
  <r>
    <s v="INN00368"/>
    <n v="2"/>
    <n v="0"/>
    <n v="1"/>
    <n v="1"/>
    <s v="Meal Plan 1"/>
    <s v="Room_Type 1"/>
    <x v="172"/>
    <d v="2018-09-04T00:00:00"/>
    <x v="0"/>
    <x v="138"/>
    <x v="0"/>
  </r>
  <r>
    <s v="INN00369"/>
    <n v="2"/>
    <n v="0"/>
    <n v="2"/>
    <n v="3"/>
    <s v="Meal Plan 2"/>
    <s v="Room_Type 1"/>
    <x v="47"/>
    <s v="13-08-2018"/>
    <x v="1"/>
    <x v="216"/>
    <x v="0"/>
  </r>
  <r>
    <s v="INN00370"/>
    <n v="2"/>
    <n v="0"/>
    <n v="2"/>
    <n v="0"/>
    <s v="Meal Plan 2"/>
    <s v="Room_Type 1"/>
    <x v="173"/>
    <s v="23-10-2018"/>
    <x v="1"/>
    <x v="5"/>
    <x v="1"/>
  </r>
  <r>
    <s v="INN00371"/>
    <n v="2"/>
    <n v="2"/>
    <n v="0"/>
    <n v="5"/>
    <s v="Meal Plan 1"/>
    <s v="Room_Type 6"/>
    <x v="111"/>
    <s v="29-12-2017"/>
    <x v="1"/>
    <x v="217"/>
    <x v="0"/>
  </r>
  <r>
    <s v="INN00372"/>
    <n v="2"/>
    <n v="0"/>
    <n v="2"/>
    <n v="2"/>
    <s v="Meal Plan 1"/>
    <s v="Room_Type 4"/>
    <x v="146"/>
    <d v="2018-10-07T00:00:00"/>
    <x v="0"/>
    <x v="122"/>
    <x v="0"/>
  </r>
  <r>
    <s v="INN00373"/>
    <n v="4"/>
    <n v="0"/>
    <n v="0"/>
    <n v="3"/>
    <s v="Meal Plan 1"/>
    <s v="Room_Type 7"/>
    <x v="48"/>
    <s v="20-10-2018"/>
    <x v="1"/>
    <x v="218"/>
    <x v="0"/>
  </r>
  <r>
    <s v="INN00374"/>
    <n v="2"/>
    <n v="0"/>
    <n v="2"/>
    <n v="2"/>
    <s v="Meal Plan 1"/>
    <s v="Room_Type 1"/>
    <x v="23"/>
    <s v="25-09-2017"/>
    <x v="0"/>
    <x v="219"/>
    <x v="0"/>
  </r>
  <r>
    <s v="INN00375"/>
    <n v="2"/>
    <n v="0"/>
    <n v="2"/>
    <n v="6"/>
    <s v="Meal Plan 1"/>
    <s v="Room_Type 1"/>
    <x v="139"/>
    <d v="2018-10-12T00:00:00"/>
    <x v="1"/>
    <x v="220"/>
    <x v="0"/>
  </r>
  <r>
    <s v="INN00376"/>
    <n v="2"/>
    <n v="0"/>
    <n v="0"/>
    <n v="3"/>
    <s v="Meal Plan 1"/>
    <s v="Room_Type 1"/>
    <x v="171"/>
    <d v="2018-04-10T00:00:00"/>
    <x v="1"/>
    <x v="129"/>
    <x v="0"/>
  </r>
  <r>
    <s v="INN00377"/>
    <n v="2"/>
    <n v="0"/>
    <n v="0"/>
    <n v="2"/>
    <s v="Meal Plan 1"/>
    <s v="Room_Type 4"/>
    <x v="174"/>
    <s v="27-10-2018"/>
    <x v="1"/>
    <x v="221"/>
    <x v="1"/>
  </r>
  <r>
    <s v="INN00378"/>
    <n v="1"/>
    <n v="0"/>
    <n v="0"/>
    <n v="1"/>
    <s v="Meal Plan 1"/>
    <s v="Room_Type 1"/>
    <x v="10"/>
    <s v="23-03-2018"/>
    <x v="2"/>
    <x v="0"/>
    <x v="0"/>
  </r>
  <r>
    <s v="INN00379"/>
    <n v="2"/>
    <n v="0"/>
    <n v="1"/>
    <n v="3"/>
    <s v="Not Selected"/>
    <s v="Room_Type 1"/>
    <x v="11"/>
    <d v="2018-03-03T00:00:00"/>
    <x v="1"/>
    <x v="222"/>
    <x v="1"/>
  </r>
  <r>
    <s v="INN00380"/>
    <n v="2"/>
    <n v="0"/>
    <n v="2"/>
    <n v="1"/>
    <s v="Meal Plan 1"/>
    <s v="Room_Type 1"/>
    <x v="65"/>
    <s v="21-05-2018"/>
    <x v="0"/>
    <x v="48"/>
    <x v="0"/>
  </r>
  <r>
    <s v="INN00381"/>
    <n v="2"/>
    <n v="0"/>
    <n v="4"/>
    <n v="11"/>
    <s v="Meal Plan 1"/>
    <s v="Room_Type 4"/>
    <x v="175"/>
    <s v="13-09-2018"/>
    <x v="1"/>
    <x v="223"/>
    <x v="1"/>
  </r>
  <r>
    <s v="INN00382"/>
    <n v="2"/>
    <n v="0"/>
    <n v="0"/>
    <n v="4"/>
    <s v="Meal Plan 1"/>
    <s v="Room_Type 1"/>
    <x v="176"/>
    <d v="2018-07-09T00:00:00"/>
    <x v="1"/>
    <x v="43"/>
    <x v="0"/>
  </r>
  <r>
    <s v="INN00383"/>
    <n v="2"/>
    <n v="2"/>
    <n v="2"/>
    <n v="2"/>
    <s v="Meal Plan 1"/>
    <s v="Room_Type 6"/>
    <x v="36"/>
    <d v="2018-02-12T00:00:00"/>
    <x v="1"/>
    <x v="224"/>
    <x v="1"/>
  </r>
  <r>
    <s v="INN00384"/>
    <n v="2"/>
    <n v="0"/>
    <n v="2"/>
    <n v="0"/>
    <s v="Not Selected"/>
    <s v="Room_Type 1"/>
    <x v="1"/>
    <s v="18-09-2018"/>
    <x v="0"/>
    <x v="225"/>
    <x v="0"/>
  </r>
  <r>
    <s v="INN00385"/>
    <n v="2"/>
    <n v="0"/>
    <n v="2"/>
    <n v="1"/>
    <s v="Meal Plan 1"/>
    <s v="Room_Type 1"/>
    <x v="177"/>
    <s v="19-06-2018"/>
    <x v="1"/>
    <x v="196"/>
    <x v="1"/>
  </r>
  <r>
    <s v="INN00386"/>
    <n v="2"/>
    <n v="0"/>
    <n v="0"/>
    <n v="2"/>
    <s v="Meal Plan 2"/>
    <s v="Room_Type 1"/>
    <x v="146"/>
    <s v="16-10-2017"/>
    <x v="0"/>
    <x v="111"/>
    <x v="0"/>
  </r>
  <r>
    <s v="INN00387"/>
    <n v="3"/>
    <n v="0"/>
    <n v="2"/>
    <n v="1"/>
    <s v="Meal Plan 1"/>
    <s v="Room_Type 4"/>
    <x v="157"/>
    <s v="20-03-2018"/>
    <x v="1"/>
    <x v="226"/>
    <x v="0"/>
  </r>
  <r>
    <s v="INN00388"/>
    <n v="3"/>
    <n v="0"/>
    <n v="1"/>
    <n v="3"/>
    <s v="Meal Plan 1"/>
    <s v="Room_Type 4"/>
    <x v="58"/>
    <s v="26-12-2018"/>
    <x v="1"/>
    <x v="227"/>
    <x v="1"/>
  </r>
  <r>
    <s v="INN00389"/>
    <n v="2"/>
    <n v="2"/>
    <n v="0"/>
    <n v="1"/>
    <s v="Meal Plan 1"/>
    <s v="Room_Type 6"/>
    <x v="10"/>
    <s v="14-05-2018"/>
    <x v="1"/>
    <x v="228"/>
    <x v="1"/>
  </r>
  <r>
    <s v="INN00390"/>
    <n v="1"/>
    <n v="0"/>
    <n v="0"/>
    <n v="3"/>
    <s v="Meal Plan 1"/>
    <s v="Room_Type 1"/>
    <x v="92"/>
    <s v="15-09-2017"/>
    <x v="2"/>
    <x v="0"/>
    <x v="0"/>
  </r>
  <r>
    <s v="INN00391"/>
    <n v="1"/>
    <n v="0"/>
    <n v="0"/>
    <n v="1"/>
    <s v="Meal Plan 1"/>
    <s v="Room_Type 1"/>
    <x v="10"/>
    <s v="19-02-2018"/>
    <x v="2"/>
    <x v="53"/>
    <x v="0"/>
  </r>
  <r>
    <s v="INN00392"/>
    <n v="2"/>
    <n v="1"/>
    <n v="1"/>
    <n v="4"/>
    <s v="Meal Plan 1"/>
    <s v="Room_Type 1"/>
    <x v="48"/>
    <s v="23-03-2018"/>
    <x v="0"/>
    <x v="229"/>
    <x v="0"/>
  </r>
  <r>
    <s v="INN00393"/>
    <n v="1"/>
    <n v="0"/>
    <n v="0"/>
    <n v="1"/>
    <s v="Meal Plan 1"/>
    <s v="Room_Type 1"/>
    <x v="56"/>
    <s v="18-10-2018"/>
    <x v="2"/>
    <x v="16"/>
    <x v="0"/>
  </r>
  <r>
    <s v="INN00394"/>
    <n v="2"/>
    <n v="0"/>
    <n v="0"/>
    <n v="2"/>
    <s v="Meal Plan 1"/>
    <s v="Room_Type 1"/>
    <x v="125"/>
    <d v="2018-04-03T00:00:00"/>
    <x v="1"/>
    <x v="157"/>
    <x v="0"/>
  </r>
  <r>
    <s v="INN00395"/>
    <n v="2"/>
    <n v="0"/>
    <n v="2"/>
    <n v="1"/>
    <s v="Not Selected"/>
    <s v="Room_Type 1"/>
    <x v="117"/>
    <s v="30-04-2018"/>
    <x v="0"/>
    <x v="17"/>
    <x v="0"/>
  </r>
  <r>
    <s v="INN00396"/>
    <n v="2"/>
    <n v="1"/>
    <n v="2"/>
    <n v="3"/>
    <s v="Meal Plan 1"/>
    <s v="Room_Type 1"/>
    <x v="89"/>
    <s v="23-07-2018"/>
    <x v="1"/>
    <x v="171"/>
    <x v="1"/>
  </r>
  <r>
    <s v="INN00397"/>
    <n v="2"/>
    <n v="0"/>
    <n v="0"/>
    <n v="2"/>
    <s v="Meal Plan 1"/>
    <s v="Room_Type 1"/>
    <x v="25"/>
    <d v="2017-09-09T00:00:00"/>
    <x v="1"/>
    <x v="142"/>
    <x v="0"/>
  </r>
  <r>
    <s v="INN00398"/>
    <n v="1"/>
    <n v="0"/>
    <n v="0"/>
    <n v="4"/>
    <s v="Meal Plan 2"/>
    <s v="Room_Type 1"/>
    <x v="44"/>
    <s v="28-09-2018"/>
    <x v="0"/>
    <x v="20"/>
    <x v="0"/>
  </r>
  <r>
    <s v="INN00399"/>
    <n v="2"/>
    <n v="0"/>
    <n v="1"/>
    <n v="2"/>
    <s v="Meal Plan 1"/>
    <s v="Room_Type 1"/>
    <x v="101"/>
    <s v="13-05-2018"/>
    <x v="1"/>
    <x v="48"/>
    <x v="1"/>
  </r>
  <r>
    <s v="INN00400"/>
    <n v="2"/>
    <n v="0"/>
    <n v="0"/>
    <n v="1"/>
    <s v="Not Selected"/>
    <s v="Room_Type 1"/>
    <x v="178"/>
    <s v="18-03-2018"/>
    <x v="1"/>
    <x v="230"/>
    <x v="0"/>
  </r>
  <r>
    <s v="INN00401"/>
    <n v="2"/>
    <n v="0"/>
    <n v="0"/>
    <n v="1"/>
    <s v="Meal Plan 1"/>
    <s v="Room_Type 1"/>
    <x v="179"/>
    <d v="2018-12-08T00:00:00"/>
    <x v="1"/>
    <x v="53"/>
    <x v="1"/>
  </r>
  <r>
    <s v="INN00402"/>
    <n v="2"/>
    <n v="0"/>
    <n v="2"/>
    <n v="2"/>
    <s v="Meal Plan 1"/>
    <s v="Room_Type 1"/>
    <x v="180"/>
    <d v="2018-01-10T00:00:00"/>
    <x v="1"/>
    <x v="231"/>
    <x v="1"/>
  </r>
  <r>
    <s v="INN00403"/>
    <n v="2"/>
    <n v="0"/>
    <n v="1"/>
    <n v="2"/>
    <s v="Meal Plan 1"/>
    <s v="Room_Type 1"/>
    <x v="181"/>
    <d v="2018-09-09T00:00:00"/>
    <x v="1"/>
    <x v="13"/>
    <x v="1"/>
  </r>
  <r>
    <s v="INN00404"/>
    <n v="2"/>
    <n v="0"/>
    <n v="1"/>
    <n v="2"/>
    <s v="Meal Plan 1"/>
    <s v="Room_Type 2"/>
    <x v="116"/>
    <s v="29-01-2018"/>
    <x v="1"/>
    <x v="232"/>
    <x v="0"/>
  </r>
  <r>
    <s v="INN00405"/>
    <n v="2"/>
    <n v="0"/>
    <n v="0"/>
    <n v="1"/>
    <s v="Not Selected"/>
    <s v="Room_Type 1"/>
    <x v="27"/>
    <d v="2018-08-04T00:00:00"/>
    <x v="1"/>
    <x v="233"/>
    <x v="0"/>
  </r>
  <r>
    <s v="INN00406"/>
    <n v="2"/>
    <n v="0"/>
    <n v="0"/>
    <n v="3"/>
    <s v="Meal Plan 1"/>
    <s v="Room_Type 1"/>
    <x v="52"/>
    <s v="17-09-2017"/>
    <x v="1"/>
    <x v="234"/>
    <x v="1"/>
  </r>
  <r>
    <s v="INN00407"/>
    <n v="2"/>
    <n v="0"/>
    <n v="2"/>
    <n v="1"/>
    <s v="Meal Plan 1"/>
    <s v="Room_Type 1"/>
    <x v="61"/>
    <s v="18-06-2018"/>
    <x v="1"/>
    <x v="235"/>
    <x v="0"/>
  </r>
  <r>
    <s v="INN00408"/>
    <n v="2"/>
    <n v="1"/>
    <n v="1"/>
    <n v="3"/>
    <s v="Meal Plan 1"/>
    <s v="Room_Type 6"/>
    <x v="39"/>
    <s v="26-12-2018"/>
    <x v="1"/>
    <x v="236"/>
    <x v="1"/>
  </r>
  <r>
    <s v="INN00409"/>
    <n v="3"/>
    <n v="0"/>
    <n v="0"/>
    <n v="3"/>
    <s v="Meal Plan 1"/>
    <s v="Room_Type 4"/>
    <x v="88"/>
    <d v="2018-03-08T00:00:00"/>
    <x v="1"/>
    <x v="171"/>
    <x v="1"/>
  </r>
  <r>
    <s v="INN00410"/>
    <n v="2"/>
    <n v="0"/>
    <n v="0"/>
    <n v="1"/>
    <s v="Meal Plan 1"/>
    <s v="Room_Type 1"/>
    <x v="154"/>
    <d v="2018-06-08T00:00:00"/>
    <x v="1"/>
    <x v="68"/>
    <x v="1"/>
  </r>
  <r>
    <s v="INN00411"/>
    <n v="2"/>
    <n v="0"/>
    <n v="1"/>
    <n v="3"/>
    <s v="Meal Plan 1"/>
    <s v="Room_Type 1"/>
    <x v="147"/>
    <s v="30-05-2018"/>
    <x v="1"/>
    <x v="237"/>
    <x v="0"/>
  </r>
  <r>
    <s v="INN00412"/>
    <n v="2"/>
    <n v="0"/>
    <n v="0"/>
    <n v="2"/>
    <s v="Meal Plan 1"/>
    <s v="Room_Type 1"/>
    <x v="4"/>
    <d v="2018-04-11T00:00:00"/>
    <x v="1"/>
    <x v="238"/>
    <x v="0"/>
  </r>
  <r>
    <s v="INN00413"/>
    <n v="1"/>
    <n v="0"/>
    <n v="0"/>
    <n v="1"/>
    <s v="Not Selected"/>
    <s v="Room_Type 1"/>
    <x v="20"/>
    <s v="13-05-2018"/>
    <x v="1"/>
    <x v="84"/>
    <x v="0"/>
  </r>
  <r>
    <s v="INN00414"/>
    <n v="3"/>
    <n v="0"/>
    <n v="2"/>
    <n v="2"/>
    <s v="Meal Plan 1"/>
    <s v="Room_Type 4"/>
    <x v="135"/>
    <s v="29-05-2018"/>
    <x v="1"/>
    <x v="239"/>
    <x v="1"/>
  </r>
  <r>
    <s v="INN00415"/>
    <n v="1"/>
    <n v="0"/>
    <n v="0"/>
    <n v="1"/>
    <s v="Meal Plan 1"/>
    <s v="Room_Type 1"/>
    <x v="43"/>
    <s v="20-01-2018"/>
    <x v="0"/>
    <x v="240"/>
    <x v="0"/>
  </r>
  <r>
    <s v="INN00416"/>
    <n v="1"/>
    <n v="0"/>
    <n v="1"/>
    <n v="0"/>
    <s v="Meal Plan 1"/>
    <s v="Room_Type 1"/>
    <x v="24"/>
    <s v="27-06-2018"/>
    <x v="4"/>
    <x v="49"/>
    <x v="0"/>
  </r>
  <r>
    <s v="INN00417"/>
    <n v="2"/>
    <n v="0"/>
    <n v="1"/>
    <n v="2"/>
    <s v="Meal Plan 1"/>
    <s v="Room_Type 4"/>
    <x v="182"/>
    <d v="2017-07-12T00:00:00"/>
    <x v="0"/>
    <x v="2"/>
    <x v="0"/>
  </r>
  <r>
    <s v="INN00418"/>
    <n v="1"/>
    <n v="0"/>
    <n v="0"/>
    <n v="1"/>
    <s v="Meal Plan 1"/>
    <s v="Room_Type 1"/>
    <x v="1"/>
    <d v="2018-05-04T00:00:00"/>
    <x v="2"/>
    <x v="42"/>
    <x v="0"/>
  </r>
  <r>
    <s v="INN00419"/>
    <n v="2"/>
    <n v="0"/>
    <n v="2"/>
    <n v="0"/>
    <s v="Meal Plan 2"/>
    <s v="Room_Type 1"/>
    <x v="173"/>
    <s v="23-10-2018"/>
    <x v="1"/>
    <x v="5"/>
    <x v="1"/>
  </r>
  <r>
    <s v="INN00420"/>
    <n v="2"/>
    <n v="0"/>
    <n v="1"/>
    <n v="1"/>
    <s v="Meal Plan 1"/>
    <s v="Room_Type 1"/>
    <x v="183"/>
    <d v="2018-02-05T00:00:00"/>
    <x v="0"/>
    <x v="3"/>
    <x v="0"/>
  </r>
  <r>
    <s v="INN00421"/>
    <n v="2"/>
    <n v="0"/>
    <n v="1"/>
    <n v="3"/>
    <s v="Not Selected"/>
    <s v="Room_Type 1"/>
    <x v="18"/>
    <s v="14-11-2018"/>
    <x v="1"/>
    <x v="241"/>
    <x v="1"/>
  </r>
  <r>
    <s v="INN00422"/>
    <n v="2"/>
    <n v="0"/>
    <n v="1"/>
    <n v="2"/>
    <s v="Meal Plan 1"/>
    <s v="Room_Type 1"/>
    <x v="0"/>
    <d v="2017-02-10T00:00:00"/>
    <x v="0"/>
    <x v="0"/>
    <x v="0"/>
  </r>
  <r>
    <s v="INN00423"/>
    <n v="2"/>
    <n v="0"/>
    <n v="2"/>
    <n v="2"/>
    <s v="Meal Plan 1"/>
    <s v="Room_Type 1"/>
    <x v="76"/>
    <s v="29-05-2018"/>
    <x v="1"/>
    <x v="242"/>
    <x v="0"/>
  </r>
  <r>
    <s v="INN00424"/>
    <n v="1"/>
    <n v="0"/>
    <n v="2"/>
    <n v="2"/>
    <s v="Meal Plan 1"/>
    <s v="Room_Type 1"/>
    <x v="93"/>
    <s v="14-10-2018"/>
    <x v="1"/>
    <x v="5"/>
    <x v="1"/>
  </r>
  <r>
    <s v="INN00425"/>
    <n v="3"/>
    <n v="0"/>
    <n v="1"/>
    <n v="1"/>
    <s v="Meal Plan 1"/>
    <s v="Room_Type 4"/>
    <x v="89"/>
    <d v="2018-02-07T00:00:00"/>
    <x v="1"/>
    <x v="243"/>
    <x v="1"/>
  </r>
  <r>
    <s v="INN00426"/>
    <n v="1"/>
    <n v="0"/>
    <n v="0"/>
    <n v="1"/>
    <s v="Meal Plan 1"/>
    <s v="Room_Type 1"/>
    <x v="2"/>
    <d v="2018-04-08T00:00:00"/>
    <x v="1"/>
    <x v="5"/>
    <x v="0"/>
  </r>
  <r>
    <s v="INN00427"/>
    <n v="2"/>
    <n v="0"/>
    <n v="0"/>
    <n v="4"/>
    <s v="Not Selected"/>
    <s v="Room_Type 1"/>
    <x v="184"/>
    <s v="27-09-2018"/>
    <x v="1"/>
    <x v="244"/>
    <x v="1"/>
  </r>
  <r>
    <s v="INN00428"/>
    <n v="2"/>
    <n v="0"/>
    <n v="2"/>
    <n v="3"/>
    <s v="Meal Plan 1"/>
    <s v="Room_Type 1"/>
    <x v="185"/>
    <d v="2018-08-04T00:00:00"/>
    <x v="1"/>
    <x v="73"/>
    <x v="1"/>
  </r>
  <r>
    <s v="INN00429"/>
    <n v="2"/>
    <n v="0"/>
    <n v="1"/>
    <n v="3"/>
    <s v="Meal Plan 2"/>
    <s v="Room_Type 4"/>
    <x v="17"/>
    <s v="24-03-2018"/>
    <x v="1"/>
    <x v="245"/>
    <x v="0"/>
  </r>
  <r>
    <s v="INN00430"/>
    <n v="2"/>
    <n v="0"/>
    <n v="2"/>
    <n v="4"/>
    <s v="Meal Plan 1"/>
    <s v="Room_Type 1"/>
    <x v="0"/>
    <d v="2018-03-09T00:00:00"/>
    <x v="1"/>
    <x v="246"/>
    <x v="1"/>
  </r>
  <r>
    <s v="INN00431"/>
    <n v="1"/>
    <n v="0"/>
    <n v="0"/>
    <n v="4"/>
    <s v="Meal Plan 2"/>
    <s v="Room_Type 1"/>
    <x v="142"/>
    <s v="21-10-2017"/>
    <x v="0"/>
    <x v="247"/>
    <x v="0"/>
  </r>
  <r>
    <s v="INN00432"/>
    <n v="2"/>
    <n v="0"/>
    <n v="0"/>
    <n v="2"/>
    <s v="Meal Plan 1"/>
    <s v="Room_Type 1"/>
    <x v="76"/>
    <s v="13-05-2018"/>
    <x v="4"/>
    <x v="49"/>
    <x v="0"/>
  </r>
  <r>
    <s v="INN00433"/>
    <n v="2"/>
    <n v="0"/>
    <n v="0"/>
    <n v="1"/>
    <s v="Meal Plan 1"/>
    <s v="Room_Type 4"/>
    <x v="111"/>
    <d v="2017-08-09T00:00:00"/>
    <x v="1"/>
    <x v="106"/>
    <x v="0"/>
  </r>
  <r>
    <s v="INN00434"/>
    <n v="2"/>
    <n v="0"/>
    <n v="0"/>
    <n v="3"/>
    <s v="Meal Plan 1"/>
    <s v="Room_Type 1"/>
    <x v="78"/>
    <s v="20-10-2017"/>
    <x v="1"/>
    <x v="126"/>
    <x v="0"/>
  </r>
  <r>
    <s v="INN00435"/>
    <n v="2"/>
    <n v="0"/>
    <n v="0"/>
    <n v="2"/>
    <s v="Meal Plan 1"/>
    <s v="Room_Type 1"/>
    <x v="118"/>
    <s v="16-02-2018"/>
    <x v="1"/>
    <x v="160"/>
    <x v="1"/>
  </r>
  <r>
    <s v="INN00436"/>
    <n v="2"/>
    <n v="0"/>
    <n v="0"/>
    <n v="5"/>
    <s v="Meal Plan 2"/>
    <s v="Room_Type 1"/>
    <x v="186"/>
    <d v="2018-06-09T00:00:00"/>
    <x v="1"/>
    <x v="201"/>
    <x v="1"/>
  </r>
  <r>
    <s v="INN00437"/>
    <n v="2"/>
    <n v="0"/>
    <n v="0"/>
    <n v="4"/>
    <s v="Meal Plan 1"/>
    <s v="Room_Type 1"/>
    <x v="117"/>
    <s v="16-03-2018"/>
    <x v="0"/>
    <x v="248"/>
    <x v="0"/>
  </r>
  <r>
    <s v="INN00438"/>
    <n v="2"/>
    <n v="0"/>
    <n v="0"/>
    <n v="1"/>
    <s v="Meal Plan 1"/>
    <s v="Room_Type 1"/>
    <x v="153"/>
    <s v="23-10-2017"/>
    <x v="1"/>
    <x v="249"/>
    <x v="0"/>
  </r>
  <r>
    <s v="INN00439"/>
    <n v="3"/>
    <n v="0"/>
    <n v="1"/>
    <n v="3"/>
    <s v="Meal Plan 2"/>
    <s v="Room_Type 4"/>
    <x v="187"/>
    <s v="24-10-2018"/>
    <x v="1"/>
    <x v="250"/>
    <x v="0"/>
  </r>
  <r>
    <s v="INN00440"/>
    <n v="2"/>
    <n v="0"/>
    <n v="2"/>
    <n v="1"/>
    <s v="Not Selected"/>
    <s v="Room_Type 1"/>
    <x v="158"/>
    <d v="2018-06-08T00:00:00"/>
    <x v="1"/>
    <x v="4"/>
    <x v="0"/>
  </r>
  <r>
    <s v="INN00441"/>
    <n v="2"/>
    <n v="0"/>
    <n v="1"/>
    <n v="4"/>
    <s v="Meal Plan 1"/>
    <s v="Room_Type 1"/>
    <x v="86"/>
    <s v="22-08-2018"/>
    <x v="1"/>
    <x v="124"/>
    <x v="1"/>
  </r>
  <r>
    <s v="INN00442"/>
    <n v="2"/>
    <n v="0"/>
    <n v="2"/>
    <n v="1"/>
    <s v="Meal Plan 1"/>
    <s v="Room_Type 1"/>
    <x v="188"/>
    <s v="13-08-2018"/>
    <x v="1"/>
    <x v="251"/>
    <x v="0"/>
  </r>
  <r>
    <s v="INN00443"/>
    <n v="2"/>
    <n v="0"/>
    <n v="1"/>
    <n v="3"/>
    <s v="Meal Plan 1"/>
    <s v="Room_Type 1"/>
    <x v="20"/>
    <d v="2018-10-03T00:00:00"/>
    <x v="1"/>
    <x v="213"/>
    <x v="0"/>
  </r>
  <r>
    <s v="INN00444"/>
    <n v="2"/>
    <n v="0"/>
    <n v="0"/>
    <n v="4"/>
    <s v="Meal Plan 1"/>
    <s v="Room_Type 1"/>
    <x v="170"/>
    <d v="2018-11-05T00:00:00"/>
    <x v="1"/>
    <x v="237"/>
    <x v="0"/>
  </r>
  <r>
    <s v="INN00445"/>
    <n v="1"/>
    <n v="0"/>
    <n v="0"/>
    <n v="1"/>
    <s v="Meal Plan 1"/>
    <s v="Room_Type 1"/>
    <x v="92"/>
    <s v="23-10-2017"/>
    <x v="0"/>
    <x v="252"/>
    <x v="0"/>
  </r>
  <r>
    <s v="INN00446"/>
    <n v="1"/>
    <n v="0"/>
    <n v="0"/>
    <n v="1"/>
    <s v="Meal Plan 1"/>
    <s v="Room_Type 1"/>
    <x v="2"/>
    <d v="2018-01-04T00:00:00"/>
    <x v="2"/>
    <x v="16"/>
    <x v="0"/>
  </r>
  <r>
    <s v="INN00447"/>
    <n v="2"/>
    <n v="0"/>
    <n v="2"/>
    <n v="2"/>
    <s v="Meal Plan 1"/>
    <s v="Room_Type 4"/>
    <x v="38"/>
    <s v="19-06-2018"/>
    <x v="1"/>
    <x v="115"/>
    <x v="0"/>
  </r>
  <r>
    <s v="INN00448"/>
    <n v="2"/>
    <n v="0"/>
    <n v="0"/>
    <n v="1"/>
    <s v="Meal Plan 1"/>
    <s v="Room_Type 1"/>
    <x v="145"/>
    <s v="13-10-2017"/>
    <x v="0"/>
    <x v="17"/>
    <x v="0"/>
  </r>
  <r>
    <s v="INN00449"/>
    <n v="2"/>
    <n v="0"/>
    <n v="3"/>
    <n v="5"/>
    <s v="Meal Plan 1"/>
    <s v="Room_Type 4"/>
    <x v="1"/>
    <d v="2018-04-04T00:00:00"/>
    <x v="1"/>
    <x v="253"/>
    <x v="1"/>
  </r>
  <r>
    <s v="INN00450"/>
    <n v="2"/>
    <n v="0"/>
    <n v="1"/>
    <n v="1"/>
    <s v="Meal Plan 2"/>
    <s v="Room_Type 1"/>
    <x v="29"/>
    <d v="2018-06-06T00:00:00"/>
    <x v="1"/>
    <x v="5"/>
    <x v="1"/>
  </r>
  <r>
    <s v="INN00451"/>
    <n v="2"/>
    <n v="0"/>
    <n v="2"/>
    <n v="1"/>
    <s v="Not Selected"/>
    <s v="Room_Type 1"/>
    <x v="76"/>
    <s v="16-10-2018"/>
    <x v="1"/>
    <x v="107"/>
    <x v="1"/>
  </r>
  <r>
    <s v="INN00452"/>
    <n v="1"/>
    <n v="0"/>
    <n v="0"/>
    <n v="1"/>
    <s v="Meal Plan 1"/>
    <s v="Room_Type 1"/>
    <x v="150"/>
    <s v="14-10-2018"/>
    <x v="0"/>
    <x v="106"/>
    <x v="0"/>
  </r>
  <r>
    <s v="INN00453"/>
    <n v="2"/>
    <n v="0"/>
    <n v="2"/>
    <n v="1"/>
    <s v="Meal Plan 1"/>
    <s v="Room_Type 1"/>
    <x v="162"/>
    <s v="19-11-2018"/>
    <x v="1"/>
    <x v="31"/>
    <x v="0"/>
  </r>
  <r>
    <s v="INN00454"/>
    <n v="2"/>
    <n v="0"/>
    <n v="0"/>
    <n v="1"/>
    <s v="Meal Plan 1"/>
    <s v="Room_Type 1"/>
    <x v="23"/>
    <d v="2018-08-06T00:00:00"/>
    <x v="0"/>
    <x v="106"/>
    <x v="0"/>
  </r>
  <r>
    <s v="INN00455"/>
    <n v="1"/>
    <n v="0"/>
    <n v="0"/>
    <n v="1"/>
    <s v="Meal Plan 1"/>
    <s v="Room_Type 1"/>
    <x v="17"/>
    <d v="2018-08-06T00:00:00"/>
    <x v="0"/>
    <x v="13"/>
    <x v="0"/>
  </r>
  <r>
    <s v="INN00456"/>
    <n v="2"/>
    <n v="0"/>
    <n v="0"/>
    <n v="5"/>
    <s v="Meal Plan 1"/>
    <s v="Room_Type 1"/>
    <x v="186"/>
    <d v="2018-06-09T00:00:00"/>
    <x v="1"/>
    <x v="201"/>
    <x v="1"/>
  </r>
  <r>
    <s v="INN00457"/>
    <n v="2"/>
    <n v="1"/>
    <n v="1"/>
    <n v="3"/>
    <s v="Meal Plan 1"/>
    <s v="Room_Type 1"/>
    <x v="69"/>
    <s v="31-10-2018"/>
    <x v="1"/>
    <x v="254"/>
    <x v="1"/>
  </r>
  <r>
    <s v="INN00458"/>
    <n v="1"/>
    <n v="0"/>
    <n v="0"/>
    <n v="3"/>
    <s v="Not Selected"/>
    <s v="Room_Type 1"/>
    <x v="19"/>
    <s v="31-05-2018"/>
    <x v="1"/>
    <x v="120"/>
    <x v="0"/>
  </r>
  <r>
    <s v="INN00459"/>
    <n v="2"/>
    <n v="0"/>
    <n v="0"/>
    <n v="2"/>
    <s v="Meal Plan 2"/>
    <s v="Room_Type 1"/>
    <x v="53"/>
    <s v="18-09-2017"/>
    <x v="0"/>
    <x v="166"/>
    <x v="0"/>
  </r>
  <r>
    <s v="INN00460"/>
    <n v="2"/>
    <n v="0"/>
    <n v="0"/>
    <n v="1"/>
    <s v="Not Selected"/>
    <s v="Room_Type 1"/>
    <x v="94"/>
    <s v="23-06-2018"/>
    <x v="1"/>
    <x v="27"/>
    <x v="1"/>
  </r>
  <r>
    <s v="INN00461"/>
    <n v="1"/>
    <n v="0"/>
    <n v="0"/>
    <n v="3"/>
    <s v="Meal Plan 1"/>
    <s v="Room_Type 1"/>
    <x v="20"/>
    <s v="13-10-2018"/>
    <x v="0"/>
    <x v="48"/>
    <x v="0"/>
  </r>
  <r>
    <s v="INN00462"/>
    <n v="2"/>
    <n v="0"/>
    <n v="2"/>
    <n v="2"/>
    <s v="Meal Plan 1"/>
    <s v="Room_Type 4"/>
    <x v="120"/>
    <d v="2018-01-07T00:00:00"/>
    <x v="1"/>
    <x v="205"/>
    <x v="0"/>
  </r>
  <r>
    <s v="INN00463"/>
    <n v="1"/>
    <n v="0"/>
    <n v="0"/>
    <n v="1"/>
    <s v="Meal Plan 1"/>
    <s v="Room_Type 1"/>
    <x v="19"/>
    <s v="26-08-2017"/>
    <x v="2"/>
    <x v="0"/>
    <x v="0"/>
  </r>
  <r>
    <s v="INN00464"/>
    <n v="2"/>
    <n v="0"/>
    <n v="2"/>
    <n v="6"/>
    <s v="Meal Plan 1"/>
    <s v="Room_Type 1"/>
    <x v="158"/>
    <s v="18-08-2018"/>
    <x v="1"/>
    <x v="255"/>
    <x v="1"/>
  </r>
  <r>
    <s v="INN00465"/>
    <n v="2"/>
    <n v="0"/>
    <n v="1"/>
    <n v="3"/>
    <s v="Meal Plan 2"/>
    <s v="Room_Type 1"/>
    <x v="90"/>
    <d v="2018-11-04T00:00:00"/>
    <x v="1"/>
    <x v="256"/>
    <x v="0"/>
  </r>
  <r>
    <s v="INN00466"/>
    <n v="2"/>
    <n v="0"/>
    <n v="1"/>
    <n v="2"/>
    <s v="Meal Plan 2"/>
    <s v="Room_Type 1"/>
    <x v="189"/>
    <s v="13-05-2018"/>
    <x v="1"/>
    <x v="257"/>
    <x v="1"/>
  </r>
  <r>
    <s v="INN00467"/>
    <n v="2"/>
    <n v="0"/>
    <n v="1"/>
    <n v="3"/>
    <s v="Meal Plan 2"/>
    <s v="Room_Type 1"/>
    <x v="117"/>
    <d v="2018-04-07T00:00:00"/>
    <x v="1"/>
    <x v="258"/>
    <x v="0"/>
  </r>
  <r>
    <s v="INN00468"/>
    <n v="2"/>
    <n v="0"/>
    <n v="1"/>
    <n v="3"/>
    <s v="Not Selected"/>
    <s v="Room_Type 1"/>
    <x v="137"/>
    <d v="2018-08-12T00:00:00"/>
    <x v="1"/>
    <x v="259"/>
    <x v="0"/>
  </r>
  <r>
    <s v="INN00469"/>
    <n v="2"/>
    <n v="1"/>
    <n v="0"/>
    <n v="1"/>
    <s v="Meal Plan 1"/>
    <s v="Room_Type 1"/>
    <x v="2"/>
    <s v="18-06-2018"/>
    <x v="1"/>
    <x v="260"/>
    <x v="0"/>
  </r>
  <r>
    <s v="INN00470"/>
    <n v="2"/>
    <n v="0"/>
    <n v="2"/>
    <n v="1"/>
    <s v="Meal Plan 1"/>
    <s v="Room_Type 1"/>
    <x v="10"/>
    <s v="27-12-2017"/>
    <x v="0"/>
    <x v="134"/>
    <x v="0"/>
  </r>
  <r>
    <s v="INN00471"/>
    <n v="2"/>
    <n v="0"/>
    <n v="2"/>
    <n v="1"/>
    <s v="Meal Plan 2"/>
    <s v="Room_Type 1"/>
    <x v="102"/>
    <d v="2017-08-08T00:00:00"/>
    <x v="0"/>
    <x v="4"/>
    <x v="0"/>
  </r>
  <r>
    <s v="INN00472"/>
    <n v="2"/>
    <n v="0"/>
    <n v="0"/>
    <n v="4"/>
    <s v="Meal Plan 1"/>
    <s v="Room_Type 1"/>
    <x v="22"/>
    <d v="2017-09-12T00:00:00"/>
    <x v="1"/>
    <x v="124"/>
    <x v="0"/>
  </r>
  <r>
    <s v="INN00473"/>
    <n v="2"/>
    <n v="0"/>
    <n v="0"/>
    <n v="1"/>
    <s v="Meal Plan 1"/>
    <s v="Room_Type 1"/>
    <x v="190"/>
    <s v="14-08-2017"/>
    <x v="1"/>
    <x v="137"/>
    <x v="0"/>
  </r>
  <r>
    <s v="INN00474"/>
    <n v="2"/>
    <n v="0"/>
    <n v="2"/>
    <n v="3"/>
    <s v="Meal Plan 1"/>
    <s v="Room_Type 1"/>
    <x v="191"/>
    <d v="2018-08-04T00:00:00"/>
    <x v="0"/>
    <x v="127"/>
    <x v="0"/>
  </r>
  <r>
    <s v="INN00475"/>
    <n v="2"/>
    <n v="0"/>
    <n v="1"/>
    <n v="1"/>
    <s v="Not Selected"/>
    <s v="Room_Type 1"/>
    <x v="165"/>
    <s v="26-09-2018"/>
    <x v="1"/>
    <x v="261"/>
    <x v="1"/>
  </r>
  <r>
    <s v="INN00476"/>
    <n v="2"/>
    <n v="2"/>
    <n v="2"/>
    <n v="1"/>
    <s v="Meal Plan 1"/>
    <s v="Room_Type 7"/>
    <x v="12"/>
    <d v="2018-12-06T00:00:00"/>
    <x v="1"/>
    <x v="262"/>
    <x v="1"/>
  </r>
  <r>
    <s v="INN00477"/>
    <n v="2"/>
    <n v="0"/>
    <n v="0"/>
    <n v="1"/>
    <s v="Meal Plan 1"/>
    <s v="Room_Type 1"/>
    <x v="19"/>
    <d v="2018-11-10T00:00:00"/>
    <x v="1"/>
    <x v="263"/>
    <x v="0"/>
  </r>
  <r>
    <s v="INN00478"/>
    <n v="2"/>
    <n v="0"/>
    <n v="3"/>
    <n v="7"/>
    <s v="Not Selected"/>
    <s v="Room_Type 1"/>
    <x v="192"/>
    <d v="2018-05-12T00:00:00"/>
    <x v="1"/>
    <x v="264"/>
    <x v="0"/>
  </r>
  <r>
    <s v="INN00479"/>
    <n v="2"/>
    <n v="0"/>
    <n v="0"/>
    <n v="3"/>
    <s v="Meal Plan 1"/>
    <s v="Room_Type 1"/>
    <x v="54"/>
    <s v="25-08-2018"/>
    <x v="0"/>
    <x v="3"/>
    <x v="0"/>
  </r>
  <r>
    <s v="INN00480"/>
    <n v="2"/>
    <n v="0"/>
    <n v="0"/>
    <n v="3"/>
    <s v="Not Selected"/>
    <s v="Room_Type 1"/>
    <x v="51"/>
    <s v="19-10-2018"/>
    <x v="1"/>
    <x v="27"/>
    <x v="0"/>
  </r>
  <r>
    <s v="INN00481"/>
    <n v="1"/>
    <n v="0"/>
    <n v="0"/>
    <n v="2"/>
    <s v="Meal Plan 1"/>
    <s v="Room_Type 1"/>
    <x v="64"/>
    <s v="15-06-2018"/>
    <x v="1"/>
    <x v="65"/>
    <x v="1"/>
  </r>
  <r>
    <s v="INN00482"/>
    <n v="3"/>
    <n v="0"/>
    <n v="2"/>
    <n v="2"/>
    <s v="Meal Plan 1"/>
    <s v="Room_Type 4"/>
    <x v="193"/>
    <d v="2018-08-07T00:00:00"/>
    <x v="1"/>
    <x v="161"/>
    <x v="0"/>
  </r>
  <r>
    <s v="INN00483"/>
    <n v="1"/>
    <n v="0"/>
    <n v="0"/>
    <n v="2"/>
    <s v="Meal Plan 1"/>
    <s v="Room_Type 1"/>
    <x v="36"/>
    <s v="20-11-2017"/>
    <x v="0"/>
    <x v="35"/>
    <x v="0"/>
  </r>
  <r>
    <s v="INN00484"/>
    <n v="3"/>
    <n v="0"/>
    <n v="2"/>
    <n v="2"/>
    <s v="Meal Plan 1"/>
    <s v="Room_Type 6"/>
    <x v="19"/>
    <d v="2018-01-04T00:00:00"/>
    <x v="1"/>
    <x v="265"/>
    <x v="0"/>
  </r>
  <r>
    <s v="INN00485"/>
    <n v="2"/>
    <n v="0"/>
    <n v="0"/>
    <n v="3"/>
    <s v="Meal Plan 1"/>
    <s v="Room_Type 1"/>
    <x v="134"/>
    <s v="22-10-2017"/>
    <x v="1"/>
    <x v="142"/>
    <x v="0"/>
  </r>
  <r>
    <s v="INN00486"/>
    <n v="2"/>
    <n v="0"/>
    <n v="1"/>
    <n v="0"/>
    <s v="Not Selected"/>
    <s v="Room_Type 1"/>
    <x v="102"/>
    <s v="19-09-2018"/>
    <x v="0"/>
    <x v="17"/>
    <x v="0"/>
  </r>
  <r>
    <s v="INN00487"/>
    <n v="2"/>
    <n v="0"/>
    <n v="2"/>
    <n v="0"/>
    <s v="Meal Plan 1"/>
    <s v="Room_Type 1"/>
    <x v="6"/>
    <s v="28-02-2018"/>
    <x v="4"/>
    <x v="266"/>
    <x v="0"/>
  </r>
  <r>
    <s v="INN00488"/>
    <n v="2"/>
    <n v="2"/>
    <n v="0"/>
    <n v="1"/>
    <s v="Meal Plan 1"/>
    <s v="Room_Type 2"/>
    <x v="75"/>
    <d v="2018-08-03T00:00:00"/>
    <x v="1"/>
    <x v="267"/>
    <x v="1"/>
  </r>
  <r>
    <s v="INN00489"/>
    <n v="2"/>
    <n v="0"/>
    <n v="1"/>
    <n v="3"/>
    <s v="Meal Plan 1"/>
    <s v="Room_Type 1"/>
    <x v="76"/>
    <d v="2018-11-02T00:00:00"/>
    <x v="1"/>
    <x v="160"/>
    <x v="1"/>
  </r>
  <r>
    <s v="INN00490"/>
    <n v="2"/>
    <n v="0"/>
    <n v="2"/>
    <n v="2"/>
    <s v="Not Selected"/>
    <s v="Room_Type 1"/>
    <x v="131"/>
    <d v="2018-10-04T00:00:00"/>
    <x v="1"/>
    <x v="110"/>
    <x v="0"/>
  </r>
  <r>
    <s v="INN00491"/>
    <n v="2"/>
    <n v="0"/>
    <n v="1"/>
    <n v="2"/>
    <s v="Meal Plan 1"/>
    <s v="Room_Type 1"/>
    <x v="194"/>
    <d v="2018-04-11T00:00:00"/>
    <x v="1"/>
    <x v="42"/>
    <x v="1"/>
  </r>
  <r>
    <s v="INN00492"/>
    <n v="2"/>
    <n v="0"/>
    <n v="0"/>
    <n v="3"/>
    <s v="Meal Plan 1"/>
    <s v="Room_Type 1"/>
    <x v="20"/>
    <s v="13-10-2018"/>
    <x v="0"/>
    <x v="18"/>
    <x v="0"/>
  </r>
  <r>
    <s v="INN00493"/>
    <n v="2"/>
    <n v="0"/>
    <n v="2"/>
    <n v="5"/>
    <s v="Meal Plan 1"/>
    <s v="Room_Type 1"/>
    <x v="195"/>
    <s v="30-04-2018"/>
    <x v="1"/>
    <x v="268"/>
    <x v="0"/>
  </r>
  <r>
    <s v="INN00494"/>
    <n v="2"/>
    <n v="0"/>
    <n v="1"/>
    <n v="3"/>
    <s v="Meal Plan 1"/>
    <s v="Room_Type 4"/>
    <x v="87"/>
    <d v="2018-05-12T00:00:00"/>
    <x v="1"/>
    <x v="269"/>
    <x v="0"/>
  </r>
  <r>
    <s v="INN00495"/>
    <n v="1"/>
    <n v="0"/>
    <n v="0"/>
    <n v="2"/>
    <s v="Not Selected"/>
    <s v="Room_Type 1"/>
    <x v="9"/>
    <s v="23-11-2018"/>
    <x v="1"/>
    <x v="270"/>
    <x v="0"/>
  </r>
  <r>
    <s v="INN00496"/>
    <n v="1"/>
    <n v="0"/>
    <n v="2"/>
    <n v="1"/>
    <s v="Meal Plan 1"/>
    <s v="Room_Type 1"/>
    <x v="2"/>
    <s v="28-02-2018"/>
    <x v="1"/>
    <x v="2"/>
    <x v="1"/>
  </r>
  <r>
    <s v="INN00497"/>
    <n v="2"/>
    <n v="0"/>
    <n v="0"/>
    <n v="3"/>
    <s v="Meal Plan 1"/>
    <s v="Room_Type 1"/>
    <x v="180"/>
    <d v="2018-07-06T00:00:00"/>
    <x v="1"/>
    <x v="65"/>
    <x v="1"/>
  </r>
  <r>
    <s v="INN00498"/>
    <n v="1"/>
    <n v="0"/>
    <n v="1"/>
    <n v="1"/>
    <s v="Meal Plan 1"/>
    <s v="Room_Type 1"/>
    <x v="1"/>
    <d v="2018-04-04T00:00:00"/>
    <x v="1"/>
    <x v="48"/>
    <x v="0"/>
  </r>
  <r>
    <s v="INN00499"/>
    <n v="2"/>
    <n v="0"/>
    <n v="0"/>
    <n v="1"/>
    <s v="Meal Plan 2"/>
    <s v="Room_Type 1"/>
    <x v="34"/>
    <d v="2018-06-04T00:00:00"/>
    <x v="0"/>
    <x v="36"/>
    <x v="0"/>
  </r>
  <r>
    <s v="INN00500"/>
    <n v="2"/>
    <n v="0"/>
    <n v="0"/>
    <n v="3"/>
    <s v="Meal Plan 1"/>
    <s v="Room_Type 4"/>
    <x v="45"/>
    <d v="2018-11-02T00:00:00"/>
    <x v="0"/>
    <x v="271"/>
    <x v="0"/>
  </r>
  <r>
    <s v="INN00501"/>
    <n v="2"/>
    <n v="0"/>
    <n v="2"/>
    <n v="1"/>
    <s v="Meal Plan 1"/>
    <s v="Room_Type 2"/>
    <x v="9"/>
    <s v="23-04-2018"/>
    <x v="0"/>
    <x v="48"/>
    <x v="0"/>
  </r>
  <r>
    <s v="INN00502"/>
    <n v="1"/>
    <n v="0"/>
    <n v="2"/>
    <n v="1"/>
    <s v="Meal Plan 2"/>
    <s v="Room_Type 4"/>
    <x v="56"/>
    <s v="28-02-2018"/>
    <x v="1"/>
    <x v="130"/>
    <x v="0"/>
  </r>
  <r>
    <s v="INN00503"/>
    <n v="1"/>
    <n v="0"/>
    <n v="1"/>
    <n v="0"/>
    <s v="Meal Plan 1"/>
    <s v="Room_Type 1"/>
    <x v="10"/>
    <s v="17-10-2018"/>
    <x v="2"/>
    <x v="48"/>
    <x v="0"/>
  </r>
  <r>
    <s v="INN00504"/>
    <n v="1"/>
    <n v="0"/>
    <n v="0"/>
    <n v="2"/>
    <s v="Meal Plan 1"/>
    <s v="Room_Type 1"/>
    <x v="50"/>
    <s v="24-06-2018"/>
    <x v="0"/>
    <x v="48"/>
    <x v="0"/>
  </r>
  <r>
    <s v="INN00505"/>
    <n v="2"/>
    <n v="0"/>
    <n v="2"/>
    <n v="4"/>
    <s v="Meal Plan 1"/>
    <s v="Room_Type 1"/>
    <x v="144"/>
    <s v="18-06-2018"/>
    <x v="0"/>
    <x v="110"/>
    <x v="0"/>
  </r>
  <r>
    <s v="INN00506"/>
    <n v="3"/>
    <n v="0"/>
    <n v="0"/>
    <n v="4"/>
    <s v="Meal Plan 1"/>
    <s v="Room_Type 4"/>
    <x v="196"/>
    <s v="30-08-2018"/>
    <x v="1"/>
    <x v="272"/>
    <x v="0"/>
  </r>
  <r>
    <s v="INN00507"/>
    <n v="3"/>
    <n v="0"/>
    <n v="2"/>
    <n v="3"/>
    <s v="Meal Plan 1"/>
    <s v="Room_Type 4"/>
    <x v="148"/>
    <s v="21-10-2018"/>
    <x v="1"/>
    <x v="186"/>
    <x v="1"/>
  </r>
  <r>
    <s v="INN00508"/>
    <n v="2"/>
    <n v="0"/>
    <n v="2"/>
    <n v="3"/>
    <s v="Meal Plan 1"/>
    <s v="Room_Type 1"/>
    <x v="100"/>
    <s v="20-03-2018"/>
    <x v="1"/>
    <x v="73"/>
    <x v="0"/>
  </r>
  <r>
    <s v="INN00509"/>
    <n v="2"/>
    <n v="0"/>
    <n v="1"/>
    <n v="2"/>
    <s v="Meal Plan 1"/>
    <s v="Room_Type 1"/>
    <x v="91"/>
    <s v="18-11-2018"/>
    <x v="1"/>
    <x v="31"/>
    <x v="0"/>
  </r>
  <r>
    <s v="INN00510"/>
    <n v="2"/>
    <n v="0"/>
    <n v="1"/>
    <n v="2"/>
    <s v="Meal Plan 1"/>
    <s v="Room_Type 4"/>
    <x v="137"/>
    <d v="2017-09-11T00:00:00"/>
    <x v="0"/>
    <x v="2"/>
    <x v="0"/>
  </r>
  <r>
    <s v="INN00511"/>
    <n v="1"/>
    <n v="0"/>
    <n v="0"/>
    <n v="3"/>
    <s v="Meal Plan 1"/>
    <s v="Room_Type 1"/>
    <x v="54"/>
    <s v="25-08-2018"/>
    <x v="0"/>
    <x v="13"/>
    <x v="0"/>
  </r>
  <r>
    <s v="INN00512"/>
    <n v="2"/>
    <n v="0"/>
    <n v="2"/>
    <n v="1"/>
    <s v="Not Selected"/>
    <s v="Room_Type 1"/>
    <x v="163"/>
    <d v="2017-05-12T00:00:00"/>
    <x v="1"/>
    <x v="273"/>
    <x v="0"/>
  </r>
  <r>
    <s v="INN00513"/>
    <n v="2"/>
    <n v="0"/>
    <n v="0"/>
    <n v="2"/>
    <s v="Meal Plan 1"/>
    <s v="Room_Type 1"/>
    <x v="33"/>
    <s v="21-10-2018"/>
    <x v="1"/>
    <x v="274"/>
    <x v="1"/>
  </r>
  <r>
    <s v="INN00514"/>
    <n v="2"/>
    <n v="0"/>
    <n v="2"/>
    <n v="1"/>
    <s v="Meal Plan 1"/>
    <s v="Room_Type 4"/>
    <x v="197"/>
    <s v="30-10-2018"/>
    <x v="1"/>
    <x v="275"/>
    <x v="1"/>
  </r>
  <r>
    <s v="INN00515"/>
    <n v="2"/>
    <n v="0"/>
    <n v="0"/>
    <n v="1"/>
    <s v="Meal Plan 2"/>
    <s v="Room_Type 1"/>
    <x v="34"/>
    <d v="2018-06-04T00:00:00"/>
    <x v="0"/>
    <x v="36"/>
    <x v="0"/>
  </r>
  <r>
    <s v="INN00516"/>
    <n v="2"/>
    <n v="0"/>
    <n v="0"/>
    <n v="4"/>
    <s v="Meal Plan 1"/>
    <s v="Room_Type 1"/>
    <x v="19"/>
    <d v="2018-03-08T00:00:00"/>
    <x v="0"/>
    <x v="111"/>
    <x v="0"/>
  </r>
  <r>
    <s v="INN00517"/>
    <n v="2"/>
    <n v="0"/>
    <n v="2"/>
    <n v="4"/>
    <s v="Meal Plan 1"/>
    <s v="Room_Type 4"/>
    <x v="16"/>
    <d v="2018-10-04T00:00:00"/>
    <x v="1"/>
    <x v="276"/>
    <x v="1"/>
  </r>
  <r>
    <s v="INN00518"/>
    <n v="1"/>
    <n v="0"/>
    <n v="0"/>
    <n v="2"/>
    <s v="Meal Plan 1"/>
    <s v="Room_Type 1"/>
    <x v="87"/>
    <s v="14-10-2017"/>
    <x v="2"/>
    <x v="48"/>
    <x v="0"/>
  </r>
  <r>
    <s v="INN00519"/>
    <n v="1"/>
    <n v="0"/>
    <n v="0"/>
    <n v="1"/>
    <s v="Not Selected"/>
    <s v="Room_Type 1"/>
    <x v="10"/>
    <s v="15-10-2018"/>
    <x v="1"/>
    <x v="119"/>
    <x v="0"/>
  </r>
  <r>
    <s v="INN00520"/>
    <n v="2"/>
    <n v="0"/>
    <n v="1"/>
    <n v="3"/>
    <s v="Meal Plan 1"/>
    <s v="Room_Type 1"/>
    <x v="111"/>
    <s v="24-12-2017"/>
    <x v="1"/>
    <x v="200"/>
    <x v="0"/>
  </r>
  <r>
    <s v="INN00521"/>
    <n v="1"/>
    <n v="0"/>
    <n v="2"/>
    <n v="1"/>
    <s v="Meal Plan 1"/>
    <s v="Room_Type 4"/>
    <x v="38"/>
    <d v="2018-05-03T00:00:00"/>
    <x v="1"/>
    <x v="277"/>
    <x v="0"/>
  </r>
  <r>
    <s v="INN00522"/>
    <n v="2"/>
    <n v="0"/>
    <n v="1"/>
    <n v="3"/>
    <s v="Meal Plan 1"/>
    <s v="Room_Type 4"/>
    <x v="156"/>
    <s v="24-03-2018"/>
    <x v="1"/>
    <x v="125"/>
    <x v="0"/>
  </r>
  <r>
    <s v="INN00523"/>
    <n v="2"/>
    <n v="0"/>
    <n v="0"/>
    <n v="4"/>
    <s v="Meal Plan 1"/>
    <s v="Room_Type 4"/>
    <x v="113"/>
    <d v="2018-04-05T00:00:00"/>
    <x v="1"/>
    <x v="278"/>
    <x v="0"/>
  </r>
  <r>
    <s v="INN00524"/>
    <n v="1"/>
    <n v="0"/>
    <n v="0"/>
    <n v="3"/>
    <s v="Meal Plan 1"/>
    <s v="Room_Type 1"/>
    <x v="147"/>
    <s v="14-06-2018"/>
    <x v="0"/>
    <x v="106"/>
    <x v="0"/>
  </r>
  <r>
    <s v="INN00525"/>
    <n v="2"/>
    <n v="0"/>
    <n v="2"/>
    <n v="0"/>
    <s v="Meal Plan 1"/>
    <s v="Room_Type 1"/>
    <x v="102"/>
    <d v="2018-03-04T00:00:00"/>
    <x v="1"/>
    <x v="279"/>
    <x v="0"/>
  </r>
  <r>
    <s v="INN00526"/>
    <n v="1"/>
    <n v="0"/>
    <n v="0"/>
    <n v="3"/>
    <s v="Meal Plan 1"/>
    <s v="Room_Type 1"/>
    <x v="147"/>
    <s v="14-06-2018"/>
    <x v="0"/>
    <x v="106"/>
    <x v="0"/>
  </r>
  <r>
    <s v="INN00527"/>
    <n v="2"/>
    <n v="0"/>
    <n v="0"/>
    <n v="1"/>
    <s v="Not Selected"/>
    <s v="Room_Type 1"/>
    <x v="125"/>
    <d v="2018-10-06T00:00:00"/>
    <x v="1"/>
    <x v="84"/>
    <x v="0"/>
  </r>
  <r>
    <s v="INN00528"/>
    <n v="3"/>
    <n v="0"/>
    <n v="0"/>
    <n v="1"/>
    <s v="Meal Plan 2"/>
    <s v="Room_Type 4"/>
    <x v="168"/>
    <s v="23-07-2018"/>
    <x v="1"/>
    <x v="167"/>
    <x v="1"/>
  </r>
  <r>
    <s v="INN00529"/>
    <n v="2"/>
    <n v="0"/>
    <n v="2"/>
    <n v="1"/>
    <s v="Meal Plan 1"/>
    <s v="Room_Type 4"/>
    <x v="95"/>
    <s v="26-06-2018"/>
    <x v="1"/>
    <x v="280"/>
    <x v="1"/>
  </r>
  <r>
    <s v="INN00530"/>
    <n v="2"/>
    <n v="0"/>
    <n v="2"/>
    <n v="3"/>
    <s v="Meal Plan 1"/>
    <s v="Room_Type 1"/>
    <x v="95"/>
    <d v="2018-04-02T00:00:00"/>
    <x v="1"/>
    <x v="281"/>
    <x v="0"/>
  </r>
  <r>
    <s v="INN00531"/>
    <n v="1"/>
    <n v="0"/>
    <n v="0"/>
    <n v="1"/>
    <s v="Meal Plan 1"/>
    <s v="Room_Type 1"/>
    <x v="157"/>
    <d v="2017-10-09T00:00:00"/>
    <x v="1"/>
    <x v="48"/>
    <x v="0"/>
  </r>
  <r>
    <s v="INN00532"/>
    <n v="2"/>
    <n v="1"/>
    <n v="0"/>
    <n v="3"/>
    <s v="Meal Plan 1"/>
    <s v="Room_Type 1"/>
    <x v="48"/>
    <d v="2018-08-12T00:00:00"/>
    <x v="1"/>
    <x v="282"/>
    <x v="1"/>
  </r>
  <r>
    <s v="INN00533"/>
    <n v="2"/>
    <n v="0"/>
    <n v="0"/>
    <n v="3"/>
    <s v="Meal Plan 1"/>
    <s v="Room_Type 1"/>
    <x v="43"/>
    <s v="17-12-2017"/>
    <x v="0"/>
    <x v="134"/>
    <x v="0"/>
  </r>
  <r>
    <s v="INN00534"/>
    <n v="2"/>
    <n v="0"/>
    <n v="1"/>
    <n v="3"/>
    <s v="Meal Plan 1"/>
    <s v="Room_Type 1"/>
    <x v="10"/>
    <d v="2018-05-12T00:00:00"/>
    <x v="1"/>
    <x v="283"/>
    <x v="0"/>
  </r>
  <r>
    <s v="INN00535"/>
    <n v="2"/>
    <n v="0"/>
    <n v="0"/>
    <n v="2"/>
    <s v="Meal Plan 1"/>
    <s v="Room_Type 4"/>
    <x v="1"/>
    <s v="21-06-2018"/>
    <x v="1"/>
    <x v="115"/>
    <x v="0"/>
  </r>
  <r>
    <s v="INN00536"/>
    <n v="2"/>
    <n v="0"/>
    <n v="1"/>
    <n v="3"/>
    <s v="Meal Plan 1"/>
    <s v="Room_Type 4"/>
    <x v="94"/>
    <s v="24-03-2018"/>
    <x v="1"/>
    <x v="125"/>
    <x v="0"/>
  </r>
  <r>
    <s v="INN00537"/>
    <n v="2"/>
    <n v="1"/>
    <n v="0"/>
    <n v="2"/>
    <s v="Meal Plan 1"/>
    <s v="Room_Type 6"/>
    <x v="198"/>
    <s v="31-08-2018"/>
    <x v="1"/>
    <x v="284"/>
    <x v="1"/>
  </r>
  <r>
    <s v="INN00538"/>
    <n v="2"/>
    <n v="0"/>
    <n v="1"/>
    <n v="3"/>
    <s v="Not Selected"/>
    <s v="Room_Type 1"/>
    <x v="24"/>
    <s v="22-08-2018"/>
    <x v="1"/>
    <x v="285"/>
    <x v="0"/>
  </r>
  <r>
    <s v="INN00539"/>
    <n v="1"/>
    <n v="0"/>
    <n v="0"/>
    <n v="1"/>
    <s v="Meal Plan 1"/>
    <s v="Room_Type 1"/>
    <x v="11"/>
    <d v="2018-10-03T00:00:00"/>
    <x v="1"/>
    <x v="222"/>
    <x v="1"/>
  </r>
  <r>
    <s v="INN00540"/>
    <n v="1"/>
    <n v="0"/>
    <n v="6"/>
    <n v="15"/>
    <s v="Meal Plan 1"/>
    <s v="Room_Type 4"/>
    <x v="17"/>
    <s v="30-03-2018"/>
    <x v="1"/>
    <x v="286"/>
    <x v="1"/>
  </r>
  <r>
    <s v="INN00541"/>
    <n v="1"/>
    <n v="0"/>
    <n v="0"/>
    <n v="1"/>
    <s v="Meal Plan 1"/>
    <s v="Room_Type 1"/>
    <x v="10"/>
    <s v="19-11-2018"/>
    <x v="4"/>
    <x v="49"/>
    <x v="0"/>
  </r>
  <r>
    <s v="INN00542"/>
    <n v="2"/>
    <n v="1"/>
    <n v="0"/>
    <n v="1"/>
    <s v="Meal Plan 1"/>
    <s v="Room_Type 1"/>
    <x v="38"/>
    <d v="2018-07-04T00:00:00"/>
    <x v="1"/>
    <x v="40"/>
    <x v="0"/>
  </r>
  <r>
    <s v="INN00543"/>
    <n v="2"/>
    <n v="0"/>
    <n v="0"/>
    <n v="4"/>
    <s v="Meal Plan 1"/>
    <s v="Room_Type 4"/>
    <x v="14"/>
    <s v="27-09-2018"/>
    <x v="1"/>
    <x v="287"/>
    <x v="1"/>
  </r>
  <r>
    <s v="INN00544"/>
    <n v="2"/>
    <n v="0"/>
    <n v="2"/>
    <n v="3"/>
    <s v="Not Selected"/>
    <s v="Room_Type 1"/>
    <x v="46"/>
    <s v="17-06-2018"/>
    <x v="1"/>
    <x v="288"/>
    <x v="0"/>
  </r>
  <r>
    <s v="INN00545"/>
    <n v="2"/>
    <n v="0"/>
    <n v="0"/>
    <n v="2"/>
    <s v="Meal Plan 1"/>
    <s v="Room_Type 4"/>
    <x v="19"/>
    <d v="2018-10-06T00:00:00"/>
    <x v="1"/>
    <x v="43"/>
    <x v="0"/>
  </r>
  <r>
    <s v="INN00546"/>
    <n v="2"/>
    <n v="0"/>
    <n v="0"/>
    <n v="1"/>
    <s v="Meal Plan 1"/>
    <s v="Room_Type 1"/>
    <x v="52"/>
    <d v="2018-08-06T00:00:00"/>
    <x v="0"/>
    <x v="106"/>
    <x v="0"/>
  </r>
  <r>
    <s v="INN00547"/>
    <n v="2"/>
    <n v="0"/>
    <n v="2"/>
    <n v="2"/>
    <s v="Not Selected"/>
    <s v="Room_Type 1"/>
    <x v="182"/>
    <d v="2018-02-12T00:00:00"/>
    <x v="1"/>
    <x v="76"/>
    <x v="0"/>
  </r>
  <r>
    <s v="INN00548"/>
    <n v="2"/>
    <n v="0"/>
    <n v="0"/>
    <n v="2"/>
    <s v="Meal Plan 2"/>
    <s v="Room_Type 1"/>
    <x v="15"/>
    <s v="15-06-2018"/>
    <x v="1"/>
    <x v="94"/>
    <x v="1"/>
  </r>
  <r>
    <s v="INN00549"/>
    <n v="2"/>
    <n v="1"/>
    <n v="1"/>
    <n v="0"/>
    <s v="Meal Plan 1"/>
    <s v="Room_Type 1"/>
    <x v="199"/>
    <s v="21-08-2018"/>
    <x v="1"/>
    <x v="56"/>
    <x v="0"/>
  </r>
  <r>
    <s v="INN00550"/>
    <n v="2"/>
    <n v="0"/>
    <n v="0"/>
    <n v="4"/>
    <s v="Meal Plan 1"/>
    <s v="Room_Type 1"/>
    <x v="69"/>
    <d v="2017-07-10T00:00:00"/>
    <x v="0"/>
    <x v="138"/>
    <x v="0"/>
  </r>
  <r>
    <s v="INN00551"/>
    <n v="1"/>
    <n v="0"/>
    <n v="0"/>
    <n v="1"/>
    <s v="Meal Plan 1"/>
    <s v="Room_Type 1"/>
    <x v="2"/>
    <s v="29-11-2018"/>
    <x v="0"/>
    <x v="34"/>
    <x v="0"/>
  </r>
  <r>
    <s v="INN00552"/>
    <n v="2"/>
    <n v="0"/>
    <n v="0"/>
    <n v="1"/>
    <s v="Meal Plan 1"/>
    <s v="Room_Type 1"/>
    <x v="56"/>
    <d v="2018-02-01T00:00:00"/>
    <x v="0"/>
    <x v="289"/>
    <x v="0"/>
  </r>
  <r>
    <s v="INN00553"/>
    <n v="2"/>
    <n v="0"/>
    <n v="1"/>
    <n v="2"/>
    <s v="Meal Plan 1"/>
    <s v="Room_Type 1"/>
    <x v="131"/>
    <s v="25-03-2018"/>
    <x v="1"/>
    <x v="3"/>
    <x v="1"/>
  </r>
  <r>
    <s v="INN00554"/>
    <n v="1"/>
    <n v="0"/>
    <n v="0"/>
    <n v="1"/>
    <s v="Meal Plan 1"/>
    <s v="Room_Type 4"/>
    <x v="77"/>
    <s v="23-04-2018"/>
    <x v="4"/>
    <x v="49"/>
    <x v="0"/>
  </r>
  <r>
    <s v="INN00555"/>
    <n v="1"/>
    <n v="2"/>
    <n v="4"/>
    <n v="9"/>
    <s v="Meal Plan 1"/>
    <s v="Room_Type 6"/>
    <x v="12"/>
    <d v="2018-02-11T00:00:00"/>
    <x v="1"/>
    <x v="290"/>
    <x v="1"/>
  </r>
  <r>
    <s v="INN00556"/>
    <n v="2"/>
    <n v="0"/>
    <n v="2"/>
    <n v="0"/>
    <s v="Not Selected"/>
    <s v="Room_Type 1"/>
    <x v="46"/>
    <s v="13-11-2018"/>
    <x v="1"/>
    <x v="37"/>
    <x v="0"/>
  </r>
  <r>
    <s v="INN00557"/>
    <n v="2"/>
    <n v="0"/>
    <n v="1"/>
    <n v="1"/>
    <s v="Meal Plan 1"/>
    <s v="Room_Type 1"/>
    <x v="78"/>
    <s v="19-03-2018"/>
    <x v="1"/>
    <x v="89"/>
    <x v="0"/>
  </r>
  <r>
    <s v="INN00558"/>
    <n v="2"/>
    <n v="0"/>
    <n v="2"/>
    <n v="2"/>
    <s v="Meal Plan 1"/>
    <s v="Room_Type 1"/>
    <x v="23"/>
    <s v="25-09-2017"/>
    <x v="0"/>
    <x v="219"/>
    <x v="0"/>
  </r>
  <r>
    <s v="INN00559"/>
    <n v="2"/>
    <n v="0"/>
    <n v="0"/>
    <n v="2"/>
    <s v="Meal Plan 1"/>
    <s v="Room_Type 1"/>
    <x v="77"/>
    <s v="20-10-2017"/>
    <x v="1"/>
    <x v="97"/>
    <x v="0"/>
  </r>
  <r>
    <s v="INN00560"/>
    <n v="2"/>
    <n v="0"/>
    <n v="2"/>
    <n v="0"/>
    <s v="Meal Plan 2"/>
    <s v="Room_Type 1"/>
    <x v="173"/>
    <s v="23-10-2018"/>
    <x v="1"/>
    <x v="5"/>
    <x v="1"/>
  </r>
  <r>
    <s v="INN00561"/>
    <n v="2"/>
    <n v="0"/>
    <n v="0"/>
    <n v="2"/>
    <s v="Meal Plan 2"/>
    <s v="Room_Type 1"/>
    <x v="101"/>
    <s v="17-07-2017"/>
    <x v="1"/>
    <x v="111"/>
    <x v="1"/>
  </r>
  <r>
    <s v="INN00562"/>
    <n v="2"/>
    <n v="0"/>
    <n v="0"/>
    <n v="1"/>
    <s v="Meal Plan 1"/>
    <s v="Room_Type 1"/>
    <x v="142"/>
    <s v="26-11-2018"/>
    <x v="1"/>
    <x v="36"/>
    <x v="1"/>
  </r>
  <r>
    <s v="INN00563"/>
    <n v="3"/>
    <n v="0"/>
    <n v="2"/>
    <n v="5"/>
    <s v="Meal Plan 1"/>
    <s v="Room_Type 4"/>
    <x v="200"/>
    <d v="2018-03-08T00:00:00"/>
    <x v="1"/>
    <x v="291"/>
    <x v="0"/>
  </r>
  <r>
    <s v="INN00564"/>
    <n v="2"/>
    <n v="0"/>
    <n v="1"/>
    <n v="3"/>
    <s v="Meal Plan 1"/>
    <s v="Room_Type 1"/>
    <x v="201"/>
    <d v="2018-05-09T00:00:00"/>
    <x v="1"/>
    <x v="292"/>
    <x v="1"/>
  </r>
  <r>
    <s v="INN00565"/>
    <n v="1"/>
    <n v="0"/>
    <n v="0"/>
    <n v="2"/>
    <s v="Meal Plan 1"/>
    <s v="Room_Type 1"/>
    <x v="64"/>
    <s v="15-06-2018"/>
    <x v="1"/>
    <x v="65"/>
    <x v="1"/>
  </r>
  <r>
    <s v="INN00566"/>
    <n v="2"/>
    <n v="0"/>
    <n v="0"/>
    <n v="2"/>
    <s v="Meal Plan 2"/>
    <s v="Room_Type 1"/>
    <x v="146"/>
    <s v="16-10-2017"/>
    <x v="0"/>
    <x v="111"/>
    <x v="0"/>
  </r>
  <r>
    <s v="INN00567"/>
    <n v="2"/>
    <n v="0"/>
    <n v="2"/>
    <n v="2"/>
    <s v="Meal Plan 1"/>
    <s v="Room_Type 4"/>
    <x v="153"/>
    <d v="2018-07-10T00:00:00"/>
    <x v="1"/>
    <x v="109"/>
    <x v="1"/>
  </r>
  <r>
    <s v="INN00568"/>
    <n v="1"/>
    <n v="0"/>
    <n v="0"/>
    <n v="1"/>
    <s v="Meal Plan 1"/>
    <s v="Room_Type 1"/>
    <x v="2"/>
    <d v="2018-03-02T00:00:00"/>
    <x v="2"/>
    <x v="293"/>
    <x v="0"/>
  </r>
  <r>
    <s v="INN00569"/>
    <n v="2"/>
    <n v="0"/>
    <n v="2"/>
    <n v="2"/>
    <s v="Meal Plan 1"/>
    <s v="Room_Type 1"/>
    <x v="187"/>
    <d v="2018-03-09T00:00:00"/>
    <x v="1"/>
    <x v="294"/>
    <x v="0"/>
  </r>
  <r>
    <s v="INN00570"/>
    <n v="2"/>
    <n v="0"/>
    <n v="2"/>
    <n v="2"/>
    <s v="Meal Plan 1"/>
    <s v="Room_Type 4"/>
    <x v="167"/>
    <s v="16-09-2018"/>
    <x v="1"/>
    <x v="70"/>
    <x v="0"/>
  </r>
  <r>
    <s v="INN00571"/>
    <n v="1"/>
    <n v="0"/>
    <n v="0"/>
    <n v="2"/>
    <s v="Meal Plan 1"/>
    <s v="Room_Type 1"/>
    <x v="187"/>
    <s v="26-04-2018"/>
    <x v="1"/>
    <x v="295"/>
    <x v="0"/>
  </r>
  <r>
    <s v="INN00572"/>
    <n v="2"/>
    <n v="0"/>
    <n v="0"/>
    <n v="3"/>
    <s v="Meal Plan 1"/>
    <s v="Room_Type 1"/>
    <x v="202"/>
    <d v="2018-03-11T00:00:00"/>
    <x v="1"/>
    <x v="42"/>
    <x v="1"/>
  </r>
  <r>
    <s v="INN00573"/>
    <n v="1"/>
    <n v="0"/>
    <n v="2"/>
    <n v="1"/>
    <s v="Meal Plan 1"/>
    <s v="Room_Type 1"/>
    <x v="2"/>
    <d v="2018-09-04T00:00:00"/>
    <x v="1"/>
    <x v="5"/>
    <x v="0"/>
  </r>
  <r>
    <s v="INN00574"/>
    <n v="1"/>
    <n v="0"/>
    <n v="0"/>
    <n v="1"/>
    <s v="Meal Plan 1"/>
    <s v="Room_Type 1"/>
    <x v="42"/>
    <s v="16-03-2018"/>
    <x v="2"/>
    <x v="27"/>
    <x v="0"/>
  </r>
  <r>
    <s v="INN00575"/>
    <n v="2"/>
    <n v="0"/>
    <n v="0"/>
    <n v="2"/>
    <s v="Meal Plan 1"/>
    <s v="Room_Type 4"/>
    <x v="66"/>
    <s v="20-04-2018"/>
    <x v="1"/>
    <x v="73"/>
    <x v="0"/>
  </r>
  <r>
    <s v="INN00576"/>
    <n v="2"/>
    <n v="0"/>
    <n v="2"/>
    <n v="1"/>
    <s v="Meal Plan 1"/>
    <s v="Room_Type 4"/>
    <x v="61"/>
    <s v="30-07-2018"/>
    <x v="1"/>
    <x v="296"/>
    <x v="0"/>
  </r>
  <r>
    <s v="INN00577"/>
    <n v="2"/>
    <n v="0"/>
    <n v="0"/>
    <n v="1"/>
    <s v="Not Selected"/>
    <s v="Room_Type 1"/>
    <x v="171"/>
    <s v="19-10-2018"/>
    <x v="1"/>
    <x v="123"/>
    <x v="1"/>
  </r>
  <r>
    <s v="INN00578"/>
    <n v="2"/>
    <n v="0"/>
    <n v="0"/>
    <n v="3"/>
    <s v="Meal Plan 1"/>
    <s v="Room_Type 4"/>
    <x v="4"/>
    <d v="2018-11-10T00:00:00"/>
    <x v="1"/>
    <x v="109"/>
    <x v="0"/>
  </r>
  <r>
    <s v="INN00579"/>
    <n v="2"/>
    <n v="0"/>
    <n v="0"/>
    <n v="3"/>
    <s v="Meal Plan 1"/>
    <s v="Room_Type 5"/>
    <x v="32"/>
    <s v="13-09-2018"/>
    <x v="1"/>
    <x v="297"/>
    <x v="1"/>
  </r>
  <r>
    <s v="INN00580"/>
    <n v="2"/>
    <n v="0"/>
    <n v="1"/>
    <n v="4"/>
    <s v="Meal Plan 1"/>
    <s v="Room_Type 1"/>
    <x v="86"/>
    <s v="30-12-2017"/>
    <x v="0"/>
    <x v="16"/>
    <x v="0"/>
  </r>
  <r>
    <s v="INN00581"/>
    <n v="2"/>
    <n v="0"/>
    <n v="1"/>
    <n v="1"/>
    <s v="Not Selected"/>
    <s v="Room_Type 1"/>
    <x v="89"/>
    <d v="2018-03-10T00:00:00"/>
    <x v="1"/>
    <x v="98"/>
    <x v="1"/>
  </r>
  <r>
    <s v="INN00582"/>
    <n v="2"/>
    <n v="0"/>
    <n v="2"/>
    <n v="5"/>
    <s v="Meal Plan 1"/>
    <s v="Room_Type 1"/>
    <x v="86"/>
    <s v="25-06-2018"/>
    <x v="1"/>
    <x v="298"/>
    <x v="1"/>
  </r>
  <r>
    <s v="INN00583"/>
    <n v="2"/>
    <n v="0"/>
    <n v="1"/>
    <n v="3"/>
    <s v="Meal Plan 1"/>
    <s v="Room_Type 1"/>
    <x v="203"/>
    <s v="22-08-2018"/>
    <x v="0"/>
    <x v="100"/>
    <x v="0"/>
  </r>
  <r>
    <s v="INN00584"/>
    <n v="1"/>
    <n v="0"/>
    <n v="0"/>
    <n v="2"/>
    <s v="Meal Plan 2"/>
    <s v="Room_Type 1"/>
    <x v="204"/>
    <d v="2017-01-07T00:00:00"/>
    <x v="0"/>
    <x v="53"/>
    <x v="0"/>
  </r>
  <r>
    <s v="INN00585"/>
    <n v="2"/>
    <n v="0"/>
    <n v="2"/>
    <n v="5"/>
    <s v="Meal Plan 1"/>
    <s v="Room_Type 1"/>
    <x v="82"/>
    <d v="2018-11-06T00:00:00"/>
    <x v="1"/>
    <x v="237"/>
    <x v="0"/>
  </r>
  <r>
    <s v="INN00586"/>
    <n v="1"/>
    <n v="0"/>
    <n v="1"/>
    <n v="2"/>
    <s v="Meal Plan 1"/>
    <s v="Room_Type 1"/>
    <x v="102"/>
    <d v="2017-02-11T00:00:00"/>
    <x v="1"/>
    <x v="193"/>
    <x v="0"/>
  </r>
  <r>
    <s v="INN00587"/>
    <n v="2"/>
    <n v="0"/>
    <n v="2"/>
    <n v="2"/>
    <s v="Meal Plan 2"/>
    <s v="Room_Type 4"/>
    <x v="163"/>
    <d v="2017-06-09T00:00:00"/>
    <x v="4"/>
    <x v="299"/>
    <x v="0"/>
  </r>
  <r>
    <s v="INN00588"/>
    <n v="2"/>
    <n v="0"/>
    <n v="2"/>
    <n v="2"/>
    <s v="Meal Plan 1"/>
    <s v="Room_Type 1"/>
    <x v="160"/>
    <d v="2018-02-09T00:00:00"/>
    <x v="1"/>
    <x v="129"/>
    <x v="0"/>
  </r>
  <r>
    <s v="INN00589"/>
    <n v="2"/>
    <n v="0"/>
    <n v="0"/>
    <n v="2"/>
    <s v="Meal Plan 1"/>
    <s v="Room_Type 1"/>
    <x v="140"/>
    <s v="30-12-2018"/>
    <x v="0"/>
    <x v="300"/>
    <x v="0"/>
  </r>
  <r>
    <s v="INN00590"/>
    <n v="3"/>
    <n v="0"/>
    <n v="0"/>
    <n v="1"/>
    <s v="Meal Plan 1"/>
    <s v="Room_Type 1"/>
    <x v="53"/>
    <s v="21-05-2018"/>
    <x v="1"/>
    <x v="301"/>
    <x v="0"/>
  </r>
  <r>
    <s v="INN00591"/>
    <n v="2"/>
    <n v="0"/>
    <n v="0"/>
    <n v="1"/>
    <s v="Not Selected"/>
    <s v="Room_Type 1"/>
    <x v="185"/>
    <d v="2018-12-05T00:00:00"/>
    <x v="1"/>
    <x v="302"/>
    <x v="0"/>
  </r>
  <r>
    <s v="INN00592"/>
    <n v="2"/>
    <n v="0"/>
    <n v="0"/>
    <n v="3"/>
    <s v="Meal Plan 1"/>
    <s v="Room_Type 1"/>
    <x v="190"/>
    <d v="2018-08-12T00:00:00"/>
    <x v="0"/>
    <x v="303"/>
    <x v="0"/>
  </r>
  <r>
    <s v="INN00593"/>
    <n v="2"/>
    <n v="0"/>
    <n v="0"/>
    <n v="4"/>
    <s v="Meal Plan 1"/>
    <s v="Room_Type 1"/>
    <x v="102"/>
    <d v="2018-06-01T00:00:00"/>
    <x v="1"/>
    <x v="42"/>
    <x v="0"/>
  </r>
  <r>
    <s v="INN00594"/>
    <n v="2"/>
    <n v="0"/>
    <n v="2"/>
    <n v="5"/>
    <s v="Meal Plan 1"/>
    <s v="Room_Type 4"/>
    <x v="59"/>
    <s v="28-08-2018"/>
    <x v="1"/>
    <x v="304"/>
    <x v="0"/>
  </r>
  <r>
    <s v="INN00595"/>
    <n v="1"/>
    <n v="0"/>
    <n v="2"/>
    <n v="1"/>
    <s v="Meal Plan 1"/>
    <s v="Room_Type 1"/>
    <x v="33"/>
    <s v="13-03-2018"/>
    <x v="2"/>
    <x v="305"/>
    <x v="0"/>
  </r>
  <r>
    <s v="INN00596"/>
    <n v="3"/>
    <n v="0"/>
    <n v="1"/>
    <n v="4"/>
    <s v="Meal Plan 1"/>
    <s v="Room_Type 4"/>
    <x v="156"/>
    <s v="15-06-2018"/>
    <x v="1"/>
    <x v="216"/>
    <x v="0"/>
  </r>
  <r>
    <s v="INN00597"/>
    <n v="2"/>
    <n v="0"/>
    <n v="0"/>
    <n v="2"/>
    <s v="Meal Plan 1"/>
    <s v="Room_Type 1"/>
    <x v="96"/>
    <s v="17-06-2018"/>
    <x v="1"/>
    <x v="34"/>
    <x v="1"/>
  </r>
  <r>
    <s v="INN00598"/>
    <n v="2"/>
    <n v="0"/>
    <n v="0"/>
    <n v="3"/>
    <s v="Meal Plan 1"/>
    <s v="Room_Type 4"/>
    <x v="95"/>
    <s v="29-06-2018"/>
    <x v="1"/>
    <x v="306"/>
    <x v="0"/>
  </r>
  <r>
    <s v="INN00599"/>
    <n v="2"/>
    <n v="0"/>
    <n v="3"/>
    <n v="7"/>
    <s v="Meal Plan 1"/>
    <s v="Room_Type 1"/>
    <x v="53"/>
    <s v="27-07-2017"/>
    <x v="1"/>
    <x v="307"/>
    <x v="0"/>
  </r>
  <r>
    <s v="INN00600"/>
    <n v="2"/>
    <n v="0"/>
    <n v="1"/>
    <n v="2"/>
    <s v="Meal Plan 1"/>
    <s v="Room_Type 1"/>
    <x v="88"/>
    <s v="20-06-2018"/>
    <x v="1"/>
    <x v="108"/>
    <x v="1"/>
  </r>
  <r>
    <s v="INN00601"/>
    <n v="2"/>
    <n v="0"/>
    <n v="0"/>
    <n v="2"/>
    <s v="Not Selected"/>
    <s v="Room_Type 1"/>
    <x v="41"/>
    <s v="26-02-2018"/>
    <x v="1"/>
    <x v="230"/>
    <x v="1"/>
  </r>
  <r>
    <s v="INN00602"/>
    <n v="2"/>
    <n v="0"/>
    <n v="2"/>
    <n v="3"/>
    <s v="Meal Plan 1"/>
    <s v="Room_Type 1"/>
    <x v="15"/>
    <s v="23-10-2018"/>
    <x v="1"/>
    <x v="175"/>
    <x v="1"/>
  </r>
  <r>
    <s v="INN00603"/>
    <n v="2"/>
    <n v="0"/>
    <n v="0"/>
    <n v="2"/>
    <s v="Meal Plan 2"/>
    <s v="Room_Type 1"/>
    <x v="205"/>
    <s v="24-06-2018"/>
    <x v="1"/>
    <x v="111"/>
    <x v="1"/>
  </r>
  <r>
    <s v="INN00604"/>
    <n v="2"/>
    <n v="0"/>
    <n v="2"/>
    <n v="3"/>
    <s v="Meal Plan 1"/>
    <s v="Room_Type 4"/>
    <x v="31"/>
    <s v="15-04-2018"/>
    <x v="1"/>
    <x v="195"/>
    <x v="0"/>
  </r>
  <r>
    <s v="INN00605"/>
    <n v="1"/>
    <n v="0"/>
    <n v="0"/>
    <n v="1"/>
    <s v="Meal Plan 1"/>
    <s v="Room_Type 1"/>
    <x v="10"/>
    <d v="2017-01-10T00:00:00"/>
    <x v="2"/>
    <x v="111"/>
    <x v="0"/>
  </r>
  <r>
    <s v="INN00606"/>
    <n v="1"/>
    <n v="0"/>
    <n v="0"/>
    <n v="2"/>
    <s v="Meal Plan 1"/>
    <s v="Room_Type 1"/>
    <x v="177"/>
    <s v="14-09-2018"/>
    <x v="2"/>
    <x v="0"/>
    <x v="0"/>
  </r>
  <r>
    <s v="INN00607"/>
    <n v="2"/>
    <n v="0"/>
    <n v="1"/>
    <n v="3"/>
    <s v="Meal Plan 1"/>
    <s v="Room_Type 1"/>
    <x v="122"/>
    <s v="28-04-2018"/>
    <x v="0"/>
    <x v="13"/>
    <x v="0"/>
  </r>
  <r>
    <s v="INN00608"/>
    <n v="2"/>
    <n v="0"/>
    <n v="0"/>
    <n v="3"/>
    <s v="Meal Plan 1"/>
    <s v="Room_Type 1"/>
    <x v="68"/>
    <s v="14-07-2018"/>
    <x v="0"/>
    <x v="17"/>
    <x v="0"/>
  </r>
  <r>
    <s v="INN00609"/>
    <n v="2"/>
    <n v="0"/>
    <n v="0"/>
    <n v="4"/>
    <s v="Meal Plan 1"/>
    <s v="Room_Type 1"/>
    <x v="139"/>
    <s v="28-12-2018"/>
    <x v="1"/>
    <x v="308"/>
    <x v="0"/>
  </r>
  <r>
    <s v="INN00610"/>
    <n v="2"/>
    <n v="0"/>
    <n v="1"/>
    <n v="3"/>
    <s v="Meal Plan 1"/>
    <s v="Room_Type 1"/>
    <x v="65"/>
    <d v="2018-08-12T00:00:00"/>
    <x v="1"/>
    <x v="309"/>
    <x v="0"/>
  </r>
  <r>
    <s v="INN00611"/>
    <n v="2"/>
    <n v="0"/>
    <n v="2"/>
    <n v="5"/>
    <s v="Meal Plan 1"/>
    <s v="Room_Type 1"/>
    <x v="143"/>
    <s v="27-07-2018"/>
    <x v="1"/>
    <x v="125"/>
    <x v="1"/>
  </r>
  <r>
    <s v="INN00612"/>
    <n v="2"/>
    <n v="0"/>
    <n v="0"/>
    <n v="1"/>
    <s v="Meal Plan 1"/>
    <s v="Room_Type 1"/>
    <x v="10"/>
    <s v="27-09-2018"/>
    <x v="2"/>
    <x v="274"/>
    <x v="0"/>
  </r>
  <r>
    <s v="INN00613"/>
    <n v="2"/>
    <n v="0"/>
    <n v="2"/>
    <n v="1"/>
    <s v="Meal Plan 1"/>
    <s v="Room_Type 1"/>
    <x v="20"/>
    <d v="2018-02-10T00:00:00"/>
    <x v="1"/>
    <x v="126"/>
    <x v="0"/>
  </r>
  <r>
    <s v="INN00614"/>
    <n v="3"/>
    <n v="0"/>
    <n v="1"/>
    <n v="2"/>
    <s v="Meal Plan 1"/>
    <s v="Room_Type 1"/>
    <x v="206"/>
    <d v="2018-01-08T00:00:00"/>
    <x v="0"/>
    <x v="8"/>
    <x v="0"/>
  </r>
  <r>
    <s v="INN00615"/>
    <n v="2"/>
    <n v="2"/>
    <n v="2"/>
    <n v="4"/>
    <s v="Meal Plan 1"/>
    <s v="Room_Type 2"/>
    <x v="142"/>
    <s v="17-10-2017"/>
    <x v="1"/>
    <x v="48"/>
    <x v="0"/>
  </r>
  <r>
    <s v="INN00616"/>
    <n v="2"/>
    <n v="0"/>
    <n v="2"/>
    <n v="1"/>
    <s v="Meal Plan 1"/>
    <s v="Room_Type 1"/>
    <x v="36"/>
    <d v="2017-05-09T00:00:00"/>
    <x v="1"/>
    <x v="4"/>
    <x v="0"/>
  </r>
  <r>
    <s v="INN00617"/>
    <n v="1"/>
    <n v="0"/>
    <n v="1"/>
    <n v="1"/>
    <s v="Meal Plan 1"/>
    <s v="Room_Type 1"/>
    <x v="24"/>
    <d v="2017-07-09T00:00:00"/>
    <x v="0"/>
    <x v="310"/>
    <x v="0"/>
  </r>
  <r>
    <s v="INN00618"/>
    <n v="2"/>
    <n v="0"/>
    <n v="2"/>
    <n v="1"/>
    <s v="Not Selected"/>
    <s v="Room_Type 1"/>
    <x v="150"/>
    <d v="2018-10-07T00:00:00"/>
    <x v="1"/>
    <x v="311"/>
    <x v="0"/>
  </r>
  <r>
    <s v="INN00619"/>
    <n v="2"/>
    <n v="0"/>
    <n v="1"/>
    <n v="0"/>
    <s v="Meal Plan 2"/>
    <s v="Room_Type 7"/>
    <x v="77"/>
    <s v="19-06-2018"/>
    <x v="4"/>
    <x v="49"/>
    <x v="0"/>
  </r>
  <r>
    <s v="INN00620"/>
    <n v="2"/>
    <n v="0"/>
    <n v="2"/>
    <n v="1"/>
    <s v="Meal Plan 1"/>
    <s v="Room_Type 1"/>
    <x v="25"/>
    <s v="29-05-2018"/>
    <x v="1"/>
    <x v="110"/>
    <x v="1"/>
  </r>
  <r>
    <s v="INN00621"/>
    <n v="2"/>
    <n v="0"/>
    <n v="0"/>
    <n v="1"/>
    <s v="Meal Plan 2"/>
    <s v="Room_Type 1"/>
    <x v="34"/>
    <d v="2018-06-04T00:00:00"/>
    <x v="0"/>
    <x v="36"/>
    <x v="0"/>
  </r>
  <r>
    <s v="INN00622"/>
    <n v="2"/>
    <n v="0"/>
    <n v="1"/>
    <n v="2"/>
    <s v="Meal Plan 1"/>
    <s v="Room_Type 1"/>
    <x v="156"/>
    <s v="29-04-2018"/>
    <x v="0"/>
    <x v="312"/>
    <x v="0"/>
  </r>
  <r>
    <s v="INN00623"/>
    <n v="2"/>
    <n v="2"/>
    <n v="0"/>
    <n v="2"/>
    <s v="Meal Plan 1"/>
    <s v="Room_Type 6"/>
    <x v="10"/>
    <s v="25-08-2017"/>
    <x v="1"/>
    <x v="115"/>
    <x v="0"/>
  </r>
  <r>
    <s v="INN00624"/>
    <n v="2"/>
    <n v="0"/>
    <n v="1"/>
    <n v="1"/>
    <s v="Meal Plan 1"/>
    <s v="Room_Type 4"/>
    <x v="2"/>
    <d v="2018-11-06T00:00:00"/>
    <x v="1"/>
    <x v="43"/>
    <x v="0"/>
  </r>
  <r>
    <s v="INN00625"/>
    <n v="2"/>
    <n v="0"/>
    <n v="0"/>
    <n v="2"/>
    <s v="Meal Plan 1"/>
    <s v="Room_Type 1"/>
    <x v="178"/>
    <d v="2018-02-12T00:00:00"/>
    <x v="2"/>
    <x v="17"/>
    <x v="0"/>
  </r>
  <r>
    <s v="INN00626"/>
    <n v="2"/>
    <n v="0"/>
    <n v="0"/>
    <n v="4"/>
    <s v="Meal Plan 1"/>
    <s v="Room_Type 4"/>
    <x v="33"/>
    <s v="14-10-2017"/>
    <x v="1"/>
    <x v="313"/>
    <x v="0"/>
  </r>
  <r>
    <s v="INN00627"/>
    <n v="2"/>
    <n v="0"/>
    <n v="0"/>
    <n v="2"/>
    <s v="Meal Plan 1"/>
    <s v="Room_Type 1"/>
    <x v="48"/>
    <d v="2017-09-09T00:00:00"/>
    <x v="2"/>
    <x v="3"/>
    <x v="0"/>
  </r>
  <r>
    <s v="INN00628"/>
    <n v="2"/>
    <n v="0"/>
    <n v="2"/>
    <n v="2"/>
    <s v="Meal Plan 1"/>
    <s v="Room_Type 1"/>
    <x v="154"/>
    <d v="2018-01-10T00:00:00"/>
    <x v="1"/>
    <x v="314"/>
    <x v="1"/>
  </r>
  <r>
    <s v="INN00629"/>
    <n v="2"/>
    <n v="0"/>
    <n v="0"/>
    <n v="3"/>
    <s v="Not Selected"/>
    <s v="Room_Type 1"/>
    <x v="6"/>
    <s v="14-06-2018"/>
    <x v="1"/>
    <x v="107"/>
    <x v="0"/>
  </r>
  <r>
    <s v="INN00630"/>
    <n v="2"/>
    <n v="0"/>
    <n v="1"/>
    <n v="2"/>
    <s v="Meal Plan 1"/>
    <s v="Room_Type 1"/>
    <x v="207"/>
    <d v="2018-04-04T00:00:00"/>
    <x v="1"/>
    <x v="53"/>
    <x v="1"/>
  </r>
  <r>
    <s v="INN00631"/>
    <n v="2"/>
    <n v="0"/>
    <n v="0"/>
    <n v="3"/>
    <s v="Meal Plan 1"/>
    <s v="Room_Type 1"/>
    <x v="208"/>
    <d v="2018-05-05T00:00:00"/>
    <x v="1"/>
    <x v="13"/>
    <x v="1"/>
  </r>
  <r>
    <s v="INN00632"/>
    <n v="2"/>
    <n v="0"/>
    <n v="0"/>
    <n v="2"/>
    <s v="Meal Plan 1"/>
    <s v="Room_Type 1"/>
    <x v="18"/>
    <d v="2018-12-05T00:00:00"/>
    <x v="1"/>
    <x v="68"/>
    <x v="0"/>
  </r>
  <r>
    <s v="INN00633"/>
    <n v="2"/>
    <n v="0"/>
    <n v="0"/>
    <n v="1"/>
    <s v="Not Selected"/>
    <s v="Room_Type 1"/>
    <x v="2"/>
    <d v="2018-11-02T00:00:00"/>
    <x v="1"/>
    <x v="53"/>
    <x v="0"/>
  </r>
  <r>
    <s v="INN00634"/>
    <n v="2"/>
    <n v="0"/>
    <n v="0"/>
    <n v="2"/>
    <s v="Meal Plan 1"/>
    <s v="Room_Type 4"/>
    <x v="25"/>
    <s v="25-08-2018"/>
    <x v="1"/>
    <x v="272"/>
    <x v="0"/>
  </r>
  <r>
    <s v="INN00635"/>
    <n v="2"/>
    <n v="0"/>
    <n v="0"/>
    <n v="3"/>
    <s v="Meal Plan 1"/>
    <s v="Room_Type 4"/>
    <x v="11"/>
    <d v="2018-05-04T00:00:00"/>
    <x v="1"/>
    <x v="315"/>
    <x v="0"/>
  </r>
  <r>
    <s v="INN00636"/>
    <n v="1"/>
    <n v="0"/>
    <n v="0"/>
    <n v="2"/>
    <s v="Meal Plan 1"/>
    <s v="Room_Type 1"/>
    <x v="50"/>
    <s v="24-06-2018"/>
    <x v="0"/>
    <x v="48"/>
    <x v="0"/>
  </r>
  <r>
    <s v="INN00637"/>
    <n v="2"/>
    <n v="0"/>
    <n v="0"/>
    <n v="2"/>
    <s v="Meal Plan 1"/>
    <s v="Room_Type 1"/>
    <x v="102"/>
    <d v="2018-01-04T00:00:00"/>
    <x v="1"/>
    <x v="103"/>
    <x v="1"/>
  </r>
  <r>
    <s v="INN00638"/>
    <n v="2"/>
    <n v="0"/>
    <n v="1"/>
    <n v="3"/>
    <s v="Meal Plan 1"/>
    <s v="Room_Type 1"/>
    <x v="88"/>
    <d v="2018-06-10T00:00:00"/>
    <x v="0"/>
    <x v="17"/>
    <x v="0"/>
  </r>
  <r>
    <s v="INN00639"/>
    <n v="3"/>
    <n v="0"/>
    <n v="0"/>
    <n v="4"/>
    <s v="Meal Plan 1"/>
    <s v="Room_Type 4"/>
    <x v="199"/>
    <s v="24-08-2018"/>
    <x v="1"/>
    <x v="316"/>
    <x v="1"/>
  </r>
  <r>
    <s v="INN00640"/>
    <n v="2"/>
    <n v="0"/>
    <n v="0"/>
    <n v="2"/>
    <s v="Meal Plan 2"/>
    <s v="Room_Type 1"/>
    <x v="53"/>
    <s v="18-09-2017"/>
    <x v="0"/>
    <x v="166"/>
    <x v="0"/>
  </r>
  <r>
    <s v="INN00641"/>
    <n v="1"/>
    <n v="0"/>
    <n v="2"/>
    <n v="1"/>
    <s v="Meal Plan 1"/>
    <s v="Room_Type 1"/>
    <x v="80"/>
    <s v="28-02-2018"/>
    <x v="0"/>
    <x v="22"/>
    <x v="0"/>
  </r>
  <r>
    <s v="INN00642"/>
    <n v="2"/>
    <n v="0"/>
    <n v="2"/>
    <n v="2"/>
    <s v="Meal Plan 1"/>
    <s v="Room_Type 1"/>
    <x v="6"/>
    <s v="13-09-2017"/>
    <x v="1"/>
    <x v="4"/>
    <x v="0"/>
  </r>
  <r>
    <s v="INN00643"/>
    <n v="2"/>
    <n v="0"/>
    <n v="2"/>
    <n v="1"/>
    <s v="Meal Plan 1"/>
    <s v="Room_Type 1"/>
    <x v="23"/>
    <s v="28-08-2018"/>
    <x v="1"/>
    <x v="192"/>
    <x v="1"/>
  </r>
  <r>
    <s v="INN00644"/>
    <n v="2"/>
    <n v="0"/>
    <n v="2"/>
    <n v="4"/>
    <s v="Meal Plan 1"/>
    <s v="Room_Type 1"/>
    <x v="209"/>
    <d v="2018-10-07T00:00:00"/>
    <x v="1"/>
    <x v="100"/>
    <x v="1"/>
  </r>
  <r>
    <s v="INN00645"/>
    <n v="2"/>
    <n v="0"/>
    <n v="2"/>
    <n v="2"/>
    <s v="Not Selected"/>
    <s v="Room_Type 1"/>
    <x v="17"/>
    <d v="2018-06-02T00:00:00"/>
    <x v="1"/>
    <x v="317"/>
    <x v="0"/>
  </r>
  <r>
    <s v="INN00646"/>
    <n v="3"/>
    <n v="0"/>
    <n v="1"/>
    <n v="1"/>
    <s v="Meal Plan 1"/>
    <s v="Room_Type 4"/>
    <x v="162"/>
    <s v="17-10-2018"/>
    <x v="1"/>
    <x v="318"/>
    <x v="1"/>
  </r>
  <r>
    <s v="INN00647"/>
    <n v="2"/>
    <n v="0"/>
    <n v="1"/>
    <n v="4"/>
    <s v="Meal Plan 1"/>
    <s v="Room_Type 4"/>
    <x v="206"/>
    <s v="30-03-2018"/>
    <x v="0"/>
    <x v="319"/>
    <x v="0"/>
  </r>
  <r>
    <s v="INN00648"/>
    <n v="2"/>
    <n v="0"/>
    <n v="0"/>
    <n v="3"/>
    <s v="Meal Plan 1"/>
    <s v="Room_Type 1"/>
    <x v="20"/>
    <s v="13-10-2018"/>
    <x v="0"/>
    <x v="18"/>
    <x v="0"/>
  </r>
  <r>
    <s v="INN00649"/>
    <n v="2"/>
    <n v="0"/>
    <n v="0"/>
    <n v="3"/>
    <s v="Meal Plan 1"/>
    <s v="Room_Type 4"/>
    <x v="37"/>
    <s v="29-12-2018"/>
    <x v="1"/>
    <x v="320"/>
    <x v="1"/>
  </r>
  <r>
    <s v="INN00650"/>
    <n v="1"/>
    <n v="0"/>
    <n v="2"/>
    <n v="3"/>
    <s v="Meal Plan 1"/>
    <s v="Room_Type 1"/>
    <x v="157"/>
    <d v="2018-08-01T00:00:00"/>
    <x v="0"/>
    <x v="321"/>
    <x v="0"/>
  </r>
  <r>
    <s v="INN00651"/>
    <n v="2"/>
    <n v="0"/>
    <n v="0"/>
    <n v="1"/>
    <s v="Not Selected"/>
    <s v="Room_Type 1"/>
    <x v="38"/>
    <s v="26-10-2018"/>
    <x v="1"/>
    <x v="106"/>
    <x v="0"/>
  </r>
  <r>
    <s v="INN00652"/>
    <n v="2"/>
    <n v="0"/>
    <n v="1"/>
    <n v="2"/>
    <s v="Meal Plan 1"/>
    <s v="Room_Type 1"/>
    <x v="131"/>
    <s v="25-03-2018"/>
    <x v="1"/>
    <x v="3"/>
    <x v="1"/>
  </r>
  <r>
    <s v="INN00653"/>
    <n v="2"/>
    <n v="0"/>
    <n v="0"/>
    <n v="1"/>
    <s v="Not Selected"/>
    <s v="Room_Type 1"/>
    <x v="10"/>
    <d v="2018-07-06T00:00:00"/>
    <x v="1"/>
    <x v="111"/>
    <x v="0"/>
  </r>
  <r>
    <s v="INN00654"/>
    <n v="0"/>
    <n v="2"/>
    <n v="1"/>
    <n v="2"/>
    <s v="Meal Plan 1"/>
    <s v="Room_Type 2"/>
    <x v="131"/>
    <s v="19-08-2018"/>
    <x v="1"/>
    <x v="322"/>
    <x v="0"/>
  </r>
  <r>
    <s v="INN00655"/>
    <n v="2"/>
    <n v="0"/>
    <n v="1"/>
    <n v="2"/>
    <s v="Meal Plan 1"/>
    <s v="Room_Type 1"/>
    <x v="104"/>
    <s v="16-09-2018"/>
    <x v="0"/>
    <x v="34"/>
    <x v="0"/>
  </r>
  <r>
    <s v="INN00656"/>
    <n v="2"/>
    <n v="0"/>
    <n v="0"/>
    <n v="2"/>
    <s v="Meal Plan 2"/>
    <s v="Room_Type 5"/>
    <x v="20"/>
    <s v="17-06-2018"/>
    <x v="0"/>
    <x v="323"/>
    <x v="0"/>
  </r>
  <r>
    <s v="INN00657"/>
    <n v="2"/>
    <n v="0"/>
    <n v="2"/>
    <n v="1"/>
    <s v="Meal Plan 1"/>
    <s v="Room_Type 4"/>
    <x v="77"/>
    <s v="29-05-2018"/>
    <x v="1"/>
    <x v="324"/>
    <x v="0"/>
  </r>
  <r>
    <s v="INN00658"/>
    <n v="4"/>
    <n v="0"/>
    <n v="0"/>
    <n v="2"/>
    <s v="Meal Plan 1"/>
    <s v="Room_Type 7"/>
    <x v="36"/>
    <s v="17-08-2018"/>
    <x v="1"/>
    <x v="325"/>
    <x v="0"/>
  </r>
  <r>
    <s v="INN00659"/>
    <n v="2"/>
    <n v="0"/>
    <n v="1"/>
    <n v="2"/>
    <s v="Meal Plan 1"/>
    <s v="Room_Type 1"/>
    <x v="4"/>
    <s v="31-10-2018"/>
    <x v="0"/>
    <x v="34"/>
    <x v="0"/>
  </r>
  <r>
    <s v="INN00660"/>
    <n v="2"/>
    <n v="0"/>
    <n v="1"/>
    <n v="2"/>
    <s v="Meal Plan 1"/>
    <s v="Room_Type 1"/>
    <x v="167"/>
    <s v="23-11-2017"/>
    <x v="1"/>
    <x v="100"/>
    <x v="0"/>
  </r>
  <r>
    <s v="INN00661"/>
    <n v="1"/>
    <n v="0"/>
    <n v="1"/>
    <n v="0"/>
    <s v="Meal Plan 1"/>
    <s v="Room_Type 1"/>
    <x v="10"/>
    <d v="2018-07-03T00:00:00"/>
    <x v="2"/>
    <x v="53"/>
    <x v="0"/>
  </r>
  <r>
    <s v="INN00662"/>
    <n v="2"/>
    <n v="0"/>
    <n v="0"/>
    <n v="1"/>
    <s v="Meal Plan 1"/>
    <s v="Room_Type 1"/>
    <x v="118"/>
    <s v="20-09-2018"/>
    <x v="1"/>
    <x v="326"/>
    <x v="0"/>
  </r>
  <r>
    <s v="INN00663"/>
    <n v="1"/>
    <n v="0"/>
    <n v="0"/>
    <n v="1"/>
    <s v="Meal Plan 1"/>
    <s v="Room_Type 1"/>
    <x v="78"/>
    <s v="28-01-2018"/>
    <x v="2"/>
    <x v="293"/>
    <x v="0"/>
  </r>
  <r>
    <s v="INN00664"/>
    <n v="1"/>
    <n v="0"/>
    <n v="0"/>
    <n v="3"/>
    <s v="Meal Plan 1"/>
    <s v="Room_Type 1"/>
    <x v="145"/>
    <s v="31-05-2018"/>
    <x v="1"/>
    <x v="327"/>
    <x v="0"/>
  </r>
  <r>
    <s v="INN00665"/>
    <n v="2"/>
    <n v="1"/>
    <n v="1"/>
    <n v="1"/>
    <s v="Meal Plan 1"/>
    <s v="Room_Type 1"/>
    <x v="95"/>
    <d v="2018-08-08T00:00:00"/>
    <x v="1"/>
    <x v="328"/>
    <x v="0"/>
  </r>
  <r>
    <s v="INN00666"/>
    <n v="2"/>
    <n v="0"/>
    <n v="2"/>
    <n v="0"/>
    <s v="Meal Plan 2"/>
    <s v="Room_Type 1"/>
    <x v="173"/>
    <s v="23-10-2018"/>
    <x v="1"/>
    <x v="5"/>
    <x v="1"/>
  </r>
  <r>
    <s v="INN00667"/>
    <n v="1"/>
    <n v="0"/>
    <n v="0"/>
    <n v="1"/>
    <s v="Meal Plan 2"/>
    <s v="Room_Type 1"/>
    <x v="26"/>
    <s v="18-09-2017"/>
    <x v="0"/>
    <x v="329"/>
    <x v="0"/>
  </r>
  <r>
    <s v="INN00668"/>
    <n v="2"/>
    <n v="0"/>
    <n v="2"/>
    <n v="1"/>
    <s v="Not Selected"/>
    <s v="Room_Type 1"/>
    <x v="78"/>
    <s v="16-10-2018"/>
    <x v="1"/>
    <x v="330"/>
    <x v="0"/>
  </r>
  <r>
    <s v="INN00669"/>
    <n v="2"/>
    <n v="0"/>
    <n v="0"/>
    <n v="3"/>
    <s v="Meal Plan 1"/>
    <s v="Room_Type 1"/>
    <x v="20"/>
    <s v="13-10-2018"/>
    <x v="0"/>
    <x v="18"/>
    <x v="0"/>
  </r>
  <r>
    <s v="INN00670"/>
    <n v="2"/>
    <n v="0"/>
    <n v="2"/>
    <n v="3"/>
    <s v="Meal Plan 1"/>
    <s v="Room_Type 1"/>
    <x v="210"/>
    <d v="2018-08-04T00:00:00"/>
    <x v="0"/>
    <x v="127"/>
    <x v="0"/>
  </r>
  <r>
    <s v="INN00671"/>
    <n v="1"/>
    <n v="0"/>
    <n v="0"/>
    <n v="2"/>
    <s v="Meal Plan 2"/>
    <s v="Room_Type 1"/>
    <x v="205"/>
    <s v="24-06-2018"/>
    <x v="0"/>
    <x v="13"/>
    <x v="0"/>
  </r>
  <r>
    <s v="INN00672"/>
    <n v="2"/>
    <n v="0"/>
    <n v="1"/>
    <n v="1"/>
    <s v="Not Selected"/>
    <s v="Room_Type 1"/>
    <x v="137"/>
    <d v="2018-09-07T00:00:00"/>
    <x v="1"/>
    <x v="68"/>
    <x v="1"/>
  </r>
  <r>
    <s v="INN00673"/>
    <n v="2"/>
    <n v="0"/>
    <n v="0"/>
    <n v="3"/>
    <s v="Meal Plan 1"/>
    <s v="Room_Type 1"/>
    <x v="42"/>
    <s v="25-02-2018"/>
    <x v="1"/>
    <x v="157"/>
    <x v="0"/>
  </r>
  <r>
    <s v="INN00674"/>
    <n v="1"/>
    <n v="0"/>
    <n v="1"/>
    <n v="0"/>
    <s v="Meal Plan 2"/>
    <s v="Room_Type 1"/>
    <x v="24"/>
    <d v="2018-08-02T00:00:00"/>
    <x v="1"/>
    <x v="98"/>
    <x v="0"/>
  </r>
  <r>
    <s v="INN00675"/>
    <n v="2"/>
    <n v="0"/>
    <n v="0"/>
    <n v="2"/>
    <s v="Meal Plan 2"/>
    <s v="Room_Type 1"/>
    <x v="205"/>
    <s v="24-06-2018"/>
    <x v="1"/>
    <x v="5"/>
    <x v="1"/>
  </r>
  <r>
    <s v="INN00676"/>
    <n v="2"/>
    <n v="0"/>
    <n v="2"/>
    <n v="0"/>
    <s v="Not Selected"/>
    <s v="Room_Type 1"/>
    <x v="6"/>
    <d v="2018-11-09T00:00:00"/>
    <x v="1"/>
    <x v="153"/>
    <x v="0"/>
  </r>
  <r>
    <s v="INN00677"/>
    <n v="2"/>
    <n v="0"/>
    <n v="0"/>
    <n v="1"/>
    <s v="Meal Plan 1"/>
    <s v="Room_Type 1"/>
    <x v="2"/>
    <s v="27-02-2018"/>
    <x v="1"/>
    <x v="89"/>
    <x v="0"/>
  </r>
  <r>
    <s v="INN00678"/>
    <n v="2"/>
    <n v="0"/>
    <n v="2"/>
    <n v="0"/>
    <s v="Not Selected"/>
    <s v="Room_Type 1"/>
    <x v="138"/>
    <d v="2018-01-05T00:00:00"/>
    <x v="1"/>
    <x v="153"/>
    <x v="0"/>
  </r>
  <r>
    <s v="INN00679"/>
    <n v="1"/>
    <n v="0"/>
    <n v="2"/>
    <n v="5"/>
    <s v="Not Selected"/>
    <s v="Room_Type 1"/>
    <x v="22"/>
    <s v="17-06-2018"/>
    <x v="1"/>
    <x v="331"/>
    <x v="1"/>
  </r>
  <r>
    <s v="INN00680"/>
    <n v="2"/>
    <n v="0"/>
    <n v="2"/>
    <n v="2"/>
    <s v="Meal Plan 1"/>
    <s v="Room_Type 1"/>
    <x v="23"/>
    <s v="25-09-2017"/>
    <x v="0"/>
    <x v="219"/>
    <x v="0"/>
  </r>
  <r>
    <s v="INN00681"/>
    <n v="2"/>
    <n v="0"/>
    <n v="2"/>
    <n v="0"/>
    <s v="Not Selected"/>
    <s v="Room_Type 1"/>
    <x v="10"/>
    <d v="2018-12-06T00:00:00"/>
    <x v="1"/>
    <x v="332"/>
    <x v="0"/>
  </r>
  <r>
    <s v="INN00682"/>
    <n v="2"/>
    <n v="2"/>
    <n v="2"/>
    <n v="3"/>
    <s v="Meal Plan 1"/>
    <s v="Room_Type 6"/>
    <x v="188"/>
    <d v="2018-09-07T00:00:00"/>
    <x v="1"/>
    <x v="333"/>
    <x v="1"/>
  </r>
  <r>
    <s v="INN00683"/>
    <n v="1"/>
    <n v="0"/>
    <n v="0"/>
    <n v="3"/>
    <s v="Meal Plan 1"/>
    <s v="Room_Type 1"/>
    <x v="102"/>
    <s v="28-01-2018"/>
    <x v="1"/>
    <x v="48"/>
    <x v="0"/>
  </r>
  <r>
    <s v="INN00684"/>
    <n v="2"/>
    <n v="1"/>
    <n v="1"/>
    <n v="2"/>
    <s v="Meal Plan 2"/>
    <s v="Room_Type 1"/>
    <x v="67"/>
    <d v="2018-09-09T00:00:00"/>
    <x v="1"/>
    <x v="334"/>
    <x v="0"/>
  </r>
  <r>
    <s v="INN00685"/>
    <n v="2"/>
    <n v="0"/>
    <n v="0"/>
    <n v="1"/>
    <s v="Not Selected"/>
    <s v="Room_Type 1"/>
    <x v="2"/>
    <s v="18-11-2018"/>
    <x v="1"/>
    <x v="123"/>
    <x v="0"/>
  </r>
  <r>
    <s v="INN00686"/>
    <n v="2"/>
    <n v="0"/>
    <n v="1"/>
    <n v="3"/>
    <s v="Meal Plan 1"/>
    <s v="Room_Type 4"/>
    <x v="160"/>
    <s v="21-03-2018"/>
    <x v="1"/>
    <x v="32"/>
    <x v="0"/>
  </r>
  <r>
    <s v="INN00687"/>
    <n v="2"/>
    <n v="0"/>
    <n v="1"/>
    <n v="2"/>
    <s v="Meal Plan 1"/>
    <s v="Room_Type 7"/>
    <x v="62"/>
    <s v="13-05-2018"/>
    <x v="1"/>
    <x v="335"/>
    <x v="0"/>
  </r>
  <r>
    <s v="INN00688"/>
    <n v="2"/>
    <n v="0"/>
    <n v="2"/>
    <n v="5"/>
    <s v="Not Selected"/>
    <s v="Room_Type 1"/>
    <x v="41"/>
    <s v="17-11-2018"/>
    <x v="1"/>
    <x v="336"/>
    <x v="1"/>
  </r>
  <r>
    <s v="INN00689"/>
    <n v="2"/>
    <n v="0"/>
    <n v="0"/>
    <n v="3"/>
    <s v="Not Selected"/>
    <s v="Room_Type 1"/>
    <x v="125"/>
    <d v="2018-03-11T00:00:00"/>
    <x v="1"/>
    <x v="37"/>
    <x v="1"/>
  </r>
  <r>
    <s v="INN00690"/>
    <n v="1"/>
    <n v="0"/>
    <n v="0"/>
    <n v="2"/>
    <s v="Meal Plan 1"/>
    <s v="Room_Type 1"/>
    <x v="11"/>
    <s v="16-03-2018"/>
    <x v="1"/>
    <x v="137"/>
    <x v="0"/>
  </r>
  <r>
    <s v="INN00691"/>
    <n v="2"/>
    <n v="0"/>
    <n v="0"/>
    <n v="2"/>
    <s v="Meal Plan 1"/>
    <s v="Room_Type 1"/>
    <x v="55"/>
    <d v="2018-03-06T00:00:00"/>
    <x v="1"/>
    <x v="3"/>
    <x v="1"/>
  </r>
  <r>
    <s v="INN00692"/>
    <n v="2"/>
    <n v="0"/>
    <n v="0"/>
    <n v="4"/>
    <s v="Meal Plan 1"/>
    <s v="Room_Type 1"/>
    <x v="43"/>
    <s v="14-12-2018"/>
    <x v="1"/>
    <x v="337"/>
    <x v="0"/>
  </r>
  <r>
    <s v="INN00693"/>
    <n v="1"/>
    <n v="0"/>
    <n v="2"/>
    <n v="4"/>
    <s v="Meal Plan 1"/>
    <s v="Room_Type 1"/>
    <x v="96"/>
    <d v="2018-06-07T00:00:00"/>
    <x v="1"/>
    <x v="20"/>
    <x v="1"/>
  </r>
  <r>
    <s v="INN00694"/>
    <n v="2"/>
    <n v="0"/>
    <n v="1"/>
    <n v="2"/>
    <s v="Meal Plan 1"/>
    <s v="Room_Type 4"/>
    <x v="74"/>
    <s v="28-10-2018"/>
    <x v="1"/>
    <x v="192"/>
    <x v="1"/>
  </r>
  <r>
    <s v="INN00695"/>
    <n v="2"/>
    <n v="0"/>
    <n v="2"/>
    <n v="1"/>
    <s v="Meal Plan 1"/>
    <s v="Room_Type 1"/>
    <x v="211"/>
    <d v="2018-03-12T00:00:00"/>
    <x v="0"/>
    <x v="338"/>
    <x v="0"/>
  </r>
  <r>
    <s v="INN00696"/>
    <n v="2"/>
    <n v="0"/>
    <n v="0"/>
    <n v="2"/>
    <s v="Meal Plan 2"/>
    <s v="Room_Type 1"/>
    <x v="204"/>
    <d v="2017-01-07T00:00:00"/>
    <x v="1"/>
    <x v="166"/>
    <x v="1"/>
  </r>
  <r>
    <s v="INN00697"/>
    <n v="2"/>
    <n v="0"/>
    <n v="2"/>
    <n v="4"/>
    <s v="Not Selected"/>
    <s v="Room_Type 1"/>
    <x v="212"/>
    <s v="28-07-2018"/>
    <x v="1"/>
    <x v="110"/>
    <x v="0"/>
  </r>
  <r>
    <s v="INN00698"/>
    <n v="2"/>
    <n v="0"/>
    <n v="2"/>
    <n v="2"/>
    <s v="Meal Plan 1"/>
    <s v="Room_Type 1"/>
    <x v="213"/>
    <s v="25-12-2018"/>
    <x v="1"/>
    <x v="36"/>
    <x v="0"/>
  </r>
  <r>
    <s v="INN00699"/>
    <n v="2"/>
    <n v="0"/>
    <n v="0"/>
    <n v="3"/>
    <s v="Not Selected"/>
    <s v="Room_Type 1"/>
    <x v="47"/>
    <s v="15-03-2018"/>
    <x v="1"/>
    <x v="339"/>
    <x v="0"/>
  </r>
  <r>
    <s v="INN00700"/>
    <n v="2"/>
    <n v="1"/>
    <n v="0"/>
    <n v="1"/>
    <s v="Meal Plan 1"/>
    <s v="Room_Type 1"/>
    <x v="92"/>
    <d v="2018-05-11T00:00:00"/>
    <x v="1"/>
    <x v="63"/>
    <x v="1"/>
  </r>
  <r>
    <m/>
    <m/>
    <m/>
    <m/>
    <m/>
    <m/>
    <m/>
    <x v="214"/>
    <m/>
    <x v="5"/>
    <x v="34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868BE-9CC3-4BFB-9042-11A99BC1277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14" firstHeaderRow="1" firstDataRow="2" firstDataCol="1"/>
  <pivotFields count="12">
    <pivotField dataField="1" showAll="0"/>
    <pivotField showAll="0"/>
    <pivotField showAll="0"/>
    <pivotField showAll="0"/>
    <pivotField showAll="0"/>
    <pivotField showAll="0"/>
    <pivotField showAll="0"/>
    <pivotField axis="axisRow" showAll="0">
      <items count="13">
        <item h="1" x="0"/>
        <item x="1"/>
        <item x="2"/>
        <item x="3"/>
        <item x="4"/>
        <item x="5"/>
        <item x="6"/>
        <item x="7"/>
        <item x="8"/>
        <item x="9"/>
        <item x="10"/>
        <item x="11"/>
        <item t="default"/>
      </items>
    </pivotField>
    <pivotField showAll="0"/>
    <pivotField showAll="0"/>
    <pivotField axis="axisCol" showAll="0">
      <items count="13">
        <item h="1" x="0"/>
        <item x="1"/>
        <item x="2"/>
        <item x="3"/>
        <item x="4"/>
        <item x="5"/>
        <item x="6"/>
        <item x="7"/>
        <item x="8"/>
        <item x="9"/>
        <item x="10"/>
        <item x="11"/>
        <item t="default"/>
      </items>
    </pivotField>
    <pivotField showAll="0"/>
  </pivotFields>
  <rowFields count="1">
    <field x="7"/>
  </rowFields>
  <rowItems count="12">
    <i>
      <x v="1"/>
    </i>
    <i>
      <x v="2"/>
    </i>
    <i>
      <x v="3"/>
    </i>
    <i>
      <x v="4"/>
    </i>
    <i>
      <x v="5"/>
    </i>
    <i>
      <x v="6"/>
    </i>
    <i>
      <x v="7"/>
    </i>
    <i>
      <x v="8"/>
    </i>
    <i>
      <x v="9"/>
    </i>
    <i>
      <x v="10"/>
    </i>
    <i>
      <x v="11"/>
    </i>
    <i t="grand">
      <x/>
    </i>
  </rowItems>
  <colFields count="1">
    <field x="10"/>
  </colFields>
  <colItems count="7">
    <i>
      <x v="1"/>
    </i>
    <i>
      <x v="2"/>
    </i>
    <i>
      <x v="3"/>
    </i>
    <i>
      <x v="4"/>
    </i>
    <i>
      <x v="5"/>
    </i>
    <i>
      <x v="6"/>
    </i>
    <i t="grand">
      <x/>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C8FC01-0071-41C4-9BC7-CE4D69B27BA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G14" firstHeaderRow="1" firstDataRow="2" firstDataCol="1"/>
  <pivotFields count="12">
    <pivotField dataField="1" showAll="0"/>
    <pivotField showAll="0"/>
    <pivotField showAll="0"/>
    <pivotField showAll="0"/>
    <pivotField showAll="0"/>
    <pivotField showAll="0"/>
    <pivotField showAll="0"/>
    <pivotField axis="axisRow" showAll="0">
      <items count="13">
        <item h="1" x="0"/>
        <item x="1"/>
        <item x="2"/>
        <item x="3"/>
        <item x="4"/>
        <item x="5"/>
        <item x="6"/>
        <item x="7"/>
        <item x="8"/>
        <item x="9"/>
        <item x="10"/>
        <item x="11"/>
        <item t="default"/>
      </items>
    </pivotField>
    <pivotField showAll="0"/>
    <pivotField axis="axisCol" showAll="0">
      <items count="7">
        <item x="3"/>
        <item x="4"/>
        <item x="2"/>
        <item x="0"/>
        <item x="1"/>
        <item h="1" x="5"/>
        <item t="default"/>
      </items>
    </pivotField>
    <pivotField showAll="0"/>
    <pivotField showAll="0"/>
  </pivotFields>
  <rowFields count="1">
    <field x="7"/>
  </rowFields>
  <rowItems count="12">
    <i>
      <x v="1"/>
    </i>
    <i>
      <x v="2"/>
    </i>
    <i>
      <x v="3"/>
    </i>
    <i>
      <x v="4"/>
    </i>
    <i>
      <x v="5"/>
    </i>
    <i>
      <x v="6"/>
    </i>
    <i>
      <x v="7"/>
    </i>
    <i>
      <x v="8"/>
    </i>
    <i>
      <x v="9"/>
    </i>
    <i>
      <x v="10"/>
    </i>
    <i>
      <x v="11"/>
    </i>
    <i t="grand">
      <x/>
    </i>
  </rowItems>
  <colFields count="1">
    <field x="9"/>
  </colFields>
  <colItems count="6">
    <i>
      <x/>
    </i>
    <i>
      <x v="1"/>
    </i>
    <i>
      <x v="2"/>
    </i>
    <i>
      <x v="3"/>
    </i>
    <i>
      <x v="4"/>
    </i>
    <i t="grand">
      <x/>
    </i>
  </colItems>
  <dataFields count="1">
    <dataField name="Count of Booking_ID" fld="0" subtotal="count" baseField="0" baseItem="0"/>
  </dataFields>
  <chartFormats count="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B741A7-2B3F-4056-9FB9-FB4A8A45635D}"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G9" firstHeaderRow="1" firstDataRow="2" firstDataCol="1"/>
  <pivotFields count="1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7">
        <item x="3"/>
        <item x="4"/>
        <item x="2"/>
        <item x="0"/>
        <item x="1"/>
        <item h="1" x="5"/>
        <item t="default"/>
      </items>
    </pivotField>
    <pivotField name="avg_price_per_room($)" axis="axisRow" compact="0" outline="0" showAll="0">
      <items count="13">
        <item h="1" x="0"/>
        <item x="1"/>
        <item x="2"/>
        <item x="3"/>
        <item x="4"/>
        <item x="5"/>
        <item x="6"/>
        <item x="7"/>
        <item x="8"/>
        <item x="9"/>
        <item x="10"/>
        <item x="11"/>
        <item t="default"/>
      </items>
    </pivotField>
    <pivotField compact="0" outline="0" showAll="0"/>
  </pivotFields>
  <rowFields count="1">
    <field x="10"/>
  </rowFields>
  <rowItems count="7">
    <i>
      <x v="1"/>
    </i>
    <i>
      <x v="2"/>
    </i>
    <i>
      <x v="3"/>
    </i>
    <i>
      <x v="4"/>
    </i>
    <i>
      <x v="5"/>
    </i>
    <i>
      <x v="6"/>
    </i>
    <i t="grand">
      <x/>
    </i>
  </rowItems>
  <colFields count="1">
    <field x="9"/>
  </colFields>
  <colItems count="6">
    <i>
      <x/>
    </i>
    <i>
      <x v="1"/>
    </i>
    <i>
      <x v="2"/>
    </i>
    <i>
      <x v="3"/>
    </i>
    <i>
      <x v="4"/>
    </i>
    <i t="grand">
      <x/>
    </i>
  </colItems>
  <dataFields count="1">
    <dataField name="Count of Booking_ID" fld="0" subtotal="count" baseField="0" baseItem="0"/>
  </dataFields>
  <chartFormats count="24">
    <chartFormat chart="6" format="0" series="1">
      <pivotArea type="data" outline="0" fieldPosition="0">
        <references count="2">
          <reference field="4294967294" count="1" selected="0">
            <x v="0"/>
          </reference>
          <reference field="9" count="1" selected="0">
            <x v="0"/>
          </reference>
        </references>
      </pivotArea>
    </chartFormat>
    <chartFormat chart="6" format="1" series="1">
      <pivotArea type="data" outline="0" fieldPosition="0">
        <references count="2">
          <reference field="4294967294" count="1" selected="0">
            <x v="0"/>
          </reference>
          <reference field="9" count="1" selected="0">
            <x v="1"/>
          </reference>
        </references>
      </pivotArea>
    </chartFormat>
    <chartFormat chart="6" format="2" series="1">
      <pivotArea type="data" outline="0" fieldPosition="0">
        <references count="2">
          <reference field="4294967294" count="1" selected="0">
            <x v="0"/>
          </reference>
          <reference field="9" count="1" selected="0">
            <x v="2"/>
          </reference>
        </references>
      </pivotArea>
    </chartFormat>
    <chartFormat chart="6" format="3" series="1">
      <pivotArea type="data" outline="0" fieldPosition="0">
        <references count="2">
          <reference field="4294967294" count="1" selected="0">
            <x v="0"/>
          </reference>
          <reference field="9" count="1" selected="0">
            <x v="3"/>
          </reference>
        </references>
      </pivotArea>
    </chartFormat>
    <chartFormat chart="6" format="4" series="1">
      <pivotArea type="data" outline="0" fieldPosition="0">
        <references count="2">
          <reference field="4294967294" count="1" selected="0">
            <x v="0"/>
          </reference>
          <reference field="9" count="1" selected="0">
            <x v="4"/>
          </reference>
        </references>
      </pivotArea>
    </chartFormat>
    <chartFormat chart="6" format="5" series="1">
      <pivotArea type="data" outline="0" fieldPosition="0">
        <references count="3">
          <reference field="4294967294" count="1" selected="0">
            <x v="0"/>
          </reference>
          <reference field="9" count="1" selected="0">
            <x v="3"/>
          </reference>
          <reference field="10" count="1" selected="0">
            <x v="1"/>
          </reference>
        </references>
      </pivotArea>
    </chartFormat>
    <chartFormat chart="6" format="6" series="1">
      <pivotArea type="data" outline="0" fieldPosition="0">
        <references count="3">
          <reference field="4294967294" count="1" selected="0">
            <x v="0"/>
          </reference>
          <reference field="9" count="1" selected="0">
            <x v="3"/>
          </reference>
          <reference field="10" count="1" selected="0">
            <x v="2"/>
          </reference>
        </references>
      </pivotArea>
    </chartFormat>
    <chartFormat chart="6" format="7" series="1">
      <pivotArea type="data" outline="0" fieldPosition="0">
        <references count="3">
          <reference field="4294967294" count="1" selected="0">
            <x v="0"/>
          </reference>
          <reference field="9" count="1" selected="0">
            <x v="3"/>
          </reference>
          <reference field="10" count="1" selected="0">
            <x v="3"/>
          </reference>
        </references>
      </pivotArea>
    </chartFormat>
    <chartFormat chart="6" format="8" series="1">
      <pivotArea type="data" outline="0" fieldPosition="0">
        <references count="3">
          <reference field="4294967294" count="1" selected="0">
            <x v="0"/>
          </reference>
          <reference field="9" count="1" selected="0">
            <x v="3"/>
          </reference>
          <reference field="10" count="1" selected="0">
            <x v="4"/>
          </reference>
        </references>
      </pivotArea>
    </chartFormat>
    <chartFormat chart="6" format="9" series="1">
      <pivotArea type="data" outline="0" fieldPosition="0">
        <references count="3">
          <reference field="4294967294" count="1" selected="0">
            <x v="0"/>
          </reference>
          <reference field="9" count="1" selected="0">
            <x v="4"/>
          </reference>
          <reference field="10" count="1" selected="0">
            <x v="1"/>
          </reference>
        </references>
      </pivotArea>
    </chartFormat>
    <chartFormat chart="6" format="10" series="1">
      <pivotArea type="data" outline="0" fieldPosition="0">
        <references count="3">
          <reference field="4294967294" count="1" selected="0">
            <x v="0"/>
          </reference>
          <reference field="9" count="1" selected="0">
            <x v="4"/>
          </reference>
          <reference field="10" count="1" selected="0">
            <x v="2"/>
          </reference>
        </references>
      </pivotArea>
    </chartFormat>
    <chartFormat chart="6" format="11" series="1">
      <pivotArea type="data" outline="0" fieldPosition="0">
        <references count="3">
          <reference field="4294967294" count="1" selected="0">
            <x v="0"/>
          </reference>
          <reference field="9" count="1" selected="0">
            <x v="4"/>
          </reference>
          <reference field="10" count="1" selected="0">
            <x v="3"/>
          </reference>
        </references>
      </pivotArea>
    </chartFormat>
    <chartFormat chart="6" format="12" series="1">
      <pivotArea type="data" outline="0" fieldPosition="0">
        <references count="3">
          <reference field="4294967294" count="1" selected="0">
            <x v="0"/>
          </reference>
          <reference field="9" count="1" selected="0">
            <x v="4"/>
          </reference>
          <reference field="10" count="1" selected="0">
            <x v="4"/>
          </reference>
        </references>
      </pivotArea>
    </chartFormat>
    <chartFormat chart="6" format="13" series="1">
      <pivotArea type="data" outline="0" fieldPosition="0">
        <references count="3">
          <reference field="4294967294" count="1" selected="0">
            <x v="0"/>
          </reference>
          <reference field="9" count="1" selected="0">
            <x v="4"/>
          </reference>
          <reference field="10" count="1" selected="0">
            <x v="5"/>
          </reference>
        </references>
      </pivotArea>
    </chartFormat>
    <chartFormat chart="6" format="14" series="1">
      <pivotArea type="data" outline="0" fieldPosition="0">
        <references count="3">
          <reference field="4294967294" count="1" selected="0">
            <x v="0"/>
          </reference>
          <reference field="9" count="1" selected="0">
            <x v="4"/>
          </reference>
          <reference field="10" count="1" selected="0">
            <x v="6"/>
          </reference>
        </references>
      </pivotArea>
    </chartFormat>
    <chartFormat chart="6" format="15" series="1">
      <pivotArea type="data" outline="0" fieldPosition="0">
        <references count="2">
          <reference field="4294967294" count="1" selected="0">
            <x v="0"/>
          </reference>
          <reference field="10" count="1" selected="0">
            <x v="1"/>
          </reference>
        </references>
      </pivotArea>
    </chartFormat>
    <chartFormat chart="6" format="16" series="1">
      <pivotArea type="data" outline="0" fieldPosition="0">
        <references count="2">
          <reference field="4294967294" count="1" selected="0">
            <x v="0"/>
          </reference>
          <reference field="10" count="1" selected="0">
            <x v="2"/>
          </reference>
        </references>
      </pivotArea>
    </chartFormat>
    <chartFormat chart="6" format="17" series="1">
      <pivotArea type="data" outline="0" fieldPosition="0">
        <references count="2">
          <reference field="4294967294" count="1" selected="0">
            <x v="0"/>
          </reference>
          <reference field="10" count="1" selected="0">
            <x v="3"/>
          </reference>
        </references>
      </pivotArea>
    </chartFormat>
    <chartFormat chart="6" format="18" series="1">
      <pivotArea type="data" outline="0" fieldPosition="0">
        <references count="2">
          <reference field="4294967294" count="1" selected="0">
            <x v="0"/>
          </reference>
          <reference field="10" count="1" selected="0">
            <x v="4"/>
          </reference>
        </references>
      </pivotArea>
    </chartFormat>
    <chartFormat chart="6" format="19" series="1">
      <pivotArea type="data" outline="0" fieldPosition="0">
        <references count="2">
          <reference field="4294967294" count="1" selected="0">
            <x v="0"/>
          </reference>
          <reference field="10" count="1" selected="0">
            <x v="5"/>
          </reference>
        </references>
      </pivotArea>
    </chartFormat>
    <chartFormat chart="6" format="20" series="1">
      <pivotArea type="data" outline="0" fieldPosition="0">
        <references count="2">
          <reference field="4294967294" count="1" selected="0">
            <x v="0"/>
          </reference>
          <reference field="10" count="1" selected="0">
            <x v="6"/>
          </reference>
        </references>
      </pivotArea>
    </chartFormat>
    <chartFormat chart="6" format="21" series="1">
      <pivotArea type="data" outline="0" fieldPosition="0">
        <references count="3">
          <reference field="4294967294" count="1" selected="0">
            <x v="0"/>
          </reference>
          <reference field="9" count="1" selected="0">
            <x v="0"/>
          </reference>
          <reference field="10" count="1" selected="0">
            <x v="3"/>
          </reference>
        </references>
      </pivotArea>
    </chartFormat>
    <chartFormat chart="6" format="22" series="1">
      <pivotArea type="data" outline="0" fieldPosition="0">
        <references count="3">
          <reference field="4294967294" count="1" selected="0">
            <x v="0"/>
          </reference>
          <reference field="9" count="1" selected="0">
            <x v="2"/>
          </reference>
          <reference field="10" count="1" selected="0">
            <x v="3"/>
          </reference>
        </references>
      </pivotArea>
    </chartFormat>
    <chartFormat chart="6" format="23" series="1">
      <pivotArea type="data" outline="0" fieldPosition="0">
        <references count="3">
          <reference field="4294967294" count="1" selected="0">
            <x v="0"/>
          </reference>
          <reference field="9" count="1" selected="0">
            <x v="2"/>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6562B7-C6D9-4F07-8432-BE683D632B0C}"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D14" firstHeaderRow="1" firstDataRow="2" firstDataCol="1"/>
  <pivotFields count="1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name="lead_time (Days)" axis="axisRow" compact="0" outline="0" showAll="0">
      <items count="13">
        <item h="1" x="0"/>
        <item x="1"/>
        <item x="2"/>
        <item x="3"/>
        <item x="4"/>
        <item x="5"/>
        <item x="6"/>
        <item x="7"/>
        <item x="8"/>
        <item x="9"/>
        <item x="10"/>
        <item x="11"/>
        <item t="default"/>
      </items>
    </pivotField>
    <pivotField compact="0" outline="0" showAll="0"/>
    <pivotField compact="0" outline="0" showAll="0"/>
    <pivotField compact="0" outline="0" showAll="0"/>
    <pivotField axis="axisCol" compact="0" outline="0" showAll="0">
      <items count="4">
        <item x="1"/>
        <item x="0"/>
        <item h="1" x="2"/>
        <item t="default"/>
      </items>
    </pivotField>
  </pivotFields>
  <rowFields count="1">
    <field x="7"/>
  </rowFields>
  <rowItems count="12">
    <i>
      <x v="1"/>
    </i>
    <i>
      <x v="2"/>
    </i>
    <i>
      <x v="3"/>
    </i>
    <i>
      <x v="4"/>
    </i>
    <i>
      <x v="5"/>
    </i>
    <i>
      <x v="6"/>
    </i>
    <i>
      <x v="7"/>
    </i>
    <i>
      <x v="8"/>
    </i>
    <i>
      <x v="9"/>
    </i>
    <i>
      <x v="10"/>
    </i>
    <i>
      <x v="11"/>
    </i>
    <i t="grand">
      <x/>
    </i>
  </rowItems>
  <colFields count="1">
    <field x="11"/>
  </colFields>
  <colItems count="3">
    <i>
      <x/>
    </i>
    <i>
      <x v="1"/>
    </i>
    <i t="grand">
      <x/>
    </i>
  </colItems>
  <dataFields count="1">
    <dataField name="Count of Booking_ID" fld="0" subtotal="count" baseField="0" baseItem="0"/>
  </dataFields>
  <chartFormats count="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FD57D2-FB37-4D51-BCAC-1DD4053B522D}"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D9" firstHeaderRow="1" firstDataRow="2" firstDataCol="1"/>
  <pivotFields count="1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avg_price_per_room ($)" axis="axisRow" compact="0" outline="0" showAll="0">
      <items count="13">
        <item h="1" x="0"/>
        <item x="1"/>
        <item x="2"/>
        <item x="3"/>
        <item x="4"/>
        <item x="5"/>
        <item x="6"/>
        <item x="7"/>
        <item x="8"/>
        <item x="9"/>
        <item x="10"/>
        <item x="11"/>
        <item t="default"/>
      </items>
    </pivotField>
    <pivotField axis="axisCol" compact="0" outline="0" showAll="0">
      <items count="4">
        <item x="1"/>
        <item x="0"/>
        <item h="1" x="2"/>
        <item t="default"/>
      </items>
    </pivotField>
  </pivotFields>
  <rowFields count="1">
    <field x="10"/>
  </rowFields>
  <rowItems count="7">
    <i>
      <x v="1"/>
    </i>
    <i>
      <x v="2"/>
    </i>
    <i>
      <x v="3"/>
    </i>
    <i>
      <x v="4"/>
    </i>
    <i>
      <x v="5"/>
    </i>
    <i>
      <x v="6"/>
    </i>
    <i t="grand">
      <x/>
    </i>
  </rowItems>
  <colFields count="1">
    <field x="11"/>
  </colFields>
  <colItems count="3">
    <i>
      <x/>
    </i>
    <i>
      <x v="1"/>
    </i>
    <i t="grand">
      <x/>
    </i>
  </colItems>
  <dataFields count="1">
    <dataField name="Count of Booking_ID" fld="0" subtotal="count" baseField="0" baseItem="0"/>
  </dataFields>
  <chartFormats count="4">
    <chartFormat chart="0" format="10" series="1">
      <pivotArea type="data" outline="0" fieldPosition="0">
        <references count="1">
          <reference field="11" count="1" selected="0">
            <x v="0"/>
          </reference>
        </references>
      </pivotArea>
    </chartFormat>
    <chartFormat chart="0" format="11" series="1">
      <pivotArea type="data" outline="0" fieldPosition="0">
        <references count="1">
          <reference field="11" count="1" selected="0">
            <x v="1"/>
          </reference>
        </references>
      </pivotArea>
    </chartFormat>
    <chartFormat chart="0" format="12" series="1">
      <pivotArea type="data" outline="0" fieldPosition="0">
        <references count="2">
          <reference field="4294967294" count="1" selected="0">
            <x v="0"/>
          </reference>
          <reference field="11" count="1" selected="0">
            <x v="0"/>
          </reference>
        </references>
      </pivotArea>
    </chartFormat>
    <chartFormat chart="0" format="1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2B203C-AED3-4B3E-BA6A-D8A2BC750F3F}"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G5" firstHeaderRow="1" firstDataRow="2" firstDataCol="1"/>
  <pivotFields count="1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7">
        <item x="3"/>
        <item x="4"/>
        <item x="2"/>
        <item x="0"/>
        <item x="1"/>
        <item h="1" x="5"/>
        <item t="default"/>
      </items>
    </pivotField>
    <pivotField compact="0" outline="0" showAll="0"/>
    <pivotField axis="axisRow" compact="0" outline="0" showAll="0">
      <items count="4">
        <item x="1"/>
        <item x="0"/>
        <item h="1" x="2"/>
        <item t="default"/>
      </items>
    </pivotField>
  </pivotFields>
  <rowFields count="1">
    <field x="11"/>
  </rowFields>
  <rowItems count="3">
    <i>
      <x/>
    </i>
    <i>
      <x v="1"/>
    </i>
    <i t="grand">
      <x/>
    </i>
  </rowItems>
  <colFields count="1">
    <field x="9"/>
  </colFields>
  <colItems count="6">
    <i>
      <x/>
    </i>
    <i>
      <x v="1"/>
    </i>
    <i>
      <x v="2"/>
    </i>
    <i>
      <x v="3"/>
    </i>
    <i>
      <x v="4"/>
    </i>
    <i t="grand">
      <x/>
    </i>
  </colItems>
  <dataFields count="1">
    <dataField name="Count of Booking_ID" fld="0" subtotal="count" showDataAs="percentOfTotal" baseField="11" baseItem="0" numFmtId="10"/>
  </dataFields>
  <chartFormats count="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38D8A2-D527-474F-A6B0-4A67824914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3" firstHeaderRow="1" firstDataRow="1" firstDataCol="1"/>
  <pivotFields count="12">
    <pivotField showAll="0"/>
    <pivotField showAll="0"/>
    <pivotField showAll="0"/>
    <pivotField showAll="0"/>
    <pivotField showAll="0"/>
    <pivotField showAll="0"/>
    <pivotField showAll="0"/>
    <pivotField axis="axisRow" dataField="1" showAll="0">
      <items count="13">
        <item h="1" x="0"/>
        <item x="1"/>
        <item x="2"/>
        <item x="3"/>
        <item x="4"/>
        <item x="5"/>
        <item x="6"/>
        <item x="7"/>
        <item x="8"/>
        <item x="9"/>
        <item x="10"/>
        <item x="11"/>
        <item t="default"/>
      </items>
    </pivotField>
    <pivotField showAll="0"/>
    <pivotField showAll="0"/>
    <pivotField showAll="0"/>
    <pivotField showAll="0"/>
  </pivotFields>
  <rowFields count="1">
    <field x="7"/>
  </rowFields>
  <rowItems count="12">
    <i>
      <x v="1"/>
    </i>
    <i>
      <x v="2"/>
    </i>
    <i>
      <x v="3"/>
    </i>
    <i>
      <x v="4"/>
    </i>
    <i>
      <x v="5"/>
    </i>
    <i>
      <x v="6"/>
    </i>
    <i>
      <x v="7"/>
    </i>
    <i>
      <x v="8"/>
    </i>
    <i>
      <x v="9"/>
    </i>
    <i>
      <x v="10"/>
    </i>
    <i>
      <x v="11"/>
    </i>
    <i t="grand">
      <x/>
    </i>
  </rowItems>
  <colItems count="1">
    <i/>
  </colItems>
  <dataFields count="1">
    <dataField name="Count of lead_time" fld="7" subtotal="count" baseField="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B0E649-EC98-403F-98B9-106F9D4576EE}"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8" firstHeaderRow="1" firstDataRow="1" firstDataCol="1"/>
  <pivotFields count="1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name="avg_price_per_room ($)" axis="axisRow" dataField="1" compact="0" outline="0" showAll="0">
      <items count="13">
        <item h="1" x="0"/>
        <item x="1"/>
        <item x="2"/>
        <item x="3"/>
        <item x="4"/>
        <item x="5"/>
        <item x="6"/>
        <item x="7"/>
        <item x="8"/>
        <item x="9"/>
        <item x="10"/>
        <item x="11"/>
        <item t="default"/>
      </items>
    </pivotField>
    <pivotField compact="0" outline="0" showAll="0"/>
  </pivotFields>
  <rowFields count="1">
    <field x="10"/>
  </rowFields>
  <rowItems count="7">
    <i>
      <x v="1"/>
    </i>
    <i>
      <x v="2"/>
    </i>
    <i>
      <x v="3"/>
    </i>
    <i>
      <x v="4"/>
    </i>
    <i>
      <x v="5"/>
    </i>
    <i>
      <x v="6"/>
    </i>
    <i t="grand">
      <x/>
    </i>
  </rowItems>
  <colItems count="1">
    <i/>
  </colItems>
  <dataFields count="1">
    <dataField name="Count of avg_price_per_room" fld="10" subtotal="count" baseField="1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F14DA8-C63C-4695-B055-11B92D4780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12">
    <pivotField dataField="1"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axis="axisRow" showAll="0">
      <items count="7">
        <item x="3"/>
        <item x="4"/>
        <item x="2"/>
        <item x="0"/>
        <item x="1"/>
        <item h="1" x="5"/>
        <item t="default"/>
      </items>
    </pivotField>
    <pivotField showAll="0">
      <items count="13">
        <item x="0"/>
        <item x="1"/>
        <item x="2"/>
        <item x="3"/>
        <item x="4"/>
        <item x="5"/>
        <item x="6"/>
        <item x="7"/>
        <item x="8"/>
        <item x="9"/>
        <item x="10"/>
        <item x="11"/>
        <item t="default"/>
      </items>
    </pivotField>
    <pivotField showAll="0"/>
  </pivotFields>
  <rowFields count="1">
    <field x="9"/>
  </rowFields>
  <rowItems count="6">
    <i>
      <x/>
    </i>
    <i>
      <x v="1"/>
    </i>
    <i>
      <x v="2"/>
    </i>
    <i>
      <x v="3"/>
    </i>
    <i>
      <x v="4"/>
    </i>
    <i t="grand">
      <x/>
    </i>
  </rowItems>
  <colItems count="1">
    <i/>
  </colItems>
  <dataFields count="1">
    <dataField name="Count of Booking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A2AD52-3C69-4447-9FAC-87407D639F8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B5" firstHeaderRow="1" firstDataRow="1" firstDataCol="1"/>
  <pivotFields count="12">
    <pivotField dataField="1"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items count="7">
        <item x="3"/>
        <item x="4"/>
        <item x="2"/>
        <item x="0"/>
        <item x="1"/>
        <item h="1" x="5"/>
        <item t="default"/>
      </items>
    </pivotField>
    <pivotField showAll="0">
      <items count="13">
        <item x="0"/>
        <item x="1"/>
        <item x="2"/>
        <item x="3"/>
        <item x="4"/>
        <item x="5"/>
        <item x="6"/>
        <item x="7"/>
        <item x="8"/>
        <item x="9"/>
        <item x="10"/>
        <item x="11"/>
        <item t="default"/>
      </items>
    </pivotField>
    <pivotField axis="axisRow" showAll="0">
      <items count="4">
        <item x="1"/>
        <item x="0"/>
        <item h="1" x="2"/>
        <item t="default"/>
      </items>
    </pivotField>
  </pivotFields>
  <rowFields count="1">
    <field x="11"/>
  </rowFields>
  <rowItems count="2">
    <i>
      <x/>
    </i>
    <i>
      <x v="1"/>
    </i>
  </rowItems>
  <colItems count="1">
    <i/>
  </colItems>
  <dataFields count="1">
    <dataField name="Count of Booking_ID" fld="0" subtotal="count" showDataAs="percentOfTotal" baseField="11" baseItem="0" numFmtId="10"/>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www.kaggle.com/datasets/saritas95/hotel-reservation-analy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D0F46-D4D1-4E48-88C8-51AC980051A8}">
  <dimension ref="A1:H16"/>
  <sheetViews>
    <sheetView workbookViewId="0">
      <selection activeCell="P22" sqref="P22"/>
    </sheetView>
  </sheetViews>
  <sheetFormatPr defaultRowHeight="15" x14ac:dyDescent="0.25"/>
  <cols>
    <col min="1" max="1" width="19.5703125" bestFit="1" customWidth="1"/>
    <col min="2" max="2" width="16.85546875" bestFit="1" customWidth="1"/>
    <col min="3" max="3" width="6.7109375" bestFit="1" customWidth="1"/>
    <col min="4" max="7" width="7.7109375" bestFit="1" customWidth="1"/>
    <col min="8" max="9" width="11.28515625" bestFit="1" customWidth="1"/>
  </cols>
  <sheetData>
    <row r="1" spans="1:8" x14ac:dyDescent="0.25">
      <c r="A1" s="8" t="s">
        <v>968</v>
      </c>
      <c r="B1" s="8" t="s">
        <v>967</v>
      </c>
    </row>
    <row r="2" spans="1:8" x14ac:dyDescent="0.25">
      <c r="A2" s="8" t="s">
        <v>965</v>
      </c>
      <c r="B2" t="s">
        <v>969</v>
      </c>
      <c r="C2" t="s">
        <v>970</v>
      </c>
      <c r="D2" t="s">
        <v>971</v>
      </c>
      <c r="E2" t="s">
        <v>972</v>
      </c>
      <c r="F2" t="s">
        <v>973</v>
      </c>
      <c r="G2" t="s">
        <v>974</v>
      </c>
      <c r="H2" t="s">
        <v>966</v>
      </c>
    </row>
    <row r="3" spans="1:8" x14ac:dyDescent="0.25">
      <c r="A3" s="9" t="s">
        <v>994</v>
      </c>
      <c r="B3">
        <v>14</v>
      </c>
      <c r="C3">
        <v>90</v>
      </c>
      <c r="D3">
        <v>78</v>
      </c>
      <c r="E3">
        <v>25</v>
      </c>
      <c r="F3">
        <v>6</v>
      </c>
      <c r="G3">
        <v>1</v>
      </c>
      <c r="H3">
        <v>214</v>
      </c>
    </row>
    <row r="4" spans="1:8" x14ac:dyDescent="0.25">
      <c r="A4" s="9" t="s">
        <v>995</v>
      </c>
      <c r="B4">
        <v>2</v>
      </c>
      <c r="C4">
        <v>73</v>
      </c>
      <c r="D4">
        <v>57</v>
      </c>
      <c r="E4">
        <v>14</v>
      </c>
      <c r="F4">
        <v>3</v>
      </c>
      <c r="H4">
        <v>149</v>
      </c>
    </row>
    <row r="5" spans="1:8" x14ac:dyDescent="0.25">
      <c r="A5" s="9" t="s">
        <v>996</v>
      </c>
      <c r="B5">
        <v>1</v>
      </c>
      <c r="C5">
        <v>45</v>
      </c>
      <c r="D5">
        <v>45</v>
      </c>
      <c r="E5">
        <v>11</v>
      </c>
      <c r="H5">
        <v>102</v>
      </c>
    </row>
    <row r="6" spans="1:8" x14ac:dyDescent="0.25">
      <c r="A6" s="9" t="s">
        <v>997</v>
      </c>
      <c r="C6">
        <v>24</v>
      </c>
      <c r="D6">
        <v>36</v>
      </c>
      <c r="E6">
        <v>3</v>
      </c>
      <c r="H6">
        <v>63</v>
      </c>
    </row>
    <row r="7" spans="1:8" x14ac:dyDescent="0.25">
      <c r="A7" s="9" t="s">
        <v>998</v>
      </c>
      <c r="C7">
        <v>21</v>
      </c>
      <c r="D7">
        <v>18</v>
      </c>
      <c r="E7">
        <v>5</v>
      </c>
      <c r="H7">
        <v>44</v>
      </c>
    </row>
    <row r="8" spans="1:8" x14ac:dyDescent="0.25">
      <c r="A8" s="9" t="s">
        <v>999</v>
      </c>
      <c r="C8">
        <v>16</v>
      </c>
      <c r="D8">
        <v>18</v>
      </c>
      <c r="H8">
        <v>34</v>
      </c>
    </row>
    <row r="9" spans="1:8" x14ac:dyDescent="0.25">
      <c r="A9" s="9" t="s">
        <v>1000</v>
      </c>
      <c r="C9">
        <v>14</v>
      </c>
      <c r="D9">
        <v>13</v>
      </c>
      <c r="E9">
        <v>1</v>
      </c>
      <c r="H9">
        <v>28</v>
      </c>
    </row>
    <row r="10" spans="1:8" x14ac:dyDescent="0.25">
      <c r="A10" s="9" t="s">
        <v>1001</v>
      </c>
      <c r="B10">
        <v>1</v>
      </c>
      <c r="C10">
        <v>7</v>
      </c>
      <c r="D10">
        <v>7</v>
      </c>
      <c r="H10">
        <v>15</v>
      </c>
    </row>
    <row r="11" spans="1:8" x14ac:dyDescent="0.25">
      <c r="A11" s="9" t="s">
        <v>1002</v>
      </c>
      <c r="C11">
        <v>10</v>
      </c>
      <c r="D11">
        <v>10</v>
      </c>
      <c r="H11">
        <v>20</v>
      </c>
    </row>
    <row r="12" spans="1:8" x14ac:dyDescent="0.25">
      <c r="A12" s="9" t="s">
        <v>1004</v>
      </c>
      <c r="C12">
        <v>7</v>
      </c>
      <c r="D12">
        <v>5</v>
      </c>
      <c r="H12">
        <v>12</v>
      </c>
    </row>
    <row r="13" spans="1:8" x14ac:dyDescent="0.25">
      <c r="A13" s="9" t="s">
        <v>1005</v>
      </c>
      <c r="C13">
        <v>7</v>
      </c>
      <c r="D13">
        <v>11</v>
      </c>
      <c r="E13">
        <v>1</v>
      </c>
      <c r="H13">
        <v>19</v>
      </c>
    </row>
    <row r="14" spans="1:8" x14ac:dyDescent="0.25">
      <c r="A14" s="9" t="s">
        <v>966</v>
      </c>
      <c r="B14">
        <v>18</v>
      </c>
      <c r="C14">
        <v>314</v>
      </c>
      <c r="D14">
        <v>298</v>
      </c>
      <c r="E14">
        <v>60</v>
      </c>
      <c r="F14">
        <v>9</v>
      </c>
      <c r="G14">
        <v>1</v>
      </c>
      <c r="H14">
        <v>700</v>
      </c>
    </row>
    <row r="15" spans="1:8" x14ac:dyDescent="0.25">
      <c r="A15" s="9" t="s">
        <v>1008</v>
      </c>
    </row>
    <row r="16" spans="1:8" x14ac:dyDescent="0.25">
      <c r="A16">
        <f>CORREL(Reservation_Dataset_Cleaned!K:K,Reservation_Dataset_Cleaned!H:H)</f>
        <v>-4.4848157945911037E-2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3D8F-FA11-4130-AA72-5AC3D64D9B2A}">
  <dimension ref="A1:G14"/>
  <sheetViews>
    <sheetView workbookViewId="0">
      <selection sqref="A1:G14"/>
    </sheetView>
  </sheetViews>
  <sheetFormatPr defaultRowHeight="15" x14ac:dyDescent="0.25"/>
  <cols>
    <col min="1" max="1" width="19.5703125" bestFit="1" customWidth="1"/>
    <col min="2" max="2" width="16.85546875" bestFit="1" customWidth="1"/>
    <col min="3" max="3" width="15.7109375" bestFit="1" customWidth="1"/>
    <col min="4" max="4" width="10.140625" bestFit="1" customWidth="1"/>
    <col min="5" max="5" width="7.28515625" bestFit="1" customWidth="1"/>
    <col min="6" max="6" width="7" bestFit="1" customWidth="1"/>
    <col min="7" max="8" width="11.28515625" bestFit="1" customWidth="1"/>
  </cols>
  <sheetData>
    <row r="1" spans="1:7" x14ac:dyDescent="0.25">
      <c r="A1" s="8" t="s">
        <v>968</v>
      </c>
      <c r="B1" s="8" t="s">
        <v>967</v>
      </c>
    </row>
    <row r="2" spans="1:7" x14ac:dyDescent="0.25">
      <c r="A2" s="8" t="s">
        <v>965</v>
      </c>
      <c r="B2" t="s">
        <v>69</v>
      </c>
      <c r="C2" t="s">
        <v>129</v>
      </c>
      <c r="D2" t="s">
        <v>56</v>
      </c>
      <c r="E2" t="s">
        <v>15</v>
      </c>
      <c r="F2" t="s">
        <v>19</v>
      </c>
      <c r="G2" t="s">
        <v>966</v>
      </c>
    </row>
    <row r="3" spans="1:7" x14ac:dyDescent="0.25">
      <c r="A3" s="9" t="s">
        <v>994</v>
      </c>
      <c r="B3">
        <v>1</v>
      </c>
      <c r="C3">
        <v>12</v>
      </c>
      <c r="D3">
        <v>20</v>
      </c>
      <c r="E3">
        <v>28</v>
      </c>
      <c r="F3">
        <v>153</v>
      </c>
      <c r="G3">
        <v>214</v>
      </c>
    </row>
    <row r="4" spans="1:7" x14ac:dyDescent="0.25">
      <c r="A4" s="9" t="s">
        <v>995</v>
      </c>
      <c r="C4">
        <v>1</v>
      </c>
      <c r="D4">
        <v>3</v>
      </c>
      <c r="E4">
        <v>46</v>
      </c>
      <c r="F4">
        <v>99</v>
      </c>
      <c r="G4">
        <v>149</v>
      </c>
    </row>
    <row r="5" spans="1:7" x14ac:dyDescent="0.25">
      <c r="A5" s="9" t="s">
        <v>996</v>
      </c>
      <c r="C5">
        <v>1</v>
      </c>
      <c r="D5">
        <v>2</v>
      </c>
      <c r="E5">
        <v>18</v>
      </c>
      <c r="F5">
        <v>81</v>
      </c>
      <c r="G5">
        <v>102</v>
      </c>
    </row>
    <row r="6" spans="1:7" x14ac:dyDescent="0.25">
      <c r="A6" s="9" t="s">
        <v>997</v>
      </c>
      <c r="D6">
        <v>1</v>
      </c>
      <c r="E6">
        <v>14</v>
      </c>
      <c r="F6">
        <v>48</v>
      </c>
      <c r="G6">
        <v>63</v>
      </c>
    </row>
    <row r="7" spans="1:7" x14ac:dyDescent="0.25">
      <c r="A7" s="9" t="s">
        <v>998</v>
      </c>
      <c r="D7">
        <v>1</v>
      </c>
      <c r="E7">
        <v>12</v>
      </c>
      <c r="F7">
        <v>31</v>
      </c>
      <c r="G7">
        <v>44</v>
      </c>
    </row>
    <row r="8" spans="1:7" x14ac:dyDescent="0.25">
      <c r="A8" s="9" t="s">
        <v>999</v>
      </c>
      <c r="E8">
        <v>5</v>
      </c>
      <c r="F8">
        <v>29</v>
      </c>
      <c r="G8">
        <v>34</v>
      </c>
    </row>
    <row r="9" spans="1:7" x14ac:dyDescent="0.25">
      <c r="A9" s="9" t="s">
        <v>1000</v>
      </c>
      <c r="E9">
        <v>7</v>
      </c>
      <c r="F9">
        <v>21</v>
      </c>
      <c r="G9">
        <v>28</v>
      </c>
    </row>
    <row r="10" spans="1:7" x14ac:dyDescent="0.25">
      <c r="A10" s="9" t="s">
        <v>1001</v>
      </c>
      <c r="E10">
        <v>2</v>
      </c>
      <c r="F10">
        <v>13</v>
      </c>
      <c r="G10">
        <v>15</v>
      </c>
    </row>
    <row r="11" spans="1:7" x14ac:dyDescent="0.25">
      <c r="A11" s="9" t="s">
        <v>1002</v>
      </c>
      <c r="E11">
        <v>3</v>
      </c>
      <c r="F11">
        <v>17</v>
      </c>
      <c r="G11">
        <v>20</v>
      </c>
    </row>
    <row r="12" spans="1:7" x14ac:dyDescent="0.25">
      <c r="A12" s="9" t="s">
        <v>1004</v>
      </c>
      <c r="E12">
        <v>4</v>
      </c>
      <c r="F12">
        <v>8</v>
      </c>
      <c r="G12">
        <v>12</v>
      </c>
    </row>
    <row r="13" spans="1:7" x14ac:dyDescent="0.25">
      <c r="A13" s="9" t="s">
        <v>1005</v>
      </c>
      <c r="E13">
        <v>1</v>
      </c>
      <c r="F13">
        <v>18</v>
      </c>
      <c r="G13">
        <v>19</v>
      </c>
    </row>
    <row r="14" spans="1:7" x14ac:dyDescent="0.25">
      <c r="A14" s="9" t="s">
        <v>966</v>
      </c>
      <c r="B14">
        <v>1</v>
      </c>
      <c r="C14">
        <v>14</v>
      </c>
      <c r="D14">
        <v>27</v>
      </c>
      <c r="E14">
        <v>140</v>
      </c>
      <c r="F14">
        <v>518</v>
      </c>
      <c r="G14">
        <v>700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5913-459A-484D-BF1C-906118F5E872}">
  <dimension ref="A1:G9"/>
  <sheetViews>
    <sheetView workbookViewId="0">
      <selection sqref="A1:G9"/>
    </sheetView>
  </sheetViews>
  <sheetFormatPr defaultRowHeight="15" x14ac:dyDescent="0.25"/>
  <cols>
    <col min="1" max="1" width="24" bestFit="1" customWidth="1"/>
    <col min="2" max="6" width="23.42578125" bestFit="1" customWidth="1"/>
    <col min="7" max="7" width="11.28515625" bestFit="1" customWidth="1"/>
    <col min="8" max="8" width="10.140625" bestFit="1" customWidth="1"/>
    <col min="9" max="9" width="11.5703125" bestFit="1" customWidth="1"/>
    <col min="10" max="13" width="10.140625" bestFit="1" customWidth="1"/>
    <col min="14" max="14" width="12.5703125" bestFit="1" customWidth="1"/>
    <col min="15" max="17" width="10.140625" bestFit="1" customWidth="1"/>
    <col min="18" max="18" width="12.5703125" bestFit="1" customWidth="1"/>
    <col min="19" max="19" width="9.5703125" bestFit="1" customWidth="1"/>
    <col min="20" max="20" width="12.5703125" bestFit="1" customWidth="1"/>
    <col min="21" max="21" width="9.5703125" bestFit="1" customWidth="1"/>
    <col min="22" max="22" width="12.5703125" bestFit="1" customWidth="1"/>
    <col min="23" max="23" width="11.28515625" bestFit="1" customWidth="1"/>
  </cols>
  <sheetData>
    <row r="1" spans="1:7" x14ac:dyDescent="0.25">
      <c r="A1" s="8" t="s">
        <v>968</v>
      </c>
      <c r="B1" s="8" t="s">
        <v>9</v>
      </c>
    </row>
    <row r="2" spans="1:7" x14ac:dyDescent="0.25">
      <c r="A2" s="8" t="s">
        <v>1007</v>
      </c>
      <c r="B2" t="s">
        <v>69</v>
      </c>
      <c r="C2" t="s">
        <v>129</v>
      </c>
      <c r="D2" t="s">
        <v>56</v>
      </c>
      <c r="E2" t="s">
        <v>15</v>
      </c>
      <c r="F2" t="s">
        <v>19</v>
      </c>
      <c r="G2" t="s">
        <v>966</v>
      </c>
    </row>
    <row r="3" spans="1:7" x14ac:dyDescent="0.25">
      <c r="A3" t="s">
        <v>969</v>
      </c>
      <c r="C3">
        <v>14</v>
      </c>
      <c r="E3">
        <v>1</v>
      </c>
      <c r="F3">
        <v>3</v>
      </c>
      <c r="G3">
        <v>18</v>
      </c>
    </row>
    <row r="4" spans="1:7" x14ac:dyDescent="0.25">
      <c r="A4" t="s">
        <v>970</v>
      </c>
      <c r="D4">
        <v>21</v>
      </c>
      <c r="E4">
        <v>96</v>
      </c>
      <c r="F4">
        <v>197</v>
      </c>
      <c r="G4">
        <v>314</v>
      </c>
    </row>
    <row r="5" spans="1:7" x14ac:dyDescent="0.25">
      <c r="A5" t="s">
        <v>971</v>
      </c>
      <c r="B5">
        <v>1</v>
      </c>
      <c r="D5">
        <v>5</v>
      </c>
      <c r="E5">
        <v>39</v>
      </c>
      <c r="F5">
        <v>253</v>
      </c>
      <c r="G5">
        <v>298</v>
      </c>
    </row>
    <row r="6" spans="1:7" x14ac:dyDescent="0.25">
      <c r="A6" t="s">
        <v>972</v>
      </c>
      <c r="D6">
        <v>1</v>
      </c>
      <c r="E6">
        <v>4</v>
      </c>
      <c r="F6">
        <v>55</v>
      </c>
      <c r="G6">
        <v>60</v>
      </c>
    </row>
    <row r="7" spans="1:7" x14ac:dyDescent="0.25">
      <c r="A7" t="s">
        <v>973</v>
      </c>
      <c r="F7">
        <v>9</v>
      </c>
      <c r="G7">
        <v>9</v>
      </c>
    </row>
    <row r="8" spans="1:7" x14ac:dyDescent="0.25">
      <c r="A8" t="s">
        <v>974</v>
      </c>
      <c r="F8">
        <v>1</v>
      </c>
      <c r="G8">
        <v>1</v>
      </c>
    </row>
    <row r="9" spans="1:7" x14ac:dyDescent="0.25">
      <c r="A9" t="s">
        <v>966</v>
      </c>
      <c r="B9">
        <v>1</v>
      </c>
      <c r="C9">
        <v>14</v>
      </c>
      <c r="D9">
        <v>27</v>
      </c>
      <c r="E9">
        <v>140</v>
      </c>
      <c r="F9">
        <v>518</v>
      </c>
      <c r="G9">
        <v>700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D94A-C307-4CDB-9C83-2C991060EDF9}">
  <dimension ref="A1:D14"/>
  <sheetViews>
    <sheetView workbookViewId="0">
      <selection sqref="A1:D14"/>
    </sheetView>
  </sheetViews>
  <sheetFormatPr defaultRowHeight="15" x14ac:dyDescent="0.25"/>
  <cols>
    <col min="1" max="1" width="19.5703125" bestFit="1" customWidth="1"/>
    <col min="2" max="3" width="17" bestFit="1" customWidth="1"/>
    <col min="4" max="5" width="11.28515625" bestFit="1" customWidth="1"/>
  </cols>
  <sheetData>
    <row r="1" spans="1:4" x14ac:dyDescent="0.25">
      <c r="A1" s="8" t="s">
        <v>968</v>
      </c>
      <c r="B1" s="8" t="s">
        <v>11</v>
      </c>
    </row>
    <row r="2" spans="1:4" x14ac:dyDescent="0.25">
      <c r="A2" s="8" t="s">
        <v>1006</v>
      </c>
      <c r="B2" t="s">
        <v>22</v>
      </c>
      <c r="C2" t="s">
        <v>16</v>
      </c>
      <c r="D2" t="s">
        <v>966</v>
      </c>
    </row>
    <row r="3" spans="1:4" x14ac:dyDescent="0.25">
      <c r="A3" t="s">
        <v>994</v>
      </c>
      <c r="B3">
        <v>34</v>
      </c>
      <c r="C3">
        <v>180</v>
      </c>
      <c r="D3">
        <v>214</v>
      </c>
    </row>
    <row r="4" spans="1:4" x14ac:dyDescent="0.25">
      <c r="A4" t="s">
        <v>995</v>
      </c>
      <c r="B4">
        <v>33</v>
      </c>
      <c r="C4">
        <v>116</v>
      </c>
      <c r="D4">
        <v>149</v>
      </c>
    </row>
    <row r="5" spans="1:4" x14ac:dyDescent="0.25">
      <c r="A5" t="s">
        <v>996</v>
      </c>
      <c r="B5">
        <v>19</v>
      </c>
      <c r="C5">
        <v>83</v>
      </c>
      <c r="D5">
        <v>102</v>
      </c>
    </row>
    <row r="6" spans="1:4" x14ac:dyDescent="0.25">
      <c r="A6" t="s">
        <v>997</v>
      </c>
      <c r="B6">
        <v>19</v>
      </c>
      <c r="C6">
        <v>44</v>
      </c>
      <c r="D6">
        <v>63</v>
      </c>
    </row>
    <row r="7" spans="1:4" x14ac:dyDescent="0.25">
      <c r="A7" t="s">
        <v>998</v>
      </c>
      <c r="B7">
        <v>14</v>
      </c>
      <c r="C7">
        <v>30</v>
      </c>
      <c r="D7">
        <v>44</v>
      </c>
    </row>
    <row r="8" spans="1:4" x14ac:dyDescent="0.25">
      <c r="A8" t="s">
        <v>999</v>
      </c>
      <c r="B8">
        <v>20</v>
      </c>
      <c r="C8">
        <v>14</v>
      </c>
      <c r="D8">
        <v>34</v>
      </c>
    </row>
    <row r="9" spans="1:4" x14ac:dyDescent="0.25">
      <c r="A9" t="s">
        <v>1000</v>
      </c>
      <c r="B9">
        <v>15</v>
      </c>
      <c r="C9">
        <v>13</v>
      </c>
      <c r="D9">
        <v>28</v>
      </c>
    </row>
    <row r="10" spans="1:4" x14ac:dyDescent="0.25">
      <c r="A10" t="s">
        <v>1001</v>
      </c>
      <c r="B10">
        <v>12</v>
      </c>
      <c r="C10">
        <v>3</v>
      </c>
      <c r="D10">
        <v>15</v>
      </c>
    </row>
    <row r="11" spans="1:4" x14ac:dyDescent="0.25">
      <c r="A11" t="s">
        <v>1002</v>
      </c>
      <c r="B11">
        <v>15</v>
      </c>
      <c r="C11">
        <v>5</v>
      </c>
      <c r="D11">
        <v>20</v>
      </c>
    </row>
    <row r="12" spans="1:4" x14ac:dyDescent="0.25">
      <c r="A12" t="s">
        <v>1004</v>
      </c>
      <c r="B12">
        <v>8</v>
      </c>
      <c r="C12">
        <v>4</v>
      </c>
      <c r="D12">
        <v>12</v>
      </c>
    </row>
    <row r="13" spans="1:4" x14ac:dyDescent="0.25">
      <c r="A13" t="s">
        <v>1005</v>
      </c>
      <c r="B13">
        <v>18</v>
      </c>
      <c r="C13">
        <v>1</v>
      </c>
      <c r="D13">
        <v>19</v>
      </c>
    </row>
    <row r="14" spans="1:4" x14ac:dyDescent="0.25">
      <c r="A14" t="s">
        <v>966</v>
      </c>
      <c r="B14">
        <v>207</v>
      </c>
      <c r="C14">
        <v>493</v>
      </c>
      <c r="D14">
        <v>700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50ACD-AF0F-4DCA-A6BE-B8C51B90CE90}">
  <dimension ref="A1:D9"/>
  <sheetViews>
    <sheetView workbookViewId="0">
      <selection activeCell="D7" sqref="D7"/>
    </sheetView>
  </sheetViews>
  <sheetFormatPr defaultRowHeight="15" x14ac:dyDescent="0.25"/>
  <cols>
    <col min="1" max="1" width="21.42578125" bestFit="1" customWidth="1"/>
    <col min="2" max="3" width="17" bestFit="1" customWidth="1"/>
    <col min="4" max="4" width="11.28515625" bestFit="1" customWidth="1"/>
    <col min="5" max="7" width="16.85546875" bestFit="1" customWidth="1"/>
    <col min="8" max="8" width="11.28515625" bestFit="1" customWidth="1"/>
    <col min="9" max="9" width="12.5703125" bestFit="1" customWidth="1"/>
    <col min="10" max="11" width="13.85546875" bestFit="1" customWidth="1"/>
    <col min="12" max="12" width="12.5703125" bestFit="1" customWidth="1"/>
    <col min="13" max="14" width="13.85546875" bestFit="1" customWidth="1"/>
    <col min="15" max="15" width="12.5703125" bestFit="1" customWidth="1"/>
    <col min="16" max="16" width="13.85546875" bestFit="1" customWidth="1"/>
    <col min="17" max="17" width="12.5703125" bestFit="1" customWidth="1"/>
    <col min="18" max="18" width="11.28515625" bestFit="1" customWidth="1"/>
  </cols>
  <sheetData>
    <row r="1" spans="1:4" x14ac:dyDescent="0.25">
      <c r="A1" s="8" t="s">
        <v>968</v>
      </c>
      <c r="B1" s="8" t="s">
        <v>11</v>
      </c>
    </row>
    <row r="2" spans="1:4" x14ac:dyDescent="0.25">
      <c r="A2" s="8" t="s">
        <v>976</v>
      </c>
      <c r="B2" t="s">
        <v>22</v>
      </c>
      <c r="C2" t="s">
        <v>16</v>
      </c>
      <c r="D2" t="s">
        <v>966</v>
      </c>
    </row>
    <row r="3" spans="1:4" x14ac:dyDescent="0.25">
      <c r="A3" t="s">
        <v>969</v>
      </c>
      <c r="B3">
        <v>1</v>
      </c>
      <c r="C3">
        <v>17</v>
      </c>
      <c r="D3">
        <v>18</v>
      </c>
    </row>
    <row r="4" spans="1:4" x14ac:dyDescent="0.25">
      <c r="A4" t="s">
        <v>970</v>
      </c>
      <c r="B4">
        <v>64</v>
      </c>
      <c r="C4">
        <v>250</v>
      </c>
      <c r="D4">
        <v>314</v>
      </c>
    </row>
    <row r="5" spans="1:4" x14ac:dyDescent="0.25">
      <c r="A5" t="s">
        <v>971</v>
      </c>
      <c r="B5">
        <v>115</v>
      </c>
      <c r="C5">
        <v>183</v>
      </c>
      <c r="D5">
        <v>298</v>
      </c>
    </row>
    <row r="6" spans="1:4" x14ac:dyDescent="0.25">
      <c r="A6" t="s">
        <v>972</v>
      </c>
      <c r="B6">
        <v>25</v>
      </c>
      <c r="C6">
        <v>35</v>
      </c>
      <c r="D6">
        <v>60</v>
      </c>
    </row>
    <row r="7" spans="1:4" x14ac:dyDescent="0.25">
      <c r="A7" t="s">
        <v>973</v>
      </c>
      <c r="B7">
        <v>2</v>
      </c>
      <c r="C7">
        <v>7</v>
      </c>
      <c r="D7">
        <v>9</v>
      </c>
    </row>
    <row r="8" spans="1:4" x14ac:dyDescent="0.25">
      <c r="A8" t="s">
        <v>974</v>
      </c>
      <c r="C8">
        <v>1</v>
      </c>
      <c r="D8">
        <v>1</v>
      </c>
    </row>
    <row r="9" spans="1:4" x14ac:dyDescent="0.25">
      <c r="A9" t="s">
        <v>966</v>
      </c>
      <c r="B9">
        <v>207</v>
      </c>
      <c r="C9">
        <v>493</v>
      </c>
      <c r="D9">
        <v>700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F269B-70E1-4F58-B766-2337EE7BAEB3}">
  <dimension ref="A1:G5"/>
  <sheetViews>
    <sheetView workbookViewId="0">
      <selection activeCell="G11" sqref="G11"/>
    </sheetView>
  </sheetViews>
  <sheetFormatPr defaultRowHeight="15" x14ac:dyDescent="0.25"/>
  <cols>
    <col min="1" max="1" width="19.5703125" bestFit="1" customWidth="1"/>
    <col min="2" max="6" width="23.42578125" bestFit="1" customWidth="1"/>
    <col min="7" max="8" width="11.28515625" bestFit="1" customWidth="1"/>
  </cols>
  <sheetData>
    <row r="1" spans="1:7" x14ac:dyDescent="0.25">
      <c r="A1" s="8" t="s">
        <v>968</v>
      </c>
      <c r="B1" s="8" t="s">
        <v>9</v>
      </c>
    </row>
    <row r="2" spans="1:7" x14ac:dyDescent="0.25">
      <c r="A2" s="8" t="s">
        <v>11</v>
      </c>
      <c r="B2" t="s">
        <v>69</v>
      </c>
      <c r="C2" t="s">
        <v>129</v>
      </c>
      <c r="D2" t="s">
        <v>56</v>
      </c>
      <c r="E2" t="s">
        <v>15</v>
      </c>
      <c r="F2" t="s">
        <v>19</v>
      </c>
      <c r="G2" t="s">
        <v>966</v>
      </c>
    </row>
    <row r="3" spans="1:7" x14ac:dyDescent="0.25">
      <c r="A3" t="s">
        <v>22</v>
      </c>
      <c r="B3" s="10">
        <v>1.4285714285714286E-3</v>
      </c>
      <c r="C3" s="10">
        <v>0</v>
      </c>
      <c r="D3" s="10">
        <v>1.4285714285714286E-3</v>
      </c>
      <c r="E3" s="10">
        <v>0</v>
      </c>
      <c r="F3" s="10">
        <v>0.29285714285714287</v>
      </c>
      <c r="G3" s="10">
        <v>0.29571428571428571</v>
      </c>
    </row>
    <row r="4" spans="1:7" x14ac:dyDescent="0.25">
      <c r="A4" t="s">
        <v>16</v>
      </c>
      <c r="B4" s="10">
        <v>0</v>
      </c>
      <c r="C4" s="10">
        <v>0.02</v>
      </c>
      <c r="D4" s="10">
        <v>3.7142857142857144E-2</v>
      </c>
      <c r="E4" s="10">
        <v>0.2</v>
      </c>
      <c r="F4" s="10">
        <v>0.44714285714285712</v>
      </c>
      <c r="G4" s="10">
        <v>0.70428571428571429</v>
      </c>
    </row>
    <row r="5" spans="1:7" x14ac:dyDescent="0.25">
      <c r="A5" t="s">
        <v>966</v>
      </c>
      <c r="B5" s="10">
        <v>1.4285714285714286E-3</v>
      </c>
      <c r="C5" s="10">
        <v>0.02</v>
      </c>
      <c r="D5" s="10">
        <v>3.8571428571428569E-2</v>
      </c>
      <c r="E5" s="10">
        <v>0.2</v>
      </c>
      <c r="F5" s="10">
        <v>0.74</v>
      </c>
      <c r="G5" s="1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CE4D1-EDAB-4409-9F2C-2B2246FD8655}">
  <dimension ref="A1:B66"/>
  <sheetViews>
    <sheetView workbookViewId="0">
      <selection activeCell="P20" sqref="P20"/>
    </sheetView>
  </sheetViews>
  <sheetFormatPr defaultRowHeight="15" x14ac:dyDescent="0.25"/>
  <cols>
    <col min="1" max="1" width="13.42578125" bestFit="1" customWidth="1"/>
    <col min="2" max="2" width="18.42578125" bestFit="1" customWidth="1"/>
  </cols>
  <sheetData>
    <row r="1" spans="1:2" x14ac:dyDescent="0.25">
      <c r="A1" s="8" t="s">
        <v>965</v>
      </c>
      <c r="B1" t="s">
        <v>1003</v>
      </c>
    </row>
    <row r="2" spans="1:2" x14ac:dyDescent="0.25">
      <c r="A2" s="9" t="s">
        <v>994</v>
      </c>
      <c r="B2">
        <v>214</v>
      </c>
    </row>
    <row r="3" spans="1:2" x14ac:dyDescent="0.25">
      <c r="A3" s="9" t="s">
        <v>995</v>
      </c>
      <c r="B3">
        <v>149</v>
      </c>
    </row>
    <row r="4" spans="1:2" x14ac:dyDescent="0.25">
      <c r="A4" s="9" t="s">
        <v>996</v>
      </c>
      <c r="B4">
        <v>102</v>
      </c>
    </row>
    <row r="5" spans="1:2" x14ac:dyDescent="0.25">
      <c r="A5" s="9" t="s">
        <v>997</v>
      </c>
      <c r="B5">
        <v>63</v>
      </c>
    </row>
    <row r="6" spans="1:2" x14ac:dyDescent="0.25">
      <c r="A6" s="9" t="s">
        <v>998</v>
      </c>
      <c r="B6">
        <v>44</v>
      </c>
    </row>
    <row r="7" spans="1:2" x14ac:dyDescent="0.25">
      <c r="A7" s="9" t="s">
        <v>999</v>
      </c>
      <c r="B7">
        <v>34</v>
      </c>
    </row>
    <row r="8" spans="1:2" x14ac:dyDescent="0.25">
      <c r="A8" s="9" t="s">
        <v>1000</v>
      </c>
      <c r="B8">
        <v>28</v>
      </c>
    </row>
    <row r="9" spans="1:2" x14ac:dyDescent="0.25">
      <c r="A9" s="9" t="s">
        <v>1001</v>
      </c>
      <c r="B9">
        <v>15</v>
      </c>
    </row>
    <row r="10" spans="1:2" x14ac:dyDescent="0.25">
      <c r="A10" s="9" t="s">
        <v>1002</v>
      </c>
      <c r="B10">
        <v>20</v>
      </c>
    </row>
    <row r="11" spans="1:2" x14ac:dyDescent="0.25">
      <c r="A11" s="9" t="s">
        <v>1004</v>
      </c>
      <c r="B11">
        <v>12</v>
      </c>
    </row>
    <row r="12" spans="1:2" x14ac:dyDescent="0.25">
      <c r="A12" s="9" t="s">
        <v>1005</v>
      </c>
      <c r="B12">
        <v>19</v>
      </c>
    </row>
    <row r="13" spans="1:2" ht="15.75" thickBot="1" x14ac:dyDescent="0.3">
      <c r="A13" s="9" t="s">
        <v>966</v>
      </c>
      <c r="B13">
        <v>700</v>
      </c>
    </row>
    <row r="14" spans="1:2" x14ac:dyDescent="0.25">
      <c r="A14" s="13" t="s">
        <v>980</v>
      </c>
      <c r="B14" s="13"/>
    </row>
    <row r="16" spans="1:2" x14ac:dyDescent="0.25">
      <c r="A16" t="s">
        <v>981</v>
      </c>
      <c r="B16">
        <v>83.3</v>
      </c>
    </row>
    <row r="17" spans="1:2" x14ac:dyDescent="0.25">
      <c r="A17" t="s">
        <v>982</v>
      </c>
      <c r="B17">
        <v>3.1558382956762823</v>
      </c>
    </row>
    <row r="18" spans="1:2" x14ac:dyDescent="0.25">
      <c r="A18" t="s">
        <v>983</v>
      </c>
      <c r="B18">
        <v>56</v>
      </c>
    </row>
    <row r="19" spans="1:2" x14ac:dyDescent="0.25">
      <c r="A19" t="s">
        <v>984</v>
      </c>
      <c r="B19">
        <v>0</v>
      </c>
    </row>
    <row r="20" spans="1:2" x14ac:dyDescent="0.25">
      <c r="A20" t="s">
        <v>985</v>
      </c>
      <c r="B20">
        <v>83.495633082933665</v>
      </c>
    </row>
    <row r="21" spans="1:2" x14ac:dyDescent="0.25">
      <c r="A21" t="s">
        <v>986</v>
      </c>
      <c r="B21">
        <v>6971.5207439198857</v>
      </c>
    </row>
    <row r="22" spans="1:2" x14ac:dyDescent="0.25">
      <c r="A22" t="s">
        <v>987</v>
      </c>
      <c r="B22">
        <v>2.0124676375953068</v>
      </c>
    </row>
    <row r="23" spans="1:2" x14ac:dyDescent="0.25">
      <c r="A23" t="s">
        <v>988</v>
      </c>
      <c r="B23">
        <v>1.4610045273067773</v>
      </c>
    </row>
    <row r="24" spans="1:2" x14ac:dyDescent="0.25">
      <c r="A24" t="s">
        <v>989</v>
      </c>
      <c r="B24">
        <v>443</v>
      </c>
    </row>
    <row r="25" spans="1:2" x14ac:dyDescent="0.25">
      <c r="A25" t="s">
        <v>990</v>
      </c>
      <c r="B25">
        <v>0</v>
      </c>
    </row>
    <row r="26" spans="1:2" x14ac:dyDescent="0.25">
      <c r="A26" t="s">
        <v>991</v>
      </c>
      <c r="B26">
        <v>443</v>
      </c>
    </row>
    <row r="27" spans="1:2" x14ac:dyDescent="0.25">
      <c r="A27" t="s">
        <v>992</v>
      </c>
      <c r="B27">
        <v>58310</v>
      </c>
    </row>
    <row r="28" spans="1:2" ht="15.75" thickBot="1" x14ac:dyDescent="0.3">
      <c r="A28" s="11" t="s">
        <v>993</v>
      </c>
      <c r="B28" s="11">
        <v>700</v>
      </c>
    </row>
    <row r="54" spans="1:2" ht="15.75" thickBot="1" x14ac:dyDescent="0.3"/>
    <row r="55" spans="1:2" x14ac:dyDescent="0.25">
      <c r="A55" s="12" t="s">
        <v>977</v>
      </c>
      <c r="B55" s="12" t="s">
        <v>979</v>
      </c>
    </row>
    <row r="56" spans="1:2" x14ac:dyDescent="0.25">
      <c r="A56">
        <v>30</v>
      </c>
      <c r="B56">
        <v>222</v>
      </c>
    </row>
    <row r="57" spans="1:2" x14ac:dyDescent="0.25">
      <c r="A57">
        <v>60</v>
      </c>
      <c r="B57">
        <v>145</v>
      </c>
    </row>
    <row r="58" spans="1:2" x14ac:dyDescent="0.25">
      <c r="A58">
        <v>90</v>
      </c>
      <c r="B58">
        <v>98</v>
      </c>
    </row>
    <row r="59" spans="1:2" x14ac:dyDescent="0.25">
      <c r="A59">
        <v>120</v>
      </c>
      <c r="B59">
        <v>65</v>
      </c>
    </row>
    <row r="60" spans="1:2" x14ac:dyDescent="0.25">
      <c r="A60">
        <v>150</v>
      </c>
      <c r="B60">
        <v>42</v>
      </c>
    </row>
    <row r="61" spans="1:2" x14ac:dyDescent="0.25">
      <c r="A61">
        <v>180</v>
      </c>
      <c r="B61">
        <v>35</v>
      </c>
    </row>
    <row r="62" spans="1:2" x14ac:dyDescent="0.25">
      <c r="A62">
        <v>210</v>
      </c>
      <c r="B62">
        <v>27</v>
      </c>
    </row>
    <row r="63" spans="1:2" x14ac:dyDescent="0.25">
      <c r="A63">
        <v>240</v>
      </c>
      <c r="B63">
        <v>15</v>
      </c>
    </row>
    <row r="64" spans="1:2" x14ac:dyDescent="0.25">
      <c r="A64">
        <v>270</v>
      </c>
      <c r="B64">
        <v>20</v>
      </c>
    </row>
    <row r="65" spans="1:2" x14ac:dyDescent="0.25">
      <c r="A65">
        <v>300</v>
      </c>
      <c r="B65">
        <v>12</v>
      </c>
    </row>
    <row r="66" spans="1:2" ht="15.75" thickBot="1" x14ac:dyDescent="0.3">
      <c r="A66" s="11" t="s">
        <v>978</v>
      </c>
      <c r="B66" s="11">
        <v>19</v>
      </c>
    </row>
  </sheetData>
  <sortState xmlns:xlrd2="http://schemas.microsoft.com/office/spreadsheetml/2017/richdata2" ref="A56:A65">
    <sortCondition ref="A56"/>
  </sortState>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533B-169E-4F72-B814-E912529F1123}">
  <dimension ref="A1:B74"/>
  <sheetViews>
    <sheetView tabSelected="1" zoomScale="85" zoomScaleNormal="85" workbookViewId="0">
      <selection activeCell="W20" sqref="W20"/>
    </sheetView>
  </sheetViews>
  <sheetFormatPr defaultRowHeight="15" x14ac:dyDescent="0.25"/>
  <cols>
    <col min="1" max="1" width="24.42578125" bestFit="1" customWidth="1"/>
    <col min="2" max="2" width="27.7109375" bestFit="1" customWidth="1"/>
  </cols>
  <sheetData>
    <row r="1" spans="1:2" x14ac:dyDescent="0.25">
      <c r="A1" s="8" t="s">
        <v>976</v>
      </c>
      <c r="B1" t="s">
        <v>975</v>
      </c>
    </row>
    <row r="2" spans="1:2" x14ac:dyDescent="0.25">
      <c r="A2" t="s">
        <v>969</v>
      </c>
      <c r="B2">
        <v>18</v>
      </c>
    </row>
    <row r="3" spans="1:2" x14ac:dyDescent="0.25">
      <c r="A3" t="s">
        <v>970</v>
      </c>
      <c r="B3">
        <v>314</v>
      </c>
    </row>
    <row r="4" spans="1:2" x14ac:dyDescent="0.25">
      <c r="A4" t="s">
        <v>971</v>
      </c>
      <c r="B4">
        <v>298</v>
      </c>
    </row>
    <row r="5" spans="1:2" x14ac:dyDescent="0.25">
      <c r="A5" t="s">
        <v>972</v>
      </c>
      <c r="B5">
        <v>60</v>
      </c>
    </row>
    <row r="6" spans="1:2" x14ac:dyDescent="0.25">
      <c r="A6" t="s">
        <v>973</v>
      </c>
      <c r="B6">
        <v>9</v>
      </c>
    </row>
    <row r="7" spans="1:2" x14ac:dyDescent="0.25">
      <c r="A7" t="s">
        <v>974</v>
      </c>
      <c r="B7">
        <v>1</v>
      </c>
    </row>
    <row r="8" spans="1:2" x14ac:dyDescent="0.25">
      <c r="A8" t="s">
        <v>966</v>
      </c>
      <c r="B8">
        <v>700</v>
      </c>
    </row>
    <row r="23" spans="1:2" ht="15.75" thickBot="1" x14ac:dyDescent="0.3"/>
    <row r="24" spans="1:2" x14ac:dyDescent="0.25">
      <c r="A24" s="13" t="s">
        <v>980</v>
      </c>
      <c r="B24" s="13"/>
    </row>
    <row r="26" spans="1:2" x14ac:dyDescent="0.25">
      <c r="A26" t="s">
        <v>981</v>
      </c>
      <c r="B26" s="14">
        <v>104.59938571428573</v>
      </c>
    </row>
    <row r="27" spans="1:2" x14ac:dyDescent="0.25">
      <c r="A27" t="s">
        <v>982</v>
      </c>
      <c r="B27" s="14">
        <v>1.3337244131417123</v>
      </c>
    </row>
    <row r="28" spans="1:2" x14ac:dyDescent="0.25">
      <c r="A28" t="s">
        <v>983</v>
      </c>
      <c r="B28" s="14">
        <v>101.5</v>
      </c>
    </row>
    <row r="29" spans="1:2" x14ac:dyDescent="0.25">
      <c r="A29" t="s">
        <v>984</v>
      </c>
      <c r="B29" s="14">
        <v>75</v>
      </c>
    </row>
    <row r="30" spans="1:2" x14ac:dyDescent="0.25">
      <c r="A30" t="s">
        <v>985</v>
      </c>
      <c r="B30" s="14">
        <v>35.287031146685372</v>
      </c>
    </row>
    <row r="31" spans="1:2" x14ac:dyDescent="0.25">
      <c r="A31" t="s">
        <v>986</v>
      </c>
      <c r="B31" s="14">
        <v>1245.1745671471435</v>
      </c>
    </row>
    <row r="32" spans="1:2" x14ac:dyDescent="0.25">
      <c r="A32" t="s">
        <v>987</v>
      </c>
      <c r="B32" s="14">
        <v>1.9095543040850775</v>
      </c>
    </row>
    <row r="33" spans="1:2" x14ac:dyDescent="0.25">
      <c r="A33" t="s">
        <v>988</v>
      </c>
      <c r="B33" s="14">
        <v>0.40956361284925069</v>
      </c>
    </row>
    <row r="34" spans="1:2" x14ac:dyDescent="0.25">
      <c r="A34" t="s">
        <v>989</v>
      </c>
      <c r="B34" s="14">
        <v>258</v>
      </c>
    </row>
    <row r="35" spans="1:2" x14ac:dyDescent="0.25">
      <c r="A35" t="s">
        <v>990</v>
      </c>
      <c r="B35" s="14">
        <v>0</v>
      </c>
    </row>
    <row r="36" spans="1:2" x14ac:dyDescent="0.25">
      <c r="A36" t="s">
        <v>991</v>
      </c>
      <c r="B36" s="14">
        <v>258</v>
      </c>
    </row>
    <row r="37" spans="1:2" x14ac:dyDescent="0.25">
      <c r="A37" t="s">
        <v>992</v>
      </c>
      <c r="B37" s="14">
        <v>73219.570000000007</v>
      </c>
    </row>
    <row r="38" spans="1:2" ht="15.75" thickBot="1" x14ac:dyDescent="0.3">
      <c r="A38" s="11" t="s">
        <v>993</v>
      </c>
      <c r="B38" s="15">
        <v>700</v>
      </c>
    </row>
    <row r="66" spans="1:2" ht="15.75" thickBot="1" x14ac:dyDescent="0.3"/>
    <row r="67" spans="1:2" x14ac:dyDescent="0.25">
      <c r="A67" s="12" t="s">
        <v>977</v>
      </c>
      <c r="B67" s="12" t="s">
        <v>979</v>
      </c>
    </row>
    <row r="68" spans="1:2" x14ac:dyDescent="0.25">
      <c r="A68">
        <v>50</v>
      </c>
      <c r="B68">
        <v>18</v>
      </c>
    </row>
    <row r="69" spans="1:2" x14ac:dyDescent="0.25">
      <c r="A69">
        <v>100</v>
      </c>
      <c r="B69">
        <v>326</v>
      </c>
    </row>
    <row r="70" spans="1:2" x14ac:dyDescent="0.25">
      <c r="A70">
        <v>150</v>
      </c>
      <c r="B70">
        <v>289</v>
      </c>
    </row>
    <row r="71" spans="1:2" x14ac:dyDescent="0.25">
      <c r="A71">
        <v>200</v>
      </c>
      <c r="B71">
        <v>58</v>
      </c>
    </row>
    <row r="72" spans="1:2" x14ac:dyDescent="0.25">
      <c r="A72">
        <v>250</v>
      </c>
      <c r="B72">
        <v>8</v>
      </c>
    </row>
    <row r="73" spans="1:2" x14ac:dyDescent="0.25">
      <c r="A73">
        <v>300</v>
      </c>
      <c r="B73">
        <v>1</v>
      </c>
    </row>
    <row r="74" spans="1:2" ht="15.75" thickBot="1" x14ac:dyDescent="0.3">
      <c r="A74" s="11" t="s">
        <v>978</v>
      </c>
      <c r="B74" s="11">
        <v>0</v>
      </c>
    </row>
  </sheetData>
  <sortState xmlns:xlrd2="http://schemas.microsoft.com/office/spreadsheetml/2017/richdata2" ref="A68:A73">
    <sortCondition ref="A68"/>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688E-70AB-4455-8618-A7FC80258B73}">
  <dimension ref="A3:B9"/>
  <sheetViews>
    <sheetView workbookViewId="0">
      <selection activeCell="L16" sqref="L16"/>
    </sheetView>
  </sheetViews>
  <sheetFormatPr defaultRowHeight="15" x14ac:dyDescent="0.25"/>
  <cols>
    <col min="1" max="1" width="15" bestFit="1" customWidth="1"/>
    <col min="2" max="2" width="19.5703125" bestFit="1" customWidth="1"/>
  </cols>
  <sheetData>
    <row r="3" spans="1:2" x14ac:dyDescent="0.25">
      <c r="A3" s="8" t="s">
        <v>965</v>
      </c>
      <c r="B3" t="s">
        <v>968</v>
      </c>
    </row>
    <row r="4" spans="1:2" x14ac:dyDescent="0.25">
      <c r="A4" s="9" t="s">
        <v>69</v>
      </c>
      <c r="B4">
        <v>1</v>
      </c>
    </row>
    <row r="5" spans="1:2" x14ac:dyDescent="0.25">
      <c r="A5" s="9" t="s">
        <v>129</v>
      </c>
      <c r="B5">
        <v>14</v>
      </c>
    </row>
    <row r="6" spans="1:2" x14ac:dyDescent="0.25">
      <c r="A6" s="9" t="s">
        <v>56</v>
      </c>
      <c r="B6">
        <v>27</v>
      </c>
    </row>
    <row r="7" spans="1:2" x14ac:dyDescent="0.25">
      <c r="A7" s="9" t="s">
        <v>15</v>
      </c>
      <c r="B7">
        <v>140</v>
      </c>
    </row>
    <row r="8" spans="1:2" x14ac:dyDescent="0.25">
      <c r="A8" s="9" t="s">
        <v>19</v>
      </c>
      <c r="B8">
        <v>518</v>
      </c>
    </row>
    <row r="9" spans="1:2" x14ac:dyDescent="0.25">
      <c r="A9" s="9" t="s">
        <v>966</v>
      </c>
      <c r="B9">
        <v>700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B375-E5FD-45F8-BF23-F933BE38D493}">
  <dimension ref="A3:B5"/>
  <sheetViews>
    <sheetView workbookViewId="0">
      <selection activeCell="M22" sqref="M22"/>
    </sheetView>
  </sheetViews>
  <sheetFormatPr defaultRowHeight="15" x14ac:dyDescent="0.25"/>
  <cols>
    <col min="1" max="1" width="13.42578125" bestFit="1" customWidth="1"/>
    <col min="2" max="2" width="19.5703125" bestFit="1" customWidth="1"/>
    <col min="3" max="3" width="15.7109375" bestFit="1" customWidth="1"/>
    <col min="4" max="4" width="10.140625" bestFit="1" customWidth="1"/>
    <col min="5" max="5" width="7.28515625" bestFit="1" customWidth="1"/>
    <col min="6" max="6" width="7.140625" bestFit="1" customWidth="1"/>
    <col min="7" max="8" width="11.28515625" bestFit="1" customWidth="1"/>
  </cols>
  <sheetData>
    <row r="3" spans="1:2" x14ac:dyDescent="0.25">
      <c r="A3" s="8" t="s">
        <v>965</v>
      </c>
      <c r="B3" t="s">
        <v>968</v>
      </c>
    </row>
    <row r="4" spans="1:2" x14ac:dyDescent="0.25">
      <c r="A4" s="9" t="s">
        <v>22</v>
      </c>
      <c r="B4" s="10">
        <v>0.29571428571428571</v>
      </c>
    </row>
    <row r="5" spans="1:2" x14ac:dyDescent="0.25">
      <c r="A5" s="9" t="s">
        <v>16</v>
      </c>
      <c r="B5" s="10">
        <v>0.70428571428571429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B2AFD-6D82-4D89-8FC9-1CC650433B97}">
  <dimension ref="A1:N701"/>
  <sheetViews>
    <sheetView workbookViewId="0">
      <selection activeCell="K1" activeCellId="1" sqref="H1:H1048576 K1:K1048576"/>
    </sheetView>
  </sheetViews>
  <sheetFormatPr defaultRowHeight="15" x14ac:dyDescent="0.25"/>
  <cols>
    <col min="1" max="1" width="11" bestFit="1" customWidth="1"/>
    <col min="2" max="2" width="12.42578125" bestFit="1" customWidth="1"/>
    <col min="3" max="3" width="14.42578125" bestFit="1" customWidth="1"/>
    <col min="4" max="4" width="21.85546875" bestFit="1" customWidth="1"/>
    <col min="5" max="5" width="18.28515625" bestFit="1" customWidth="1"/>
    <col min="6" max="6" width="18" bestFit="1" customWidth="1"/>
    <col min="7" max="7" width="19.7109375" bestFit="1" customWidth="1"/>
    <col min="8" max="8" width="9.85546875" bestFit="1" customWidth="1"/>
    <col min="9" max="9" width="11.42578125" bestFit="1" customWidth="1"/>
    <col min="10" max="10" width="21.140625" bestFit="1" customWidth="1"/>
    <col min="11" max="11" width="19.140625" bestFit="1" customWidth="1"/>
    <col min="12" max="12" width="14.7109375" bestFit="1" customWidth="1"/>
  </cols>
  <sheetData>
    <row r="1" spans="1:14" s="2" customFormat="1" x14ac:dyDescent="0.25">
      <c r="A1" s="3" t="s">
        <v>0</v>
      </c>
      <c r="B1" s="3" t="s">
        <v>1</v>
      </c>
      <c r="C1" s="3" t="s">
        <v>2</v>
      </c>
      <c r="D1" s="3" t="s">
        <v>3</v>
      </c>
      <c r="E1" s="3" t="s">
        <v>4</v>
      </c>
      <c r="F1" s="3" t="s">
        <v>5</v>
      </c>
      <c r="G1" s="3" t="s">
        <v>6</v>
      </c>
      <c r="H1" s="3" t="s">
        <v>7</v>
      </c>
      <c r="I1" s="3" t="s">
        <v>8</v>
      </c>
      <c r="J1" s="3" t="s">
        <v>9</v>
      </c>
      <c r="K1" s="3" t="s">
        <v>10</v>
      </c>
      <c r="L1" s="3" t="s">
        <v>11</v>
      </c>
      <c r="M1">
        <v>30</v>
      </c>
      <c r="N1" s="2">
        <v>30</v>
      </c>
    </row>
    <row r="2" spans="1:14" x14ac:dyDescent="0.25">
      <c r="A2" t="s">
        <v>12</v>
      </c>
      <c r="B2">
        <v>2</v>
      </c>
      <c r="C2">
        <v>0</v>
      </c>
      <c r="D2">
        <v>1</v>
      </c>
      <c r="E2">
        <v>2</v>
      </c>
      <c r="F2" t="s">
        <v>13</v>
      </c>
      <c r="G2" t="s">
        <v>14</v>
      </c>
      <c r="H2">
        <v>224</v>
      </c>
      <c r="I2" s="1">
        <v>42776</v>
      </c>
      <c r="J2" t="s">
        <v>15</v>
      </c>
      <c r="K2">
        <v>65</v>
      </c>
      <c r="L2" t="s">
        <v>16</v>
      </c>
      <c r="M2">
        <f>M1+$N$1</f>
        <v>60</v>
      </c>
    </row>
    <row r="3" spans="1:14" x14ac:dyDescent="0.25">
      <c r="A3" t="s">
        <v>17</v>
      </c>
      <c r="B3">
        <v>2</v>
      </c>
      <c r="C3">
        <v>0</v>
      </c>
      <c r="D3">
        <v>2</v>
      </c>
      <c r="E3">
        <v>3</v>
      </c>
      <c r="F3" t="s">
        <v>18</v>
      </c>
      <c r="G3" t="s">
        <v>14</v>
      </c>
      <c r="H3">
        <v>5</v>
      </c>
      <c r="I3" s="1">
        <v>43262</v>
      </c>
      <c r="J3" t="s">
        <v>19</v>
      </c>
      <c r="K3">
        <v>106.68</v>
      </c>
      <c r="L3" t="s">
        <v>16</v>
      </c>
      <c r="M3">
        <f t="shared" ref="M3:M10" si="0">M2+$N$1</f>
        <v>90</v>
      </c>
    </row>
    <row r="4" spans="1:14" x14ac:dyDescent="0.25">
      <c r="A4" t="s">
        <v>20</v>
      </c>
      <c r="B4">
        <v>1</v>
      </c>
      <c r="C4">
        <v>0</v>
      </c>
      <c r="D4">
        <v>2</v>
      </c>
      <c r="E4">
        <v>1</v>
      </c>
      <c r="F4" t="s">
        <v>13</v>
      </c>
      <c r="G4" t="s">
        <v>14</v>
      </c>
      <c r="H4">
        <v>1</v>
      </c>
      <c r="I4" t="s">
        <v>21</v>
      </c>
      <c r="J4" t="s">
        <v>19</v>
      </c>
      <c r="K4">
        <v>60</v>
      </c>
      <c r="L4" t="s">
        <v>22</v>
      </c>
      <c r="M4">
        <f t="shared" si="0"/>
        <v>120</v>
      </c>
    </row>
    <row r="5" spans="1:14" x14ac:dyDescent="0.25">
      <c r="A5" t="s">
        <v>23</v>
      </c>
      <c r="B5">
        <v>2</v>
      </c>
      <c r="C5">
        <v>0</v>
      </c>
      <c r="D5">
        <v>0</v>
      </c>
      <c r="E5">
        <v>2</v>
      </c>
      <c r="F5" t="s">
        <v>13</v>
      </c>
      <c r="G5" t="s">
        <v>14</v>
      </c>
      <c r="H5">
        <v>211</v>
      </c>
      <c r="I5" t="s">
        <v>24</v>
      </c>
      <c r="J5" t="s">
        <v>19</v>
      </c>
      <c r="K5">
        <v>100</v>
      </c>
      <c r="L5" t="s">
        <v>22</v>
      </c>
      <c r="M5">
        <f t="shared" si="0"/>
        <v>150</v>
      </c>
    </row>
    <row r="6" spans="1:14" x14ac:dyDescent="0.25">
      <c r="A6" t="s">
        <v>25</v>
      </c>
      <c r="B6">
        <v>2</v>
      </c>
      <c r="C6">
        <v>0</v>
      </c>
      <c r="D6">
        <v>1</v>
      </c>
      <c r="E6">
        <v>1</v>
      </c>
      <c r="F6" t="s">
        <v>18</v>
      </c>
      <c r="G6" t="s">
        <v>14</v>
      </c>
      <c r="H6">
        <v>48</v>
      </c>
      <c r="I6" s="1">
        <v>43408</v>
      </c>
      <c r="J6" t="s">
        <v>19</v>
      </c>
      <c r="K6">
        <v>94.5</v>
      </c>
      <c r="L6" t="s">
        <v>22</v>
      </c>
      <c r="M6">
        <f t="shared" si="0"/>
        <v>180</v>
      </c>
    </row>
    <row r="7" spans="1:14" x14ac:dyDescent="0.25">
      <c r="A7" t="s">
        <v>26</v>
      </c>
      <c r="B7">
        <v>2</v>
      </c>
      <c r="C7">
        <v>0</v>
      </c>
      <c r="D7">
        <v>0</v>
      </c>
      <c r="E7">
        <v>2</v>
      </c>
      <c r="F7" t="s">
        <v>27</v>
      </c>
      <c r="G7" t="s">
        <v>14</v>
      </c>
      <c r="H7">
        <v>346</v>
      </c>
      <c r="I7" t="s">
        <v>28</v>
      </c>
      <c r="J7" t="s">
        <v>19</v>
      </c>
      <c r="K7">
        <v>115</v>
      </c>
      <c r="L7" t="s">
        <v>22</v>
      </c>
      <c r="M7">
        <f t="shared" si="0"/>
        <v>210</v>
      </c>
    </row>
    <row r="8" spans="1:14" x14ac:dyDescent="0.25">
      <c r="A8" t="s">
        <v>29</v>
      </c>
      <c r="B8">
        <v>2</v>
      </c>
      <c r="C8">
        <v>0</v>
      </c>
      <c r="D8">
        <v>1</v>
      </c>
      <c r="E8">
        <v>3</v>
      </c>
      <c r="F8" t="s">
        <v>13</v>
      </c>
      <c r="G8" t="s">
        <v>14</v>
      </c>
      <c r="H8">
        <v>34</v>
      </c>
      <c r="I8" t="s">
        <v>30</v>
      </c>
      <c r="J8" t="s">
        <v>19</v>
      </c>
      <c r="K8">
        <v>107.55</v>
      </c>
      <c r="L8" t="s">
        <v>16</v>
      </c>
      <c r="M8">
        <f>M7+$N$1</f>
        <v>240</v>
      </c>
    </row>
    <row r="9" spans="1:14" x14ac:dyDescent="0.25">
      <c r="A9" t="s">
        <v>31</v>
      </c>
      <c r="B9">
        <v>2</v>
      </c>
      <c r="C9">
        <v>0</v>
      </c>
      <c r="D9">
        <v>1</v>
      </c>
      <c r="E9">
        <v>3</v>
      </c>
      <c r="F9" t="s">
        <v>13</v>
      </c>
      <c r="G9" t="s">
        <v>32</v>
      </c>
      <c r="H9">
        <v>83</v>
      </c>
      <c r="I9" t="s">
        <v>33</v>
      </c>
      <c r="J9" t="s">
        <v>19</v>
      </c>
      <c r="K9">
        <v>105.61</v>
      </c>
      <c r="L9" t="s">
        <v>16</v>
      </c>
      <c r="M9">
        <f t="shared" si="0"/>
        <v>270</v>
      </c>
    </row>
    <row r="10" spans="1:14" x14ac:dyDescent="0.25">
      <c r="A10" t="s">
        <v>34</v>
      </c>
      <c r="B10">
        <v>3</v>
      </c>
      <c r="C10">
        <v>0</v>
      </c>
      <c r="D10">
        <v>0</v>
      </c>
      <c r="E10">
        <v>4</v>
      </c>
      <c r="F10" t="s">
        <v>13</v>
      </c>
      <c r="G10" t="s">
        <v>14</v>
      </c>
      <c r="H10">
        <v>121</v>
      </c>
      <c r="I10" s="1">
        <v>43258</v>
      </c>
      <c r="J10" t="s">
        <v>15</v>
      </c>
      <c r="K10">
        <v>96.9</v>
      </c>
      <c r="L10" t="s">
        <v>16</v>
      </c>
      <c r="M10">
        <f t="shared" si="0"/>
        <v>300</v>
      </c>
    </row>
    <row r="11" spans="1:14" x14ac:dyDescent="0.25">
      <c r="A11" t="s">
        <v>35</v>
      </c>
      <c r="B11">
        <v>2</v>
      </c>
      <c r="C11">
        <v>0</v>
      </c>
      <c r="D11">
        <v>0</v>
      </c>
      <c r="E11">
        <v>5</v>
      </c>
      <c r="F11" t="s">
        <v>13</v>
      </c>
      <c r="G11" t="s">
        <v>32</v>
      </c>
      <c r="H11">
        <v>44</v>
      </c>
      <c r="I11" t="s">
        <v>36</v>
      </c>
      <c r="J11" t="s">
        <v>19</v>
      </c>
      <c r="K11">
        <v>133.44</v>
      </c>
      <c r="L11" t="s">
        <v>16</v>
      </c>
    </row>
    <row r="12" spans="1:14" x14ac:dyDescent="0.25">
      <c r="A12" t="s">
        <v>37</v>
      </c>
      <c r="B12">
        <v>1</v>
      </c>
      <c r="C12">
        <v>0</v>
      </c>
      <c r="D12">
        <v>1</v>
      </c>
      <c r="E12">
        <v>0</v>
      </c>
      <c r="F12" t="s">
        <v>18</v>
      </c>
      <c r="G12" t="s">
        <v>14</v>
      </c>
      <c r="H12">
        <v>0</v>
      </c>
      <c r="I12" s="1">
        <v>43413</v>
      </c>
      <c r="J12" t="s">
        <v>19</v>
      </c>
      <c r="K12">
        <v>85.03</v>
      </c>
      <c r="L12" t="s">
        <v>16</v>
      </c>
    </row>
    <row r="13" spans="1:14" x14ac:dyDescent="0.25">
      <c r="A13" t="s">
        <v>38</v>
      </c>
      <c r="B13">
        <v>1</v>
      </c>
      <c r="C13">
        <v>0</v>
      </c>
      <c r="D13">
        <v>2</v>
      </c>
      <c r="E13">
        <v>1</v>
      </c>
      <c r="F13" t="s">
        <v>13</v>
      </c>
      <c r="G13" t="s">
        <v>32</v>
      </c>
      <c r="H13">
        <v>35</v>
      </c>
      <c r="I13" t="s">
        <v>39</v>
      </c>
      <c r="J13" t="s">
        <v>19</v>
      </c>
      <c r="K13">
        <v>140.4</v>
      </c>
      <c r="L13" t="s">
        <v>16</v>
      </c>
    </row>
    <row r="14" spans="1:14" x14ac:dyDescent="0.25">
      <c r="A14" t="s">
        <v>40</v>
      </c>
      <c r="B14">
        <v>2</v>
      </c>
      <c r="C14">
        <v>0</v>
      </c>
      <c r="D14">
        <v>2</v>
      </c>
      <c r="E14">
        <v>1</v>
      </c>
      <c r="F14" t="s">
        <v>18</v>
      </c>
      <c r="G14" t="s">
        <v>14</v>
      </c>
      <c r="H14">
        <v>30</v>
      </c>
      <c r="I14" t="s">
        <v>41</v>
      </c>
      <c r="J14" t="s">
        <v>19</v>
      </c>
      <c r="K14">
        <v>88</v>
      </c>
      <c r="L14" t="s">
        <v>22</v>
      </c>
    </row>
    <row r="15" spans="1:14" x14ac:dyDescent="0.25">
      <c r="A15" t="s">
        <v>42</v>
      </c>
      <c r="B15">
        <v>1</v>
      </c>
      <c r="C15">
        <v>0</v>
      </c>
      <c r="D15">
        <v>2</v>
      </c>
      <c r="E15">
        <v>0</v>
      </c>
      <c r="F15" t="s">
        <v>13</v>
      </c>
      <c r="G15" t="s">
        <v>14</v>
      </c>
      <c r="H15">
        <v>95</v>
      </c>
      <c r="I15" t="s">
        <v>43</v>
      </c>
      <c r="J15" t="s">
        <v>19</v>
      </c>
      <c r="K15">
        <v>90</v>
      </c>
      <c r="L15" t="s">
        <v>22</v>
      </c>
    </row>
    <row r="16" spans="1:14" x14ac:dyDescent="0.25">
      <c r="A16" t="s">
        <v>44</v>
      </c>
      <c r="B16">
        <v>2</v>
      </c>
      <c r="C16">
        <v>0</v>
      </c>
      <c r="D16">
        <v>0</v>
      </c>
      <c r="E16">
        <v>2</v>
      </c>
      <c r="F16" t="s">
        <v>13</v>
      </c>
      <c r="G16" t="s">
        <v>14</v>
      </c>
      <c r="H16">
        <v>47</v>
      </c>
      <c r="I16" t="s">
        <v>45</v>
      </c>
      <c r="J16" t="s">
        <v>19</v>
      </c>
      <c r="K16">
        <v>94.5</v>
      </c>
      <c r="L16" t="s">
        <v>16</v>
      </c>
    </row>
    <row r="17" spans="1:12" x14ac:dyDescent="0.25">
      <c r="A17" t="s">
        <v>46</v>
      </c>
      <c r="B17">
        <v>2</v>
      </c>
      <c r="C17">
        <v>0</v>
      </c>
      <c r="D17">
        <v>0</v>
      </c>
      <c r="E17">
        <v>2</v>
      </c>
      <c r="F17" t="s">
        <v>27</v>
      </c>
      <c r="G17" t="s">
        <v>14</v>
      </c>
      <c r="H17">
        <v>256</v>
      </c>
      <c r="I17" t="s">
        <v>47</v>
      </c>
      <c r="J17" t="s">
        <v>19</v>
      </c>
      <c r="K17">
        <v>115</v>
      </c>
      <c r="L17" t="s">
        <v>22</v>
      </c>
    </row>
    <row r="18" spans="1:12" x14ac:dyDescent="0.25">
      <c r="A18" t="s">
        <v>48</v>
      </c>
      <c r="B18">
        <v>1</v>
      </c>
      <c r="C18">
        <v>0</v>
      </c>
      <c r="D18">
        <v>1</v>
      </c>
      <c r="E18">
        <v>0</v>
      </c>
      <c r="F18" t="s">
        <v>13</v>
      </c>
      <c r="G18" t="s">
        <v>14</v>
      </c>
      <c r="H18">
        <v>0</v>
      </c>
      <c r="I18" s="1">
        <v>42865</v>
      </c>
      <c r="J18" t="s">
        <v>15</v>
      </c>
      <c r="K18">
        <v>96</v>
      </c>
      <c r="L18" t="s">
        <v>16</v>
      </c>
    </row>
    <row r="19" spans="1:12" x14ac:dyDescent="0.25">
      <c r="A19" t="s">
        <v>49</v>
      </c>
      <c r="B19">
        <v>2</v>
      </c>
      <c r="C19">
        <v>0</v>
      </c>
      <c r="D19">
        <v>1</v>
      </c>
      <c r="E19">
        <v>3</v>
      </c>
      <c r="F19" t="s">
        <v>18</v>
      </c>
      <c r="G19" t="s">
        <v>14</v>
      </c>
      <c r="H19">
        <v>1</v>
      </c>
      <c r="I19" s="1">
        <v>43016</v>
      </c>
      <c r="J19" t="s">
        <v>19</v>
      </c>
      <c r="K19">
        <v>96</v>
      </c>
      <c r="L19" t="s">
        <v>16</v>
      </c>
    </row>
    <row r="20" spans="1:12" x14ac:dyDescent="0.25">
      <c r="A20" t="s">
        <v>50</v>
      </c>
      <c r="B20">
        <v>2</v>
      </c>
      <c r="C20">
        <v>0</v>
      </c>
      <c r="D20">
        <v>2</v>
      </c>
      <c r="E20">
        <v>2</v>
      </c>
      <c r="F20" t="s">
        <v>13</v>
      </c>
      <c r="G20" t="s">
        <v>14</v>
      </c>
      <c r="H20">
        <v>99</v>
      </c>
      <c r="I20" t="s">
        <v>51</v>
      </c>
      <c r="J20" t="s">
        <v>19</v>
      </c>
      <c r="K20">
        <v>65</v>
      </c>
      <c r="L20" t="s">
        <v>22</v>
      </c>
    </row>
    <row r="21" spans="1:12" x14ac:dyDescent="0.25">
      <c r="A21" t="s">
        <v>52</v>
      </c>
      <c r="B21">
        <v>2</v>
      </c>
      <c r="C21">
        <v>0</v>
      </c>
      <c r="D21">
        <v>1</v>
      </c>
      <c r="E21">
        <v>0</v>
      </c>
      <c r="F21" t="s">
        <v>13</v>
      </c>
      <c r="G21" t="s">
        <v>14</v>
      </c>
      <c r="H21">
        <v>12</v>
      </c>
      <c r="I21" s="1">
        <v>42835</v>
      </c>
      <c r="J21" t="s">
        <v>15</v>
      </c>
      <c r="K21">
        <v>72</v>
      </c>
      <c r="L21" t="s">
        <v>16</v>
      </c>
    </row>
    <row r="22" spans="1:12" x14ac:dyDescent="0.25">
      <c r="A22" t="s">
        <v>53</v>
      </c>
      <c r="B22">
        <v>2</v>
      </c>
      <c r="C22">
        <v>0</v>
      </c>
      <c r="D22">
        <v>2</v>
      </c>
      <c r="E22">
        <v>2</v>
      </c>
      <c r="F22" t="s">
        <v>13</v>
      </c>
      <c r="G22" t="s">
        <v>14</v>
      </c>
      <c r="H22">
        <v>99</v>
      </c>
      <c r="I22" t="s">
        <v>51</v>
      </c>
      <c r="J22" t="s">
        <v>19</v>
      </c>
      <c r="K22">
        <v>65</v>
      </c>
      <c r="L22" t="s">
        <v>22</v>
      </c>
    </row>
    <row r="23" spans="1:12" x14ac:dyDescent="0.25">
      <c r="A23" t="s">
        <v>54</v>
      </c>
      <c r="B23">
        <v>1</v>
      </c>
      <c r="C23">
        <v>0</v>
      </c>
      <c r="D23">
        <v>0</v>
      </c>
      <c r="E23">
        <v>1</v>
      </c>
      <c r="F23" t="s">
        <v>13</v>
      </c>
      <c r="G23" t="s">
        <v>14</v>
      </c>
      <c r="H23">
        <v>122</v>
      </c>
      <c r="I23" t="s">
        <v>55</v>
      </c>
      <c r="J23" t="s">
        <v>56</v>
      </c>
      <c r="K23">
        <v>67</v>
      </c>
      <c r="L23" t="s">
        <v>16</v>
      </c>
    </row>
    <row r="24" spans="1:12" x14ac:dyDescent="0.25">
      <c r="A24" t="s">
        <v>57</v>
      </c>
      <c r="B24">
        <v>2</v>
      </c>
      <c r="C24">
        <v>0</v>
      </c>
      <c r="D24">
        <v>2</v>
      </c>
      <c r="E24">
        <v>4</v>
      </c>
      <c r="F24" t="s">
        <v>13</v>
      </c>
      <c r="G24" t="s">
        <v>14</v>
      </c>
      <c r="H24">
        <v>2</v>
      </c>
      <c r="I24" t="s">
        <v>58</v>
      </c>
      <c r="J24" t="s">
        <v>15</v>
      </c>
      <c r="K24">
        <v>85</v>
      </c>
      <c r="L24" t="s">
        <v>16</v>
      </c>
    </row>
    <row r="25" spans="1:12" x14ac:dyDescent="0.25">
      <c r="A25" t="s">
        <v>59</v>
      </c>
      <c r="B25">
        <v>2</v>
      </c>
      <c r="C25">
        <v>0</v>
      </c>
      <c r="D25">
        <v>0</v>
      </c>
      <c r="E25">
        <v>3</v>
      </c>
      <c r="F25" t="s">
        <v>13</v>
      </c>
      <c r="G25" t="s">
        <v>14</v>
      </c>
      <c r="H25">
        <v>37</v>
      </c>
      <c r="I25" t="s">
        <v>60</v>
      </c>
      <c r="J25" t="s">
        <v>15</v>
      </c>
      <c r="K25">
        <v>105</v>
      </c>
      <c r="L25" t="s">
        <v>16</v>
      </c>
    </row>
    <row r="26" spans="1:12" x14ac:dyDescent="0.25">
      <c r="A26" t="s">
        <v>61</v>
      </c>
      <c r="B26">
        <v>2</v>
      </c>
      <c r="C26">
        <v>0</v>
      </c>
      <c r="D26">
        <v>2</v>
      </c>
      <c r="E26">
        <v>1</v>
      </c>
      <c r="F26" t="s">
        <v>18</v>
      </c>
      <c r="G26" t="s">
        <v>14</v>
      </c>
      <c r="H26">
        <v>130</v>
      </c>
      <c r="I26" t="s">
        <v>62</v>
      </c>
      <c r="J26" t="s">
        <v>19</v>
      </c>
      <c r="K26">
        <v>94.5</v>
      </c>
      <c r="L26" t="s">
        <v>16</v>
      </c>
    </row>
    <row r="27" spans="1:12" x14ac:dyDescent="0.25">
      <c r="A27" t="s">
        <v>63</v>
      </c>
      <c r="B27">
        <v>2</v>
      </c>
      <c r="C27">
        <v>0</v>
      </c>
      <c r="D27">
        <v>0</v>
      </c>
      <c r="E27">
        <v>2</v>
      </c>
      <c r="F27" t="s">
        <v>13</v>
      </c>
      <c r="G27" t="s">
        <v>14</v>
      </c>
      <c r="H27">
        <v>99</v>
      </c>
      <c r="I27" t="s">
        <v>64</v>
      </c>
      <c r="J27" t="s">
        <v>19</v>
      </c>
      <c r="K27">
        <v>114.3</v>
      </c>
      <c r="L27" t="s">
        <v>16</v>
      </c>
    </row>
    <row r="28" spans="1:12" x14ac:dyDescent="0.25">
      <c r="A28" t="s">
        <v>65</v>
      </c>
      <c r="B28">
        <v>2</v>
      </c>
      <c r="C28">
        <v>0</v>
      </c>
      <c r="D28">
        <v>1</v>
      </c>
      <c r="E28">
        <v>1</v>
      </c>
      <c r="F28" t="s">
        <v>13</v>
      </c>
      <c r="G28" t="s">
        <v>14</v>
      </c>
      <c r="H28">
        <v>60</v>
      </c>
      <c r="I28" t="s">
        <v>66</v>
      </c>
      <c r="J28" t="s">
        <v>15</v>
      </c>
      <c r="K28">
        <v>65</v>
      </c>
      <c r="L28" t="s">
        <v>16</v>
      </c>
    </row>
    <row r="29" spans="1:12" x14ac:dyDescent="0.25">
      <c r="A29" t="s">
        <v>67</v>
      </c>
      <c r="B29">
        <v>1</v>
      </c>
      <c r="C29">
        <v>0</v>
      </c>
      <c r="D29">
        <v>0</v>
      </c>
      <c r="E29">
        <v>2</v>
      </c>
      <c r="F29" t="s">
        <v>13</v>
      </c>
      <c r="G29" t="s">
        <v>32</v>
      </c>
      <c r="H29">
        <v>2</v>
      </c>
      <c r="I29" t="s">
        <v>68</v>
      </c>
      <c r="J29" t="s">
        <v>69</v>
      </c>
      <c r="K29">
        <v>110</v>
      </c>
      <c r="L29" t="s">
        <v>22</v>
      </c>
    </row>
    <row r="30" spans="1:12" x14ac:dyDescent="0.25">
      <c r="A30" t="s">
        <v>70</v>
      </c>
      <c r="B30">
        <v>1</v>
      </c>
      <c r="C30">
        <v>0</v>
      </c>
      <c r="D30">
        <v>1</v>
      </c>
      <c r="E30">
        <v>2</v>
      </c>
      <c r="F30" t="s">
        <v>13</v>
      </c>
      <c r="G30" t="s">
        <v>14</v>
      </c>
      <c r="H30">
        <v>37</v>
      </c>
      <c r="I30" s="1">
        <v>42897</v>
      </c>
      <c r="J30" t="s">
        <v>19</v>
      </c>
      <c r="K30">
        <v>37.33</v>
      </c>
      <c r="L30" t="s">
        <v>22</v>
      </c>
    </row>
    <row r="31" spans="1:12" x14ac:dyDescent="0.25">
      <c r="A31" t="s">
        <v>71</v>
      </c>
      <c r="B31">
        <v>2</v>
      </c>
      <c r="C31">
        <v>0</v>
      </c>
      <c r="D31">
        <v>0</v>
      </c>
      <c r="E31">
        <v>2</v>
      </c>
      <c r="F31" t="s">
        <v>27</v>
      </c>
      <c r="G31" t="s">
        <v>14</v>
      </c>
      <c r="H31">
        <v>56</v>
      </c>
      <c r="I31" t="s">
        <v>72</v>
      </c>
      <c r="J31" t="s">
        <v>15</v>
      </c>
      <c r="K31">
        <v>82</v>
      </c>
      <c r="L31" t="s">
        <v>16</v>
      </c>
    </row>
    <row r="32" spans="1:12" x14ac:dyDescent="0.25">
      <c r="A32" t="s">
        <v>73</v>
      </c>
      <c r="B32">
        <v>2</v>
      </c>
      <c r="C32">
        <v>0</v>
      </c>
      <c r="D32">
        <v>1</v>
      </c>
      <c r="E32">
        <v>1</v>
      </c>
      <c r="F32" t="s">
        <v>13</v>
      </c>
      <c r="G32" t="s">
        <v>32</v>
      </c>
      <c r="H32">
        <v>3</v>
      </c>
      <c r="I32" t="s">
        <v>74</v>
      </c>
      <c r="J32" t="s">
        <v>19</v>
      </c>
      <c r="K32">
        <v>177.5</v>
      </c>
      <c r="L32" t="s">
        <v>16</v>
      </c>
    </row>
    <row r="33" spans="1:12" x14ac:dyDescent="0.25">
      <c r="A33" t="s">
        <v>75</v>
      </c>
      <c r="B33">
        <v>2</v>
      </c>
      <c r="C33">
        <v>0</v>
      </c>
      <c r="D33">
        <v>2</v>
      </c>
      <c r="E33">
        <v>2</v>
      </c>
      <c r="F33" t="s">
        <v>13</v>
      </c>
      <c r="G33" t="s">
        <v>14</v>
      </c>
      <c r="H33">
        <v>107</v>
      </c>
      <c r="I33" t="s">
        <v>76</v>
      </c>
      <c r="J33" t="s">
        <v>19</v>
      </c>
      <c r="K33">
        <v>87.5</v>
      </c>
      <c r="L33" t="s">
        <v>16</v>
      </c>
    </row>
    <row r="34" spans="1:12" x14ac:dyDescent="0.25">
      <c r="A34" t="s">
        <v>77</v>
      </c>
      <c r="B34">
        <v>0</v>
      </c>
      <c r="C34">
        <v>2</v>
      </c>
      <c r="D34">
        <v>0</v>
      </c>
      <c r="E34">
        <v>3</v>
      </c>
      <c r="F34" t="s">
        <v>13</v>
      </c>
      <c r="G34" t="s">
        <v>78</v>
      </c>
      <c r="H34">
        <v>56</v>
      </c>
      <c r="I34" s="1">
        <v>43293</v>
      </c>
      <c r="J34" t="s">
        <v>19</v>
      </c>
      <c r="K34">
        <v>82.44</v>
      </c>
      <c r="L34" t="s">
        <v>16</v>
      </c>
    </row>
    <row r="35" spans="1:12" x14ac:dyDescent="0.25">
      <c r="A35" t="s">
        <v>79</v>
      </c>
      <c r="B35">
        <v>2</v>
      </c>
      <c r="C35">
        <v>0</v>
      </c>
      <c r="D35">
        <v>0</v>
      </c>
      <c r="E35">
        <v>1</v>
      </c>
      <c r="F35" t="s">
        <v>18</v>
      </c>
      <c r="G35" t="s">
        <v>14</v>
      </c>
      <c r="H35">
        <v>2</v>
      </c>
      <c r="I35" s="1">
        <v>43344</v>
      </c>
      <c r="J35" t="s">
        <v>19</v>
      </c>
      <c r="K35">
        <v>69.5</v>
      </c>
      <c r="L35" t="s">
        <v>16</v>
      </c>
    </row>
    <row r="36" spans="1:12" x14ac:dyDescent="0.25">
      <c r="A36" t="s">
        <v>80</v>
      </c>
      <c r="B36">
        <v>2</v>
      </c>
      <c r="C36">
        <v>0</v>
      </c>
      <c r="D36">
        <v>0</v>
      </c>
      <c r="E36">
        <v>2</v>
      </c>
      <c r="F36" t="s">
        <v>13</v>
      </c>
      <c r="G36" t="s">
        <v>14</v>
      </c>
      <c r="H36">
        <v>72</v>
      </c>
      <c r="I36" s="1">
        <v>43291</v>
      </c>
      <c r="J36" t="s">
        <v>15</v>
      </c>
      <c r="K36">
        <v>85.5</v>
      </c>
      <c r="L36" t="s">
        <v>16</v>
      </c>
    </row>
    <row r="37" spans="1:12" x14ac:dyDescent="0.25">
      <c r="A37" t="s">
        <v>81</v>
      </c>
      <c r="B37">
        <v>2</v>
      </c>
      <c r="C37">
        <v>0</v>
      </c>
      <c r="D37">
        <v>0</v>
      </c>
      <c r="E37">
        <v>1</v>
      </c>
      <c r="F37" t="s">
        <v>18</v>
      </c>
      <c r="G37" t="s">
        <v>14</v>
      </c>
      <c r="H37">
        <v>23</v>
      </c>
      <c r="I37" t="s">
        <v>82</v>
      </c>
      <c r="J37" t="s">
        <v>19</v>
      </c>
      <c r="K37">
        <v>115</v>
      </c>
      <c r="L37" t="s">
        <v>16</v>
      </c>
    </row>
    <row r="38" spans="1:12" x14ac:dyDescent="0.25">
      <c r="A38" t="s">
        <v>83</v>
      </c>
      <c r="B38">
        <v>1</v>
      </c>
      <c r="C38">
        <v>0</v>
      </c>
      <c r="D38">
        <v>2</v>
      </c>
      <c r="E38">
        <v>1</v>
      </c>
      <c r="F38" t="s">
        <v>13</v>
      </c>
      <c r="G38" t="s">
        <v>14</v>
      </c>
      <c r="H38">
        <v>34</v>
      </c>
      <c r="I38" t="s">
        <v>84</v>
      </c>
      <c r="J38" t="s">
        <v>19</v>
      </c>
      <c r="K38">
        <v>81</v>
      </c>
      <c r="L38" t="s">
        <v>22</v>
      </c>
    </row>
    <row r="39" spans="1:12" x14ac:dyDescent="0.25">
      <c r="A39" t="s">
        <v>85</v>
      </c>
      <c r="B39">
        <v>2</v>
      </c>
      <c r="C39">
        <v>0</v>
      </c>
      <c r="D39">
        <v>0</v>
      </c>
      <c r="E39">
        <v>1</v>
      </c>
      <c r="F39" t="s">
        <v>13</v>
      </c>
      <c r="G39" t="s">
        <v>14</v>
      </c>
      <c r="H39">
        <v>289</v>
      </c>
      <c r="I39" t="s">
        <v>86</v>
      </c>
      <c r="J39" t="s">
        <v>15</v>
      </c>
      <c r="K39">
        <v>67</v>
      </c>
      <c r="L39" t="s">
        <v>16</v>
      </c>
    </row>
    <row r="40" spans="1:12" x14ac:dyDescent="0.25">
      <c r="A40" t="s">
        <v>87</v>
      </c>
      <c r="B40">
        <v>2</v>
      </c>
      <c r="C40">
        <v>0</v>
      </c>
      <c r="D40">
        <v>2</v>
      </c>
      <c r="E40">
        <v>3</v>
      </c>
      <c r="F40" t="s">
        <v>18</v>
      </c>
      <c r="G40" t="s">
        <v>14</v>
      </c>
      <c r="H40">
        <v>247</v>
      </c>
      <c r="I40" t="s">
        <v>88</v>
      </c>
      <c r="J40" t="s">
        <v>19</v>
      </c>
      <c r="K40">
        <v>63.75</v>
      </c>
      <c r="L40" t="s">
        <v>22</v>
      </c>
    </row>
    <row r="41" spans="1:12" x14ac:dyDescent="0.25">
      <c r="A41" t="s">
        <v>89</v>
      </c>
      <c r="B41">
        <v>2</v>
      </c>
      <c r="C41">
        <v>0</v>
      </c>
      <c r="D41">
        <v>2</v>
      </c>
      <c r="E41">
        <v>1</v>
      </c>
      <c r="F41" t="s">
        <v>13</v>
      </c>
      <c r="G41" t="s">
        <v>32</v>
      </c>
      <c r="H41">
        <v>186</v>
      </c>
      <c r="I41" t="s">
        <v>90</v>
      </c>
      <c r="J41" t="s">
        <v>19</v>
      </c>
      <c r="K41">
        <v>121.8</v>
      </c>
      <c r="L41" t="s">
        <v>22</v>
      </c>
    </row>
    <row r="42" spans="1:12" x14ac:dyDescent="0.25">
      <c r="A42" t="s">
        <v>91</v>
      </c>
      <c r="B42">
        <v>2</v>
      </c>
      <c r="C42">
        <v>0</v>
      </c>
      <c r="D42">
        <v>0</v>
      </c>
      <c r="E42">
        <v>4</v>
      </c>
      <c r="F42" t="s">
        <v>13</v>
      </c>
      <c r="G42" t="s">
        <v>14</v>
      </c>
      <c r="H42">
        <v>64</v>
      </c>
      <c r="I42" s="1">
        <v>43111</v>
      </c>
      <c r="J42" t="s">
        <v>19</v>
      </c>
      <c r="K42">
        <v>93.6</v>
      </c>
      <c r="L42" t="s">
        <v>16</v>
      </c>
    </row>
    <row r="43" spans="1:12" x14ac:dyDescent="0.25">
      <c r="A43" t="s">
        <v>92</v>
      </c>
      <c r="B43">
        <v>2</v>
      </c>
      <c r="C43">
        <v>0</v>
      </c>
      <c r="D43">
        <v>0</v>
      </c>
      <c r="E43">
        <v>2</v>
      </c>
      <c r="F43" t="s">
        <v>13</v>
      </c>
      <c r="G43" t="s">
        <v>14</v>
      </c>
      <c r="H43">
        <v>35</v>
      </c>
      <c r="I43" t="s">
        <v>93</v>
      </c>
      <c r="J43" t="s">
        <v>19</v>
      </c>
      <c r="K43">
        <v>102</v>
      </c>
      <c r="L43" t="s">
        <v>16</v>
      </c>
    </row>
    <row r="44" spans="1:12" x14ac:dyDescent="0.25">
      <c r="A44" t="s">
        <v>94</v>
      </c>
      <c r="B44">
        <v>3</v>
      </c>
      <c r="C44">
        <v>0</v>
      </c>
      <c r="D44">
        <v>2</v>
      </c>
      <c r="E44">
        <v>1</v>
      </c>
      <c r="F44" t="s">
        <v>13</v>
      </c>
      <c r="G44" t="s">
        <v>14</v>
      </c>
      <c r="H44">
        <v>96</v>
      </c>
      <c r="I44" s="1">
        <v>43377</v>
      </c>
      <c r="J44" t="s">
        <v>19</v>
      </c>
      <c r="K44">
        <v>121.8</v>
      </c>
      <c r="L44" t="s">
        <v>16</v>
      </c>
    </row>
    <row r="45" spans="1:12" x14ac:dyDescent="0.25">
      <c r="A45" t="s">
        <v>95</v>
      </c>
      <c r="B45">
        <v>2</v>
      </c>
      <c r="C45">
        <v>0</v>
      </c>
      <c r="D45">
        <v>1</v>
      </c>
      <c r="E45">
        <v>1</v>
      </c>
      <c r="F45" t="s">
        <v>18</v>
      </c>
      <c r="G45" t="s">
        <v>14</v>
      </c>
      <c r="H45">
        <v>41</v>
      </c>
      <c r="I45" t="s">
        <v>96</v>
      </c>
      <c r="J45" t="s">
        <v>19</v>
      </c>
      <c r="K45">
        <v>98.1</v>
      </c>
      <c r="L45" t="s">
        <v>22</v>
      </c>
    </row>
    <row r="46" spans="1:12" x14ac:dyDescent="0.25">
      <c r="A46" t="s">
        <v>97</v>
      </c>
      <c r="B46">
        <v>2</v>
      </c>
      <c r="C46">
        <v>0</v>
      </c>
      <c r="D46">
        <v>0</v>
      </c>
      <c r="E46">
        <v>4</v>
      </c>
      <c r="F46" t="s">
        <v>13</v>
      </c>
      <c r="G46" t="s">
        <v>32</v>
      </c>
      <c r="H46">
        <v>55</v>
      </c>
      <c r="I46" t="s">
        <v>98</v>
      </c>
      <c r="J46" t="s">
        <v>15</v>
      </c>
      <c r="K46">
        <v>60</v>
      </c>
      <c r="L46" t="s">
        <v>16</v>
      </c>
    </row>
    <row r="47" spans="1:12" x14ac:dyDescent="0.25">
      <c r="A47" t="s">
        <v>99</v>
      </c>
      <c r="B47">
        <v>2</v>
      </c>
      <c r="C47">
        <v>0</v>
      </c>
      <c r="D47">
        <v>0</v>
      </c>
      <c r="E47">
        <v>3</v>
      </c>
      <c r="F47" t="s">
        <v>13</v>
      </c>
      <c r="G47" t="s">
        <v>14</v>
      </c>
      <c r="H47">
        <v>146</v>
      </c>
      <c r="I47" t="s">
        <v>100</v>
      </c>
      <c r="J47" t="s">
        <v>15</v>
      </c>
      <c r="K47">
        <v>75</v>
      </c>
      <c r="L47" t="s">
        <v>16</v>
      </c>
    </row>
    <row r="48" spans="1:12" x14ac:dyDescent="0.25">
      <c r="A48" t="s">
        <v>101</v>
      </c>
      <c r="B48">
        <v>1</v>
      </c>
      <c r="C48">
        <v>0</v>
      </c>
      <c r="D48">
        <v>0</v>
      </c>
      <c r="E48">
        <v>2</v>
      </c>
      <c r="F48" t="s">
        <v>13</v>
      </c>
      <c r="G48" t="s">
        <v>14</v>
      </c>
      <c r="H48">
        <v>32</v>
      </c>
      <c r="I48" t="s">
        <v>102</v>
      </c>
      <c r="J48" t="s">
        <v>15</v>
      </c>
      <c r="K48">
        <v>73</v>
      </c>
      <c r="L48" t="s">
        <v>16</v>
      </c>
    </row>
    <row r="49" spans="1:12" x14ac:dyDescent="0.25">
      <c r="A49" t="s">
        <v>103</v>
      </c>
      <c r="B49">
        <v>2</v>
      </c>
      <c r="C49">
        <v>0</v>
      </c>
      <c r="D49">
        <v>0</v>
      </c>
      <c r="E49">
        <v>1</v>
      </c>
      <c r="F49" t="s">
        <v>27</v>
      </c>
      <c r="G49" t="s">
        <v>14</v>
      </c>
      <c r="H49">
        <v>55</v>
      </c>
      <c r="I49" s="1">
        <v>43255</v>
      </c>
      <c r="J49" t="s">
        <v>15</v>
      </c>
      <c r="K49">
        <v>104</v>
      </c>
      <c r="L49" t="s">
        <v>16</v>
      </c>
    </row>
    <row r="50" spans="1:12" x14ac:dyDescent="0.25">
      <c r="A50" t="s">
        <v>104</v>
      </c>
      <c r="B50">
        <v>2</v>
      </c>
      <c r="C50">
        <v>0</v>
      </c>
      <c r="D50">
        <v>0</v>
      </c>
      <c r="E50">
        <v>4</v>
      </c>
      <c r="F50" t="s">
        <v>18</v>
      </c>
      <c r="G50" t="s">
        <v>14</v>
      </c>
      <c r="H50">
        <v>57</v>
      </c>
      <c r="I50" s="1">
        <v>43111</v>
      </c>
      <c r="J50" t="s">
        <v>19</v>
      </c>
      <c r="K50">
        <v>79.2</v>
      </c>
      <c r="L50" t="s">
        <v>16</v>
      </c>
    </row>
    <row r="51" spans="1:12" x14ac:dyDescent="0.25">
      <c r="A51" t="s">
        <v>105</v>
      </c>
      <c r="B51">
        <v>1</v>
      </c>
      <c r="C51">
        <v>0</v>
      </c>
      <c r="D51">
        <v>1</v>
      </c>
      <c r="E51">
        <v>3</v>
      </c>
      <c r="F51" t="s">
        <v>13</v>
      </c>
      <c r="G51" t="s">
        <v>32</v>
      </c>
      <c r="H51">
        <v>7</v>
      </c>
      <c r="I51" t="s">
        <v>106</v>
      </c>
      <c r="J51" t="s">
        <v>19</v>
      </c>
      <c r="K51">
        <v>125.8</v>
      </c>
      <c r="L51" t="s">
        <v>16</v>
      </c>
    </row>
    <row r="52" spans="1:12" x14ac:dyDescent="0.25">
      <c r="A52" t="s">
        <v>107</v>
      </c>
      <c r="B52">
        <v>1</v>
      </c>
      <c r="C52">
        <v>0</v>
      </c>
      <c r="D52">
        <v>2</v>
      </c>
      <c r="E52">
        <v>5</v>
      </c>
      <c r="F52" t="s">
        <v>18</v>
      </c>
      <c r="G52" t="s">
        <v>14</v>
      </c>
      <c r="H52">
        <v>124</v>
      </c>
      <c r="I52" t="s">
        <v>108</v>
      </c>
      <c r="J52" t="s">
        <v>19</v>
      </c>
      <c r="K52">
        <v>87.95</v>
      </c>
      <c r="L52" t="s">
        <v>16</v>
      </c>
    </row>
    <row r="53" spans="1:12" x14ac:dyDescent="0.25">
      <c r="A53" t="s">
        <v>109</v>
      </c>
      <c r="B53">
        <v>2</v>
      </c>
      <c r="C53">
        <v>0</v>
      </c>
      <c r="D53">
        <v>2</v>
      </c>
      <c r="E53">
        <v>2</v>
      </c>
      <c r="F53" t="s">
        <v>27</v>
      </c>
      <c r="G53" t="s">
        <v>14</v>
      </c>
      <c r="H53">
        <v>169</v>
      </c>
      <c r="I53" t="s">
        <v>110</v>
      </c>
      <c r="J53" t="s">
        <v>19</v>
      </c>
      <c r="K53">
        <v>106</v>
      </c>
      <c r="L53" t="s">
        <v>22</v>
      </c>
    </row>
    <row r="54" spans="1:12" x14ac:dyDescent="0.25">
      <c r="A54" t="s">
        <v>111</v>
      </c>
      <c r="B54">
        <v>1</v>
      </c>
      <c r="C54">
        <v>0</v>
      </c>
      <c r="D54">
        <v>1</v>
      </c>
      <c r="E54">
        <v>2</v>
      </c>
      <c r="F54" t="s">
        <v>13</v>
      </c>
      <c r="G54" t="s">
        <v>14</v>
      </c>
      <c r="H54">
        <v>6</v>
      </c>
      <c r="I54" t="s">
        <v>112</v>
      </c>
      <c r="J54" t="s">
        <v>19</v>
      </c>
      <c r="K54">
        <v>136.66999999999999</v>
      </c>
      <c r="L54" t="s">
        <v>16</v>
      </c>
    </row>
    <row r="55" spans="1:12" x14ac:dyDescent="0.25">
      <c r="A55" t="s">
        <v>113</v>
      </c>
      <c r="B55">
        <v>2</v>
      </c>
      <c r="C55">
        <v>0</v>
      </c>
      <c r="D55">
        <v>0</v>
      </c>
      <c r="E55">
        <v>4</v>
      </c>
      <c r="F55" t="s">
        <v>13</v>
      </c>
      <c r="G55" t="s">
        <v>32</v>
      </c>
      <c r="H55">
        <v>51</v>
      </c>
      <c r="I55" s="1">
        <v>43050</v>
      </c>
      <c r="J55" t="s">
        <v>15</v>
      </c>
      <c r="K55">
        <v>60</v>
      </c>
      <c r="L55" t="s">
        <v>16</v>
      </c>
    </row>
    <row r="56" spans="1:12" x14ac:dyDescent="0.25">
      <c r="A56" t="s">
        <v>114</v>
      </c>
      <c r="B56">
        <v>2</v>
      </c>
      <c r="C56">
        <v>0</v>
      </c>
      <c r="D56">
        <v>1</v>
      </c>
      <c r="E56">
        <v>0</v>
      </c>
      <c r="F56" t="s">
        <v>18</v>
      </c>
      <c r="G56" t="s">
        <v>14</v>
      </c>
      <c r="H56">
        <v>13</v>
      </c>
      <c r="I56" t="s">
        <v>115</v>
      </c>
      <c r="J56" t="s">
        <v>19</v>
      </c>
      <c r="K56">
        <v>89</v>
      </c>
      <c r="L56" t="s">
        <v>16</v>
      </c>
    </row>
    <row r="57" spans="1:12" x14ac:dyDescent="0.25">
      <c r="A57" t="s">
        <v>116</v>
      </c>
      <c r="B57">
        <v>2</v>
      </c>
      <c r="C57">
        <v>0</v>
      </c>
      <c r="D57">
        <v>1</v>
      </c>
      <c r="E57">
        <v>3</v>
      </c>
      <c r="F57" t="s">
        <v>13</v>
      </c>
      <c r="G57" t="s">
        <v>14</v>
      </c>
      <c r="H57">
        <v>100</v>
      </c>
      <c r="I57" t="s">
        <v>68</v>
      </c>
      <c r="J57" t="s">
        <v>19</v>
      </c>
      <c r="K57">
        <v>136</v>
      </c>
      <c r="L57" t="s">
        <v>16</v>
      </c>
    </row>
    <row r="58" spans="1:12" x14ac:dyDescent="0.25">
      <c r="A58" t="s">
        <v>117</v>
      </c>
      <c r="B58">
        <v>2</v>
      </c>
      <c r="C58">
        <v>0</v>
      </c>
      <c r="D58">
        <v>0</v>
      </c>
      <c r="E58">
        <v>1</v>
      </c>
      <c r="F58" t="s">
        <v>18</v>
      </c>
      <c r="G58" t="s">
        <v>14</v>
      </c>
      <c r="H58">
        <v>139</v>
      </c>
      <c r="I58" t="s">
        <v>118</v>
      </c>
      <c r="J58" t="s">
        <v>19</v>
      </c>
      <c r="K58">
        <v>94.5</v>
      </c>
      <c r="L58" t="s">
        <v>16</v>
      </c>
    </row>
    <row r="59" spans="1:12" x14ac:dyDescent="0.25">
      <c r="A59" t="s">
        <v>119</v>
      </c>
      <c r="B59">
        <v>2</v>
      </c>
      <c r="C59">
        <v>0</v>
      </c>
      <c r="D59">
        <v>1</v>
      </c>
      <c r="E59">
        <v>2</v>
      </c>
      <c r="F59" t="s">
        <v>13</v>
      </c>
      <c r="G59" t="s">
        <v>14</v>
      </c>
      <c r="H59">
        <v>117</v>
      </c>
      <c r="I59" t="s">
        <v>33</v>
      </c>
      <c r="J59" t="s">
        <v>19</v>
      </c>
      <c r="K59">
        <v>93.6</v>
      </c>
      <c r="L59" t="s">
        <v>16</v>
      </c>
    </row>
    <row r="60" spans="1:12" x14ac:dyDescent="0.25">
      <c r="A60" t="s">
        <v>120</v>
      </c>
      <c r="B60">
        <v>2</v>
      </c>
      <c r="C60">
        <v>0</v>
      </c>
      <c r="D60">
        <v>1</v>
      </c>
      <c r="E60">
        <v>4</v>
      </c>
      <c r="F60" t="s">
        <v>13</v>
      </c>
      <c r="G60" t="s">
        <v>32</v>
      </c>
      <c r="H60">
        <v>39</v>
      </c>
      <c r="I60" t="s">
        <v>121</v>
      </c>
      <c r="J60" t="s">
        <v>19</v>
      </c>
      <c r="K60">
        <v>120.6</v>
      </c>
      <c r="L60" t="s">
        <v>22</v>
      </c>
    </row>
    <row r="61" spans="1:12" x14ac:dyDescent="0.25">
      <c r="A61" t="s">
        <v>122</v>
      </c>
      <c r="B61">
        <v>2</v>
      </c>
      <c r="C61">
        <v>0</v>
      </c>
      <c r="D61">
        <v>0</v>
      </c>
      <c r="E61">
        <v>3</v>
      </c>
      <c r="F61" t="s">
        <v>13</v>
      </c>
      <c r="G61" t="s">
        <v>32</v>
      </c>
      <c r="H61">
        <v>86</v>
      </c>
      <c r="I61" s="1">
        <v>43255</v>
      </c>
      <c r="J61" t="s">
        <v>19</v>
      </c>
      <c r="K61">
        <v>99.3</v>
      </c>
      <c r="L61" t="s">
        <v>16</v>
      </c>
    </row>
    <row r="62" spans="1:12" x14ac:dyDescent="0.25">
      <c r="A62" t="s">
        <v>123</v>
      </c>
      <c r="B62">
        <v>2</v>
      </c>
      <c r="C62">
        <v>2</v>
      </c>
      <c r="D62">
        <v>0</v>
      </c>
      <c r="E62">
        <v>1</v>
      </c>
      <c r="F62" t="s">
        <v>13</v>
      </c>
      <c r="G62" t="s">
        <v>124</v>
      </c>
      <c r="H62">
        <v>2</v>
      </c>
      <c r="I62" s="1">
        <v>43140</v>
      </c>
      <c r="J62" t="s">
        <v>19</v>
      </c>
      <c r="K62">
        <v>258</v>
      </c>
      <c r="L62" t="s">
        <v>16</v>
      </c>
    </row>
    <row r="63" spans="1:12" x14ac:dyDescent="0.25">
      <c r="A63" t="s">
        <v>125</v>
      </c>
      <c r="B63">
        <v>1</v>
      </c>
      <c r="C63">
        <v>0</v>
      </c>
      <c r="D63">
        <v>0</v>
      </c>
      <c r="E63">
        <v>3</v>
      </c>
      <c r="F63" t="s">
        <v>13</v>
      </c>
      <c r="G63" t="s">
        <v>32</v>
      </c>
      <c r="H63">
        <v>19</v>
      </c>
      <c r="I63" s="1">
        <v>43164</v>
      </c>
      <c r="J63" t="s">
        <v>19</v>
      </c>
      <c r="K63">
        <v>120.12</v>
      </c>
      <c r="L63" t="s">
        <v>16</v>
      </c>
    </row>
    <row r="64" spans="1:12" x14ac:dyDescent="0.25">
      <c r="A64" t="s">
        <v>126</v>
      </c>
      <c r="B64">
        <v>1</v>
      </c>
      <c r="C64">
        <v>0</v>
      </c>
      <c r="D64">
        <v>0</v>
      </c>
      <c r="E64">
        <v>2</v>
      </c>
      <c r="F64" t="s">
        <v>13</v>
      </c>
      <c r="G64" t="s">
        <v>14</v>
      </c>
      <c r="H64">
        <v>192</v>
      </c>
      <c r="I64" t="s">
        <v>127</v>
      </c>
      <c r="J64" t="s">
        <v>15</v>
      </c>
      <c r="K64">
        <v>95</v>
      </c>
      <c r="L64" t="s">
        <v>16</v>
      </c>
    </row>
    <row r="65" spans="1:12" x14ac:dyDescent="0.25">
      <c r="A65" t="s">
        <v>128</v>
      </c>
      <c r="B65">
        <v>1</v>
      </c>
      <c r="C65">
        <v>0</v>
      </c>
      <c r="D65">
        <v>0</v>
      </c>
      <c r="E65">
        <v>1</v>
      </c>
      <c r="F65" t="s">
        <v>13</v>
      </c>
      <c r="G65" t="s">
        <v>14</v>
      </c>
      <c r="H65">
        <v>2</v>
      </c>
      <c r="I65" s="1">
        <v>43017</v>
      </c>
      <c r="J65" t="s">
        <v>129</v>
      </c>
      <c r="K65">
        <v>0</v>
      </c>
      <c r="L65" t="s">
        <v>16</v>
      </c>
    </row>
    <row r="66" spans="1:12" x14ac:dyDescent="0.25">
      <c r="A66" t="s">
        <v>130</v>
      </c>
      <c r="B66">
        <v>2</v>
      </c>
      <c r="C66">
        <v>0</v>
      </c>
      <c r="D66">
        <v>2</v>
      </c>
      <c r="E66">
        <v>1</v>
      </c>
      <c r="F66" t="s">
        <v>13</v>
      </c>
      <c r="G66" t="s">
        <v>14</v>
      </c>
      <c r="H66">
        <v>86</v>
      </c>
      <c r="I66" t="s">
        <v>131</v>
      </c>
      <c r="J66" t="s">
        <v>15</v>
      </c>
      <c r="K66">
        <v>75</v>
      </c>
      <c r="L66" t="s">
        <v>16</v>
      </c>
    </row>
    <row r="67" spans="1:12" x14ac:dyDescent="0.25">
      <c r="A67" t="s">
        <v>132</v>
      </c>
      <c r="B67">
        <v>2</v>
      </c>
      <c r="C67">
        <v>0</v>
      </c>
      <c r="D67">
        <v>0</v>
      </c>
      <c r="E67">
        <v>3</v>
      </c>
      <c r="F67" t="s">
        <v>13</v>
      </c>
      <c r="G67" t="s">
        <v>32</v>
      </c>
      <c r="H67">
        <v>30</v>
      </c>
      <c r="I67" s="1">
        <v>43230</v>
      </c>
      <c r="J67" t="s">
        <v>19</v>
      </c>
      <c r="K67">
        <v>157.5</v>
      </c>
      <c r="L67" t="s">
        <v>16</v>
      </c>
    </row>
    <row r="68" spans="1:12" x14ac:dyDescent="0.25">
      <c r="A68" t="s">
        <v>133</v>
      </c>
      <c r="B68">
        <v>2</v>
      </c>
      <c r="C68">
        <v>0</v>
      </c>
      <c r="D68">
        <v>0</v>
      </c>
      <c r="E68">
        <v>2</v>
      </c>
      <c r="F68" t="s">
        <v>13</v>
      </c>
      <c r="G68" t="s">
        <v>32</v>
      </c>
      <c r="H68">
        <v>179</v>
      </c>
      <c r="I68" s="1">
        <v>43165</v>
      </c>
      <c r="J68" t="s">
        <v>19</v>
      </c>
      <c r="K68">
        <v>97.7</v>
      </c>
      <c r="L68" t="s">
        <v>16</v>
      </c>
    </row>
    <row r="69" spans="1:12" x14ac:dyDescent="0.25">
      <c r="A69" t="s">
        <v>134</v>
      </c>
      <c r="B69">
        <v>2</v>
      </c>
      <c r="C69">
        <v>0</v>
      </c>
      <c r="D69">
        <v>0</v>
      </c>
      <c r="E69">
        <v>2</v>
      </c>
      <c r="F69" t="s">
        <v>13</v>
      </c>
      <c r="G69" t="s">
        <v>32</v>
      </c>
      <c r="H69">
        <v>26</v>
      </c>
      <c r="I69" t="s">
        <v>135</v>
      </c>
      <c r="J69" t="s">
        <v>19</v>
      </c>
      <c r="K69">
        <v>142</v>
      </c>
      <c r="L69" t="s">
        <v>22</v>
      </c>
    </row>
    <row r="70" spans="1:12" x14ac:dyDescent="0.25">
      <c r="A70" t="s">
        <v>136</v>
      </c>
      <c r="B70">
        <v>2</v>
      </c>
      <c r="C70">
        <v>0</v>
      </c>
      <c r="D70">
        <v>0</v>
      </c>
      <c r="E70">
        <v>1</v>
      </c>
      <c r="F70" t="s">
        <v>13</v>
      </c>
      <c r="G70" t="s">
        <v>14</v>
      </c>
      <c r="H70">
        <v>55</v>
      </c>
      <c r="I70" s="1">
        <v>43255</v>
      </c>
      <c r="J70" t="s">
        <v>15</v>
      </c>
      <c r="K70">
        <v>80</v>
      </c>
      <c r="L70" t="s">
        <v>16</v>
      </c>
    </row>
    <row r="71" spans="1:12" x14ac:dyDescent="0.25">
      <c r="A71" t="s">
        <v>137</v>
      </c>
      <c r="B71">
        <v>2</v>
      </c>
      <c r="C71">
        <v>0</v>
      </c>
      <c r="D71">
        <v>1</v>
      </c>
      <c r="E71">
        <v>2</v>
      </c>
      <c r="F71" t="s">
        <v>13</v>
      </c>
      <c r="G71" t="s">
        <v>14</v>
      </c>
      <c r="H71">
        <v>74</v>
      </c>
      <c r="I71" t="s">
        <v>138</v>
      </c>
      <c r="J71" t="s">
        <v>19</v>
      </c>
      <c r="K71">
        <v>85.5</v>
      </c>
      <c r="L71" t="s">
        <v>16</v>
      </c>
    </row>
    <row r="72" spans="1:12" x14ac:dyDescent="0.25">
      <c r="A72" t="s">
        <v>139</v>
      </c>
      <c r="B72">
        <v>2</v>
      </c>
      <c r="C72">
        <v>0</v>
      </c>
      <c r="D72">
        <v>0</v>
      </c>
      <c r="E72">
        <v>3</v>
      </c>
      <c r="F72" t="s">
        <v>13</v>
      </c>
      <c r="G72" t="s">
        <v>14</v>
      </c>
      <c r="H72">
        <v>143</v>
      </c>
      <c r="I72" t="s">
        <v>140</v>
      </c>
      <c r="J72" t="s">
        <v>15</v>
      </c>
      <c r="K72">
        <v>100</v>
      </c>
      <c r="L72" t="s">
        <v>16</v>
      </c>
    </row>
    <row r="73" spans="1:12" x14ac:dyDescent="0.25">
      <c r="A73" t="s">
        <v>141</v>
      </c>
      <c r="B73">
        <v>2</v>
      </c>
      <c r="C73">
        <v>0</v>
      </c>
      <c r="D73">
        <v>1</v>
      </c>
      <c r="E73">
        <v>0</v>
      </c>
      <c r="F73" t="s">
        <v>18</v>
      </c>
      <c r="G73" t="s">
        <v>14</v>
      </c>
      <c r="H73">
        <v>34</v>
      </c>
      <c r="I73" t="s">
        <v>142</v>
      </c>
      <c r="J73" t="s">
        <v>19</v>
      </c>
      <c r="K73">
        <v>88</v>
      </c>
      <c r="L73" t="s">
        <v>16</v>
      </c>
    </row>
    <row r="74" spans="1:12" x14ac:dyDescent="0.25">
      <c r="A74" t="s">
        <v>143</v>
      </c>
      <c r="B74">
        <v>2</v>
      </c>
      <c r="C74">
        <v>0</v>
      </c>
      <c r="D74">
        <v>1</v>
      </c>
      <c r="E74">
        <v>1</v>
      </c>
      <c r="F74" t="s">
        <v>13</v>
      </c>
      <c r="G74" t="s">
        <v>14</v>
      </c>
      <c r="H74">
        <v>30</v>
      </c>
      <c r="I74" t="s">
        <v>144</v>
      </c>
      <c r="J74" t="s">
        <v>19</v>
      </c>
      <c r="K74">
        <v>122.85</v>
      </c>
      <c r="L74" t="s">
        <v>16</v>
      </c>
    </row>
    <row r="75" spans="1:12" x14ac:dyDescent="0.25">
      <c r="A75" t="s">
        <v>145</v>
      </c>
      <c r="B75">
        <v>2</v>
      </c>
      <c r="C75">
        <v>0</v>
      </c>
      <c r="D75">
        <v>0</v>
      </c>
      <c r="E75">
        <v>2</v>
      </c>
      <c r="F75" t="s">
        <v>13</v>
      </c>
      <c r="G75" t="s">
        <v>14</v>
      </c>
      <c r="H75">
        <v>177</v>
      </c>
      <c r="I75" s="1">
        <v>43165</v>
      </c>
      <c r="J75" t="s">
        <v>19</v>
      </c>
      <c r="K75">
        <v>100</v>
      </c>
      <c r="L75" t="s">
        <v>22</v>
      </c>
    </row>
    <row r="76" spans="1:12" x14ac:dyDescent="0.25">
      <c r="A76" t="s">
        <v>146</v>
      </c>
      <c r="B76">
        <v>2</v>
      </c>
      <c r="C76">
        <v>0</v>
      </c>
      <c r="D76">
        <v>2</v>
      </c>
      <c r="E76">
        <v>3</v>
      </c>
      <c r="F76" t="s">
        <v>13</v>
      </c>
      <c r="G76" t="s">
        <v>32</v>
      </c>
      <c r="H76">
        <v>34</v>
      </c>
      <c r="I76" t="s">
        <v>147</v>
      </c>
      <c r="J76" t="s">
        <v>15</v>
      </c>
      <c r="K76">
        <v>75</v>
      </c>
      <c r="L76" t="s">
        <v>16</v>
      </c>
    </row>
    <row r="77" spans="1:12" x14ac:dyDescent="0.25">
      <c r="A77" t="s">
        <v>148</v>
      </c>
      <c r="B77">
        <v>2</v>
      </c>
      <c r="C77">
        <v>0</v>
      </c>
      <c r="D77">
        <v>1</v>
      </c>
      <c r="E77">
        <v>4</v>
      </c>
      <c r="F77" t="s">
        <v>13</v>
      </c>
      <c r="G77" t="s">
        <v>32</v>
      </c>
      <c r="H77">
        <v>18</v>
      </c>
      <c r="I77" s="1">
        <v>43346</v>
      </c>
      <c r="J77" t="s">
        <v>19</v>
      </c>
      <c r="K77">
        <v>116.8</v>
      </c>
      <c r="L77" t="s">
        <v>16</v>
      </c>
    </row>
    <row r="78" spans="1:12" x14ac:dyDescent="0.25">
      <c r="A78" t="s">
        <v>149</v>
      </c>
      <c r="B78">
        <v>3</v>
      </c>
      <c r="C78">
        <v>0</v>
      </c>
      <c r="D78">
        <v>1</v>
      </c>
      <c r="E78">
        <v>1</v>
      </c>
      <c r="F78" t="s">
        <v>13</v>
      </c>
      <c r="G78" t="s">
        <v>32</v>
      </c>
      <c r="H78">
        <v>267</v>
      </c>
      <c r="I78" t="s">
        <v>150</v>
      </c>
      <c r="J78" t="s">
        <v>19</v>
      </c>
      <c r="K78">
        <v>121.5</v>
      </c>
      <c r="L78" t="s">
        <v>16</v>
      </c>
    </row>
    <row r="79" spans="1:12" x14ac:dyDescent="0.25">
      <c r="A79" t="s">
        <v>151</v>
      </c>
      <c r="B79">
        <v>2</v>
      </c>
      <c r="C79">
        <v>0</v>
      </c>
      <c r="D79">
        <v>1</v>
      </c>
      <c r="E79">
        <v>2</v>
      </c>
      <c r="F79" t="s">
        <v>13</v>
      </c>
      <c r="G79" t="s">
        <v>14</v>
      </c>
      <c r="H79">
        <v>64</v>
      </c>
      <c r="I79" t="s">
        <v>96</v>
      </c>
      <c r="J79" t="s">
        <v>19</v>
      </c>
      <c r="K79">
        <v>111.9</v>
      </c>
      <c r="L79" t="s">
        <v>16</v>
      </c>
    </row>
    <row r="80" spans="1:12" x14ac:dyDescent="0.25">
      <c r="A80" t="s">
        <v>152</v>
      </c>
      <c r="B80">
        <v>3</v>
      </c>
      <c r="C80">
        <v>0</v>
      </c>
      <c r="D80">
        <v>2</v>
      </c>
      <c r="E80">
        <v>5</v>
      </c>
      <c r="F80" t="s">
        <v>13</v>
      </c>
      <c r="G80" t="s">
        <v>32</v>
      </c>
      <c r="H80">
        <v>155</v>
      </c>
      <c r="I80" t="s">
        <v>153</v>
      </c>
      <c r="J80" t="s">
        <v>19</v>
      </c>
      <c r="K80">
        <v>121.55</v>
      </c>
      <c r="L80" t="s">
        <v>22</v>
      </c>
    </row>
    <row r="81" spans="1:12" x14ac:dyDescent="0.25">
      <c r="A81" t="s">
        <v>154</v>
      </c>
      <c r="B81">
        <v>2</v>
      </c>
      <c r="C81">
        <v>0</v>
      </c>
      <c r="D81">
        <v>0</v>
      </c>
      <c r="E81">
        <v>5</v>
      </c>
      <c r="F81" t="s">
        <v>13</v>
      </c>
      <c r="G81" t="s">
        <v>14</v>
      </c>
      <c r="H81">
        <v>46</v>
      </c>
      <c r="I81" t="s">
        <v>155</v>
      </c>
      <c r="J81" t="s">
        <v>15</v>
      </c>
      <c r="K81">
        <v>75</v>
      </c>
      <c r="L81" t="s">
        <v>16</v>
      </c>
    </row>
    <row r="82" spans="1:12" x14ac:dyDescent="0.25">
      <c r="A82" t="s">
        <v>156</v>
      </c>
      <c r="B82">
        <v>2</v>
      </c>
      <c r="C82">
        <v>2</v>
      </c>
      <c r="D82">
        <v>0</v>
      </c>
      <c r="E82">
        <v>2</v>
      </c>
      <c r="F82" t="s">
        <v>13</v>
      </c>
      <c r="G82" t="s">
        <v>124</v>
      </c>
      <c r="H82">
        <v>83</v>
      </c>
      <c r="I82" s="1">
        <v>43104</v>
      </c>
      <c r="J82" t="s">
        <v>19</v>
      </c>
      <c r="K82">
        <v>159.30000000000001</v>
      </c>
      <c r="L82" t="s">
        <v>22</v>
      </c>
    </row>
    <row r="83" spans="1:12" x14ac:dyDescent="0.25">
      <c r="A83" t="s">
        <v>157</v>
      </c>
      <c r="B83">
        <v>2</v>
      </c>
      <c r="C83">
        <v>0</v>
      </c>
      <c r="D83">
        <v>0</v>
      </c>
      <c r="E83">
        <v>5</v>
      </c>
      <c r="F83" t="s">
        <v>13</v>
      </c>
      <c r="G83" t="s">
        <v>32</v>
      </c>
      <c r="H83">
        <v>128</v>
      </c>
      <c r="I83" s="1">
        <v>43414</v>
      </c>
      <c r="J83" t="s">
        <v>19</v>
      </c>
      <c r="K83">
        <v>132.30000000000001</v>
      </c>
      <c r="L83" t="s">
        <v>22</v>
      </c>
    </row>
    <row r="84" spans="1:12" x14ac:dyDescent="0.25">
      <c r="A84" t="s">
        <v>158</v>
      </c>
      <c r="B84">
        <v>2</v>
      </c>
      <c r="C84">
        <v>0</v>
      </c>
      <c r="D84">
        <v>2</v>
      </c>
      <c r="E84">
        <v>0</v>
      </c>
      <c r="F84" t="s">
        <v>18</v>
      </c>
      <c r="G84" t="s">
        <v>14</v>
      </c>
      <c r="H84">
        <v>20</v>
      </c>
      <c r="I84" t="s">
        <v>159</v>
      </c>
      <c r="J84" t="s">
        <v>19</v>
      </c>
      <c r="K84">
        <v>88</v>
      </c>
      <c r="L84" t="s">
        <v>16</v>
      </c>
    </row>
    <row r="85" spans="1:12" x14ac:dyDescent="0.25">
      <c r="A85" t="s">
        <v>160</v>
      </c>
      <c r="B85">
        <v>2</v>
      </c>
      <c r="C85">
        <v>0</v>
      </c>
      <c r="D85">
        <v>1</v>
      </c>
      <c r="E85">
        <v>4</v>
      </c>
      <c r="F85" t="s">
        <v>13</v>
      </c>
      <c r="G85" t="s">
        <v>32</v>
      </c>
      <c r="H85">
        <v>40</v>
      </c>
      <c r="I85" t="s">
        <v>161</v>
      </c>
      <c r="J85" t="s">
        <v>19</v>
      </c>
      <c r="K85">
        <v>98.82</v>
      </c>
      <c r="L85" t="s">
        <v>16</v>
      </c>
    </row>
    <row r="86" spans="1:12" x14ac:dyDescent="0.25">
      <c r="A86" t="s">
        <v>162</v>
      </c>
      <c r="B86">
        <v>2</v>
      </c>
      <c r="C86">
        <v>0</v>
      </c>
      <c r="D86">
        <v>1</v>
      </c>
      <c r="E86">
        <v>2</v>
      </c>
      <c r="F86" t="s">
        <v>13</v>
      </c>
      <c r="G86" t="s">
        <v>32</v>
      </c>
      <c r="H86">
        <v>46</v>
      </c>
      <c r="I86" s="1">
        <v>43193</v>
      </c>
      <c r="J86" t="s">
        <v>19</v>
      </c>
      <c r="K86">
        <v>98.3</v>
      </c>
      <c r="L86" t="s">
        <v>16</v>
      </c>
    </row>
    <row r="87" spans="1:12" x14ac:dyDescent="0.25">
      <c r="A87" t="s">
        <v>163</v>
      </c>
      <c r="B87">
        <v>1</v>
      </c>
      <c r="C87">
        <v>0</v>
      </c>
      <c r="D87">
        <v>1</v>
      </c>
      <c r="E87">
        <v>0</v>
      </c>
      <c r="F87" t="s">
        <v>13</v>
      </c>
      <c r="G87" t="s">
        <v>14</v>
      </c>
      <c r="H87">
        <v>1</v>
      </c>
      <c r="I87" t="s">
        <v>164</v>
      </c>
      <c r="J87" t="s">
        <v>19</v>
      </c>
      <c r="K87">
        <v>150</v>
      </c>
      <c r="L87" t="s">
        <v>16</v>
      </c>
    </row>
    <row r="88" spans="1:12" x14ac:dyDescent="0.25">
      <c r="A88" t="s">
        <v>165</v>
      </c>
      <c r="B88">
        <v>2</v>
      </c>
      <c r="C88">
        <v>0</v>
      </c>
      <c r="D88">
        <v>2</v>
      </c>
      <c r="E88">
        <v>3</v>
      </c>
      <c r="F88" t="s">
        <v>18</v>
      </c>
      <c r="G88" t="s">
        <v>14</v>
      </c>
      <c r="H88">
        <v>196</v>
      </c>
      <c r="I88" s="1">
        <v>43199</v>
      </c>
      <c r="J88" t="s">
        <v>19</v>
      </c>
      <c r="K88">
        <v>96.05</v>
      </c>
      <c r="L88" t="s">
        <v>16</v>
      </c>
    </row>
    <row r="89" spans="1:12" x14ac:dyDescent="0.25">
      <c r="A89" t="s">
        <v>166</v>
      </c>
      <c r="B89">
        <v>1</v>
      </c>
      <c r="C89">
        <v>0</v>
      </c>
      <c r="D89">
        <v>0</v>
      </c>
      <c r="E89">
        <v>2</v>
      </c>
      <c r="F89" t="s">
        <v>13</v>
      </c>
      <c r="G89" t="s">
        <v>14</v>
      </c>
      <c r="H89">
        <v>188</v>
      </c>
      <c r="I89" t="s">
        <v>47</v>
      </c>
      <c r="J89" t="s">
        <v>19</v>
      </c>
      <c r="K89">
        <v>130</v>
      </c>
      <c r="L89" t="s">
        <v>22</v>
      </c>
    </row>
    <row r="90" spans="1:12" x14ac:dyDescent="0.25">
      <c r="A90" t="s">
        <v>167</v>
      </c>
      <c r="B90">
        <v>2</v>
      </c>
      <c r="C90">
        <v>0</v>
      </c>
      <c r="D90">
        <v>0</v>
      </c>
      <c r="E90">
        <v>1</v>
      </c>
      <c r="F90" t="s">
        <v>18</v>
      </c>
      <c r="G90" t="s">
        <v>14</v>
      </c>
      <c r="H90">
        <v>17</v>
      </c>
      <c r="I90" s="1">
        <v>43385</v>
      </c>
      <c r="J90" t="s">
        <v>19</v>
      </c>
      <c r="K90">
        <v>95</v>
      </c>
      <c r="L90" t="s">
        <v>16</v>
      </c>
    </row>
    <row r="91" spans="1:12" x14ac:dyDescent="0.25">
      <c r="A91" t="s">
        <v>168</v>
      </c>
      <c r="B91">
        <v>2</v>
      </c>
      <c r="C91">
        <v>0</v>
      </c>
      <c r="D91">
        <v>0</v>
      </c>
      <c r="E91">
        <v>3</v>
      </c>
      <c r="F91" t="s">
        <v>13</v>
      </c>
      <c r="G91" t="s">
        <v>169</v>
      </c>
      <c r="H91">
        <v>146</v>
      </c>
      <c r="I91" s="1">
        <v>43351</v>
      </c>
      <c r="J91" t="s">
        <v>15</v>
      </c>
      <c r="K91">
        <v>113.56</v>
      </c>
      <c r="L91" t="s">
        <v>16</v>
      </c>
    </row>
    <row r="92" spans="1:12" x14ac:dyDescent="0.25">
      <c r="A92" t="s">
        <v>170</v>
      </c>
      <c r="B92">
        <v>2</v>
      </c>
      <c r="C92">
        <v>0</v>
      </c>
      <c r="D92">
        <v>1</v>
      </c>
      <c r="E92">
        <v>3</v>
      </c>
      <c r="F92" t="s">
        <v>18</v>
      </c>
      <c r="G92" t="s">
        <v>14</v>
      </c>
      <c r="H92">
        <v>110</v>
      </c>
      <c r="I92" s="1">
        <v>43225</v>
      </c>
      <c r="J92" t="s">
        <v>19</v>
      </c>
      <c r="K92">
        <v>101.58</v>
      </c>
      <c r="L92" t="s">
        <v>16</v>
      </c>
    </row>
    <row r="93" spans="1:12" x14ac:dyDescent="0.25">
      <c r="A93" t="s">
        <v>171</v>
      </c>
      <c r="B93">
        <v>2</v>
      </c>
      <c r="C93">
        <v>0</v>
      </c>
      <c r="D93">
        <v>1</v>
      </c>
      <c r="E93">
        <v>2</v>
      </c>
      <c r="F93" t="s">
        <v>13</v>
      </c>
      <c r="G93" t="s">
        <v>14</v>
      </c>
      <c r="H93">
        <v>68</v>
      </c>
      <c r="I93" t="s">
        <v>172</v>
      </c>
      <c r="J93" t="s">
        <v>19</v>
      </c>
      <c r="K93">
        <v>105.3</v>
      </c>
      <c r="L93" t="s">
        <v>16</v>
      </c>
    </row>
    <row r="94" spans="1:12" x14ac:dyDescent="0.25">
      <c r="A94" t="s">
        <v>173</v>
      </c>
      <c r="B94">
        <v>2</v>
      </c>
      <c r="C94">
        <v>0</v>
      </c>
      <c r="D94">
        <v>2</v>
      </c>
      <c r="E94">
        <v>1</v>
      </c>
      <c r="F94" t="s">
        <v>13</v>
      </c>
      <c r="G94" t="s">
        <v>32</v>
      </c>
      <c r="H94">
        <v>73</v>
      </c>
      <c r="I94" s="1">
        <v>43347</v>
      </c>
      <c r="J94" t="s">
        <v>19</v>
      </c>
      <c r="K94">
        <v>115.8</v>
      </c>
      <c r="L94" t="s">
        <v>16</v>
      </c>
    </row>
    <row r="95" spans="1:12" x14ac:dyDescent="0.25">
      <c r="A95" t="s">
        <v>174</v>
      </c>
      <c r="B95">
        <v>2</v>
      </c>
      <c r="C95">
        <v>0</v>
      </c>
      <c r="D95">
        <v>0</v>
      </c>
      <c r="E95">
        <v>1</v>
      </c>
      <c r="F95" t="s">
        <v>13</v>
      </c>
      <c r="G95" t="s">
        <v>32</v>
      </c>
      <c r="H95">
        <v>92</v>
      </c>
      <c r="I95" t="s">
        <v>68</v>
      </c>
      <c r="J95" t="s">
        <v>19</v>
      </c>
      <c r="K95">
        <v>149.4</v>
      </c>
      <c r="L95" t="s">
        <v>16</v>
      </c>
    </row>
    <row r="96" spans="1:12" x14ac:dyDescent="0.25">
      <c r="A96" t="s">
        <v>175</v>
      </c>
      <c r="B96">
        <v>2</v>
      </c>
      <c r="C96">
        <v>0</v>
      </c>
      <c r="D96">
        <v>2</v>
      </c>
      <c r="E96">
        <v>5</v>
      </c>
      <c r="F96" t="s">
        <v>13</v>
      </c>
      <c r="G96" t="s">
        <v>14</v>
      </c>
      <c r="H96">
        <v>171</v>
      </c>
      <c r="I96" t="s">
        <v>176</v>
      </c>
      <c r="J96" t="s">
        <v>19</v>
      </c>
      <c r="K96">
        <v>111.59</v>
      </c>
      <c r="L96" t="s">
        <v>22</v>
      </c>
    </row>
    <row r="97" spans="1:12" x14ac:dyDescent="0.25">
      <c r="A97" t="s">
        <v>177</v>
      </c>
      <c r="B97">
        <v>2</v>
      </c>
      <c r="C97">
        <v>1</v>
      </c>
      <c r="D97">
        <v>0</v>
      </c>
      <c r="E97">
        <v>2</v>
      </c>
      <c r="F97" t="s">
        <v>13</v>
      </c>
      <c r="G97" t="s">
        <v>14</v>
      </c>
      <c r="H97">
        <v>134</v>
      </c>
      <c r="I97" s="1">
        <v>43198</v>
      </c>
      <c r="J97" t="s">
        <v>19</v>
      </c>
      <c r="K97">
        <v>130.5</v>
      </c>
      <c r="L97" t="s">
        <v>16</v>
      </c>
    </row>
    <row r="98" spans="1:12" x14ac:dyDescent="0.25">
      <c r="A98" t="s">
        <v>178</v>
      </c>
      <c r="B98">
        <v>2</v>
      </c>
      <c r="C98">
        <v>0</v>
      </c>
      <c r="D98">
        <v>0</v>
      </c>
      <c r="E98">
        <v>2</v>
      </c>
      <c r="F98" t="s">
        <v>27</v>
      </c>
      <c r="G98" t="s">
        <v>14</v>
      </c>
      <c r="H98">
        <v>320</v>
      </c>
      <c r="I98" t="s">
        <v>179</v>
      </c>
      <c r="J98" t="s">
        <v>19</v>
      </c>
      <c r="K98">
        <v>115</v>
      </c>
      <c r="L98" t="s">
        <v>22</v>
      </c>
    </row>
    <row r="99" spans="1:12" x14ac:dyDescent="0.25">
      <c r="A99" t="s">
        <v>180</v>
      </c>
      <c r="B99">
        <v>2</v>
      </c>
      <c r="C99">
        <v>0</v>
      </c>
      <c r="D99">
        <v>0</v>
      </c>
      <c r="E99">
        <v>4</v>
      </c>
      <c r="F99" t="s">
        <v>13</v>
      </c>
      <c r="G99" t="s">
        <v>14</v>
      </c>
      <c r="H99">
        <v>118</v>
      </c>
      <c r="I99" t="s">
        <v>181</v>
      </c>
      <c r="J99" t="s">
        <v>19</v>
      </c>
      <c r="K99">
        <v>90.95</v>
      </c>
      <c r="L99" t="s">
        <v>16</v>
      </c>
    </row>
    <row r="100" spans="1:12" x14ac:dyDescent="0.25">
      <c r="A100" t="s">
        <v>182</v>
      </c>
      <c r="B100">
        <v>2</v>
      </c>
      <c r="C100">
        <v>0</v>
      </c>
      <c r="D100">
        <v>0</v>
      </c>
      <c r="E100">
        <v>3</v>
      </c>
      <c r="F100" t="s">
        <v>13</v>
      </c>
      <c r="G100" t="s">
        <v>14</v>
      </c>
      <c r="H100">
        <v>30</v>
      </c>
      <c r="I100" t="s">
        <v>183</v>
      </c>
      <c r="J100" t="s">
        <v>19</v>
      </c>
      <c r="K100">
        <v>76.08</v>
      </c>
      <c r="L100" t="s">
        <v>16</v>
      </c>
    </row>
    <row r="101" spans="1:12" x14ac:dyDescent="0.25">
      <c r="A101" t="s">
        <v>184</v>
      </c>
      <c r="B101">
        <v>2</v>
      </c>
      <c r="C101">
        <v>2</v>
      </c>
      <c r="D101">
        <v>1</v>
      </c>
      <c r="E101">
        <v>3</v>
      </c>
      <c r="F101" t="s">
        <v>13</v>
      </c>
      <c r="G101" t="s">
        <v>124</v>
      </c>
      <c r="H101">
        <v>30</v>
      </c>
      <c r="I101" t="s">
        <v>185</v>
      </c>
      <c r="J101" t="s">
        <v>19</v>
      </c>
      <c r="K101">
        <v>156.9</v>
      </c>
      <c r="L101" t="s">
        <v>16</v>
      </c>
    </row>
    <row r="102" spans="1:12" x14ac:dyDescent="0.25">
      <c r="A102" t="s">
        <v>186</v>
      </c>
      <c r="B102">
        <v>2</v>
      </c>
      <c r="C102">
        <v>0</v>
      </c>
      <c r="D102">
        <v>1</v>
      </c>
      <c r="E102">
        <v>0</v>
      </c>
      <c r="F102" t="s">
        <v>18</v>
      </c>
      <c r="G102" t="s">
        <v>14</v>
      </c>
      <c r="H102">
        <v>189</v>
      </c>
      <c r="I102" t="s">
        <v>187</v>
      </c>
      <c r="J102" t="s">
        <v>19</v>
      </c>
      <c r="K102">
        <v>85.5</v>
      </c>
      <c r="L102" t="s">
        <v>16</v>
      </c>
    </row>
    <row r="103" spans="1:12" x14ac:dyDescent="0.25">
      <c r="A103" t="s">
        <v>188</v>
      </c>
      <c r="B103">
        <v>3</v>
      </c>
      <c r="C103">
        <v>0</v>
      </c>
      <c r="D103">
        <v>1</v>
      </c>
      <c r="E103">
        <v>2</v>
      </c>
      <c r="F103" t="s">
        <v>13</v>
      </c>
      <c r="G103" t="s">
        <v>32</v>
      </c>
      <c r="H103">
        <v>55</v>
      </c>
      <c r="I103" t="s">
        <v>189</v>
      </c>
      <c r="J103" t="s">
        <v>19</v>
      </c>
      <c r="K103">
        <v>159.30000000000001</v>
      </c>
      <c r="L103" t="s">
        <v>16</v>
      </c>
    </row>
    <row r="104" spans="1:12" x14ac:dyDescent="0.25">
      <c r="A104" t="s">
        <v>190</v>
      </c>
      <c r="B104">
        <v>1</v>
      </c>
      <c r="C104">
        <v>0</v>
      </c>
      <c r="D104">
        <v>0</v>
      </c>
      <c r="E104">
        <v>4</v>
      </c>
      <c r="F104" t="s">
        <v>13</v>
      </c>
      <c r="G104" t="s">
        <v>14</v>
      </c>
      <c r="H104">
        <v>55</v>
      </c>
      <c r="I104" t="s">
        <v>191</v>
      </c>
      <c r="J104" t="s">
        <v>19</v>
      </c>
      <c r="K104">
        <v>74.8</v>
      </c>
      <c r="L104" t="s">
        <v>16</v>
      </c>
    </row>
    <row r="105" spans="1:12" x14ac:dyDescent="0.25">
      <c r="A105" t="s">
        <v>192</v>
      </c>
      <c r="B105">
        <v>2</v>
      </c>
      <c r="C105">
        <v>0</v>
      </c>
      <c r="D105">
        <v>0</v>
      </c>
      <c r="E105">
        <v>1</v>
      </c>
      <c r="F105" t="s">
        <v>13</v>
      </c>
      <c r="G105" t="s">
        <v>14</v>
      </c>
      <c r="H105">
        <v>16</v>
      </c>
      <c r="I105" t="s">
        <v>193</v>
      </c>
      <c r="J105" t="s">
        <v>19</v>
      </c>
      <c r="K105">
        <v>95</v>
      </c>
      <c r="L105" t="s">
        <v>16</v>
      </c>
    </row>
    <row r="106" spans="1:12" x14ac:dyDescent="0.25">
      <c r="A106" t="s">
        <v>194</v>
      </c>
      <c r="B106">
        <v>2</v>
      </c>
      <c r="C106">
        <v>0</v>
      </c>
      <c r="D106">
        <v>0</v>
      </c>
      <c r="E106">
        <v>3</v>
      </c>
      <c r="F106" t="s">
        <v>13</v>
      </c>
      <c r="G106" t="s">
        <v>14</v>
      </c>
      <c r="H106">
        <v>24</v>
      </c>
      <c r="I106" s="1">
        <v>42957</v>
      </c>
      <c r="J106" t="s">
        <v>19</v>
      </c>
      <c r="K106">
        <v>107</v>
      </c>
      <c r="L106" t="s">
        <v>16</v>
      </c>
    </row>
    <row r="107" spans="1:12" x14ac:dyDescent="0.25">
      <c r="A107" t="s">
        <v>195</v>
      </c>
      <c r="B107">
        <v>2</v>
      </c>
      <c r="C107">
        <v>0</v>
      </c>
      <c r="D107">
        <v>0</v>
      </c>
      <c r="E107">
        <v>3</v>
      </c>
      <c r="F107" t="s">
        <v>13</v>
      </c>
      <c r="G107" t="s">
        <v>14</v>
      </c>
      <c r="H107">
        <v>8</v>
      </c>
      <c r="I107" t="s">
        <v>196</v>
      </c>
      <c r="J107" t="s">
        <v>15</v>
      </c>
      <c r="K107">
        <v>64</v>
      </c>
      <c r="L107" t="s">
        <v>16</v>
      </c>
    </row>
    <row r="108" spans="1:12" x14ac:dyDescent="0.25">
      <c r="A108" t="s">
        <v>197</v>
      </c>
      <c r="B108">
        <v>2</v>
      </c>
      <c r="C108">
        <v>0</v>
      </c>
      <c r="D108">
        <v>1</v>
      </c>
      <c r="E108">
        <v>4</v>
      </c>
      <c r="F108" t="s">
        <v>13</v>
      </c>
      <c r="G108" t="s">
        <v>14</v>
      </c>
      <c r="H108">
        <v>10</v>
      </c>
      <c r="I108" s="1">
        <v>42777</v>
      </c>
      <c r="J108" t="s">
        <v>19</v>
      </c>
      <c r="K108">
        <v>82.95</v>
      </c>
      <c r="L108" t="s">
        <v>16</v>
      </c>
    </row>
    <row r="109" spans="1:12" x14ac:dyDescent="0.25">
      <c r="A109" t="s">
        <v>198</v>
      </c>
      <c r="B109">
        <v>2</v>
      </c>
      <c r="C109">
        <v>0</v>
      </c>
      <c r="D109">
        <v>1</v>
      </c>
      <c r="E109">
        <v>3</v>
      </c>
      <c r="F109" t="s">
        <v>13</v>
      </c>
      <c r="G109" t="s">
        <v>32</v>
      </c>
      <c r="H109">
        <v>0</v>
      </c>
      <c r="I109" t="s">
        <v>66</v>
      </c>
      <c r="J109" t="s">
        <v>19</v>
      </c>
      <c r="K109">
        <v>155</v>
      </c>
      <c r="L109" t="s">
        <v>16</v>
      </c>
    </row>
    <row r="110" spans="1:12" x14ac:dyDescent="0.25">
      <c r="A110" t="s">
        <v>199</v>
      </c>
      <c r="B110">
        <v>2</v>
      </c>
      <c r="C110">
        <v>0</v>
      </c>
      <c r="D110">
        <v>0</v>
      </c>
      <c r="E110">
        <v>1</v>
      </c>
      <c r="F110" t="s">
        <v>18</v>
      </c>
      <c r="G110" t="s">
        <v>14</v>
      </c>
      <c r="H110">
        <v>12</v>
      </c>
      <c r="I110" t="s">
        <v>200</v>
      </c>
      <c r="J110" t="s">
        <v>19</v>
      </c>
      <c r="K110">
        <v>101.68</v>
      </c>
      <c r="L110" t="s">
        <v>16</v>
      </c>
    </row>
    <row r="111" spans="1:12" x14ac:dyDescent="0.25">
      <c r="A111" t="s">
        <v>201</v>
      </c>
      <c r="B111">
        <v>2</v>
      </c>
      <c r="C111">
        <v>0</v>
      </c>
      <c r="D111">
        <v>2</v>
      </c>
      <c r="E111">
        <v>1</v>
      </c>
      <c r="F111" t="s">
        <v>13</v>
      </c>
      <c r="G111" t="s">
        <v>14</v>
      </c>
      <c r="H111">
        <v>32</v>
      </c>
      <c r="I111" s="1">
        <v>42864</v>
      </c>
      <c r="J111" t="s">
        <v>19</v>
      </c>
      <c r="K111">
        <v>94.5</v>
      </c>
      <c r="L111" t="s">
        <v>16</v>
      </c>
    </row>
    <row r="112" spans="1:12" x14ac:dyDescent="0.25">
      <c r="A112" t="s">
        <v>202</v>
      </c>
      <c r="B112">
        <v>2</v>
      </c>
      <c r="C112">
        <v>0</v>
      </c>
      <c r="D112">
        <v>0</v>
      </c>
      <c r="E112">
        <v>2</v>
      </c>
      <c r="F112" t="s">
        <v>13</v>
      </c>
      <c r="G112" t="s">
        <v>14</v>
      </c>
      <c r="H112">
        <v>182</v>
      </c>
      <c r="I112" t="s">
        <v>203</v>
      </c>
      <c r="J112" t="s">
        <v>19</v>
      </c>
      <c r="K112">
        <v>117.9</v>
      </c>
      <c r="L112" t="s">
        <v>22</v>
      </c>
    </row>
    <row r="113" spans="1:12" x14ac:dyDescent="0.25">
      <c r="A113" t="s">
        <v>204</v>
      </c>
      <c r="B113">
        <v>2</v>
      </c>
      <c r="C113">
        <v>0</v>
      </c>
      <c r="D113">
        <v>1</v>
      </c>
      <c r="E113">
        <v>0</v>
      </c>
      <c r="F113" t="s">
        <v>18</v>
      </c>
      <c r="G113" t="s">
        <v>14</v>
      </c>
      <c r="H113">
        <v>1</v>
      </c>
      <c r="I113" t="s">
        <v>96</v>
      </c>
      <c r="J113" t="s">
        <v>19</v>
      </c>
      <c r="K113">
        <v>127</v>
      </c>
      <c r="L113" t="s">
        <v>16</v>
      </c>
    </row>
    <row r="114" spans="1:12" x14ac:dyDescent="0.25">
      <c r="A114" t="s">
        <v>205</v>
      </c>
      <c r="B114">
        <v>2</v>
      </c>
      <c r="C114">
        <v>0</v>
      </c>
      <c r="D114">
        <v>0</v>
      </c>
      <c r="E114">
        <v>3</v>
      </c>
      <c r="F114" t="s">
        <v>18</v>
      </c>
      <c r="G114" t="s">
        <v>14</v>
      </c>
      <c r="H114">
        <v>122</v>
      </c>
      <c r="I114" t="s">
        <v>206</v>
      </c>
      <c r="J114" t="s">
        <v>19</v>
      </c>
      <c r="K114">
        <v>116.1</v>
      </c>
      <c r="L114" t="s">
        <v>16</v>
      </c>
    </row>
    <row r="115" spans="1:12" x14ac:dyDescent="0.25">
      <c r="A115" t="s">
        <v>207</v>
      </c>
      <c r="B115">
        <v>2</v>
      </c>
      <c r="C115">
        <v>0</v>
      </c>
      <c r="D115">
        <v>2</v>
      </c>
      <c r="E115">
        <v>3</v>
      </c>
      <c r="F115" t="s">
        <v>13</v>
      </c>
      <c r="G115" t="s">
        <v>14</v>
      </c>
      <c r="H115">
        <v>40</v>
      </c>
      <c r="I115" t="s">
        <v>200</v>
      </c>
      <c r="J115" t="s">
        <v>19</v>
      </c>
      <c r="K115">
        <v>117.9</v>
      </c>
      <c r="L115" t="s">
        <v>16</v>
      </c>
    </row>
    <row r="116" spans="1:12" x14ac:dyDescent="0.25">
      <c r="A116" t="s">
        <v>208</v>
      </c>
      <c r="B116">
        <v>2</v>
      </c>
      <c r="C116">
        <v>2</v>
      </c>
      <c r="D116">
        <v>2</v>
      </c>
      <c r="E116">
        <v>2</v>
      </c>
      <c r="F116" t="s">
        <v>13</v>
      </c>
      <c r="G116" t="s">
        <v>78</v>
      </c>
      <c r="H116">
        <v>116</v>
      </c>
      <c r="I116" t="s">
        <v>209</v>
      </c>
      <c r="J116" t="s">
        <v>19</v>
      </c>
      <c r="K116">
        <v>184.24</v>
      </c>
      <c r="L116" t="s">
        <v>22</v>
      </c>
    </row>
    <row r="117" spans="1:12" x14ac:dyDescent="0.25">
      <c r="A117" t="s">
        <v>210</v>
      </c>
      <c r="B117">
        <v>3</v>
      </c>
      <c r="C117">
        <v>0</v>
      </c>
      <c r="D117">
        <v>2</v>
      </c>
      <c r="E117">
        <v>2</v>
      </c>
      <c r="F117" t="s">
        <v>13</v>
      </c>
      <c r="G117" t="s">
        <v>32</v>
      </c>
      <c r="H117">
        <v>123</v>
      </c>
      <c r="I117" t="s">
        <v>211</v>
      </c>
      <c r="J117" t="s">
        <v>19</v>
      </c>
      <c r="K117">
        <v>155.69999999999999</v>
      </c>
      <c r="L117" t="s">
        <v>16</v>
      </c>
    </row>
    <row r="118" spans="1:12" x14ac:dyDescent="0.25">
      <c r="A118" t="s">
        <v>212</v>
      </c>
      <c r="B118">
        <v>3</v>
      </c>
      <c r="C118">
        <v>0</v>
      </c>
      <c r="D118">
        <v>2</v>
      </c>
      <c r="E118">
        <v>5</v>
      </c>
      <c r="F118" t="s">
        <v>13</v>
      </c>
      <c r="G118" t="s">
        <v>32</v>
      </c>
      <c r="H118">
        <v>40</v>
      </c>
      <c r="I118" t="s">
        <v>110</v>
      </c>
      <c r="J118" t="s">
        <v>19</v>
      </c>
      <c r="K118">
        <v>135.76</v>
      </c>
      <c r="L118" t="s">
        <v>22</v>
      </c>
    </row>
    <row r="119" spans="1:12" x14ac:dyDescent="0.25">
      <c r="A119" t="s">
        <v>213</v>
      </c>
      <c r="B119">
        <v>2</v>
      </c>
      <c r="C119">
        <v>1</v>
      </c>
      <c r="D119">
        <v>2</v>
      </c>
      <c r="E119">
        <v>5</v>
      </c>
      <c r="F119" t="s">
        <v>13</v>
      </c>
      <c r="G119" t="s">
        <v>14</v>
      </c>
      <c r="H119">
        <v>105</v>
      </c>
      <c r="I119" s="1">
        <v>43445</v>
      </c>
      <c r="J119" t="s">
        <v>19</v>
      </c>
      <c r="K119">
        <v>102.83</v>
      </c>
      <c r="L119" t="s">
        <v>16</v>
      </c>
    </row>
    <row r="120" spans="1:12" x14ac:dyDescent="0.25">
      <c r="A120" t="s">
        <v>214</v>
      </c>
      <c r="B120">
        <v>2</v>
      </c>
      <c r="C120">
        <v>0</v>
      </c>
      <c r="D120">
        <v>0</v>
      </c>
      <c r="E120">
        <v>1</v>
      </c>
      <c r="F120" t="s">
        <v>13</v>
      </c>
      <c r="G120" t="s">
        <v>14</v>
      </c>
      <c r="H120">
        <v>443</v>
      </c>
      <c r="I120" t="s">
        <v>215</v>
      </c>
      <c r="J120" t="s">
        <v>19</v>
      </c>
      <c r="K120">
        <v>65</v>
      </c>
      <c r="L120" t="s">
        <v>22</v>
      </c>
    </row>
    <row r="121" spans="1:12" x14ac:dyDescent="0.25">
      <c r="A121" t="s">
        <v>216</v>
      </c>
      <c r="B121">
        <v>2</v>
      </c>
      <c r="C121">
        <v>0</v>
      </c>
      <c r="D121">
        <v>2</v>
      </c>
      <c r="E121">
        <v>3</v>
      </c>
      <c r="F121" t="s">
        <v>13</v>
      </c>
      <c r="G121" t="s">
        <v>14</v>
      </c>
      <c r="H121">
        <v>2</v>
      </c>
      <c r="I121" t="s">
        <v>217</v>
      </c>
      <c r="J121" t="s">
        <v>19</v>
      </c>
      <c r="K121">
        <v>103</v>
      </c>
      <c r="L121" t="s">
        <v>16</v>
      </c>
    </row>
    <row r="122" spans="1:12" x14ac:dyDescent="0.25">
      <c r="A122" t="s">
        <v>218</v>
      </c>
      <c r="B122">
        <v>2</v>
      </c>
      <c r="C122">
        <v>0</v>
      </c>
      <c r="D122">
        <v>0</v>
      </c>
      <c r="E122">
        <v>3</v>
      </c>
      <c r="F122" t="s">
        <v>13</v>
      </c>
      <c r="G122" t="s">
        <v>14</v>
      </c>
      <c r="H122">
        <v>317</v>
      </c>
      <c r="I122" s="1">
        <v>43109</v>
      </c>
      <c r="J122" t="s">
        <v>19</v>
      </c>
      <c r="K122">
        <v>106.2</v>
      </c>
      <c r="L122" t="s">
        <v>22</v>
      </c>
    </row>
    <row r="123" spans="1:12" x14ac:dyDescent="0.25">
      <c r="A123" t="s">
        <v>219</v>
      </c>
      <c r="B123">
        <v>2</v>
      </c>
      <c r="C123">
        <v>0</v>
      </c>
      <c r="D123">
        <v>0</v>
      </c>
      <c r="E123">
        <v>2</v>
      </c>
      <c r="F123" t="s">
        <v>27</v>
      </c>
      <c r="G123" t="s">
        <v>14</v>
      </c>
      <c r="H123">
        <v>286</v>
      </c>
      <c r="I123" t="s">
        <v>220</v>
      </c>
      <c r="J123" t="s">
        <v>15</v>
      </c>
      <c r="K123">
        <v>58.5</v>
      </c>
      <c r="L123" t="s">
        <v>16</v>
      </c>
    </row>
    <row r="124" spans="1:12" x14ac:dyDescent="0.25">
      <c r="A124" t="s">
        <v>221</v>
      </c>
      <c r="B124">
        <v>2</v>
      </c>
      <c r="C124">
        <v>0</v>
      </c>
      <c r="D124">
        <v>1</v>
      </c>
      <c r="E124">
        <v>3</v>
      </c>
      <c r="F124" t="s">
        <v>13</v>
      </c>
      <c r="G124" t="s">
        <v>14</v>
      </c>
      <c r="H124">
        <v>68</v>
      </c>
      <c r="I124" s="1">
        <v>43376</v>
      </c>
      <c r="J124" t="s">
        <v>19</v>
      </c>
      <c r="K124">
        <v>73.95</v>
      </c>
      <c r="L124" t="s">
        <v>22</v>
      </c>
    </row>
    <row r="125" spans="1:12" x14ac:dyDescent="0.25">
      <c r="A125" t="s">
        <v>222</v>
      </c>
      <c r="B125">
        <v>2</v>
      </c>
      <c r="C125">
        <v>0</v>
      </c>
      <c r="D125">
        <v>0</v>
      </c>
      <c r="E125">
        <v>3</v>
      </c>
      <c r="F125" t="s">
        <v>13</v>
      </c>
      <c r="G125" t="s">
        <v>14</v>
      </c>
      <c r="H125">
        <v>148</v>
      </c>
      <c r="I125" s="1">
        <v>43225</v>
      </c>
      <c r="J125" t="s">
        <v>19</v>
      </c>
      <c r="K125">
        <v>105.3</v>
      </c>
      <c r="L125" t="s">
        <v>16</v>
      </c>
    </row>
    <row r="126" spans="1:12" x14ac:dyDescent="0.25">
      <c r="A126" t="s">
        <v>223</v>
      </c>
      <c r="B126">
        <v>3</v>
      </c>
      <c r="C126">
        <v>0</v>
      </c>
      <c r="D126">
        <v>2</v>
      </c>
      <c r="E126">
        <v>0</v>
      </c>
      <c r="F126" t="s">
        <v>13</v>
      </c>
      <c r="G126" t="s">
        <v>32</v>
      </c>
      <c r="H126">
        <v>68</v>
      </c>
      <c r="I126" t="s">
        <v>224</v>
      </c>
      <c r="J126" t="s">
        <v>19</v>
      </c>
      <c r="K126">
        <v>133.19999999999999</v>
      </c>
      <c r="L126" t="s">
        <v>16</v>
      </c>
    </row>
    <row r="127" spans="1:12" x14ac:dyDescent="0.25">
      <c r="A127" t="s">
        <v>225</v>
      </c>
      <c r="B127">
        <v>2</v>
      </c>
      <c r="C127">
        <v>0</v>
      </c>
      <c r="D127">
        <v>0</v>
      </c>
      <c r="E127">
        <v>2</v>
      </c>
      <c r="F127" t="s">
        <v>13</v>
      </c>
      <c r="G127" t="s">
        <v>14</v>
      </c>
      <c r="H127">
        <v>30</v>
      </c>
      <c r="I127" t="s">
        <v>226</v>
      </c>
      <c r="J127" t="s">
        <v>15</v>
      </c>
      <c r="K127">
        <v>85.5</v>
      </c>
      <c r="L127" t="s">
        <v>16</v>
      </c>
    </row>
    <row r="128" spans="1:12" x14ac:dyDescent="0.25">
      <c r="A128" t="s">
        <v>227</v>
      </c>
      <c r="B128">
        <v>1</v>
      </c>
      <c r="C128">
        <v>0</v>
      </c>
      <c r="D128">
        <v>0</v>
      </c>
      <c r="E128">
        <v>1</v>
      </c>
      <c r="F128" t="s">
        <v>13</v>
      </c>
      <c r="G128" t="s">
        <v>14</v>
      </c>
      <c r="H128">
        <v>14</v>
      </c>
      <c r="I128" s="1">
        <v>43170</v>
      </c>
      <c r="J128" t="s">
        <v>19</v>
      </c>
      <c r="K128">
        <v>112</v>
      </c>
      <c r="L128" t="s">
        <v>22</v>
      </c>
    </row>
    <row r="129" spans="1:12" x14ac:dyDescent="0.25">
      <c r="A129" t="s">
        <v>228</v>
      </c>
      <c r="B129">
        <v>2</v>
      </c>
      <c r="C129">
        <v>2</v>
      </c>
      <c r="D129">
        <v>0</v>
      </c>
      <c r="E129">
        <v>2</v>
      </c>
      <c r="F129" t="s">
        <v>13</v>
      </c>
      <c r="G129" t="s">
        <v>124</v>
      </c>
      <c r="H129">
        <v>110</v>
      </c>
      <c r="I129" t="s">
        <v>229</v>
      </c>
      <c r="J129" t="s">
        <v>19</v>
      </c>
      <c r="K129">
        <v>190.8</v>
      </c>
      <c r="L129" t="s">
        <v>22</v>
      </c>
    </row>
    <row r="130" spans="1:12" x14ac:dyDescent="0.25">
      <c r="A130" t="s">
        <v>230</v>
      </c>
      <c r="B130">
        <v>1</v>
      </c>
      <c r="C130">
        <v>0</v>
      </c>
      <c r="D130">
        <v>2</v>
      </c>
      <c r="E130">
        <v>3</v>
      </c>
      <c r="F130" t="s">
        <v>13</v>
      </c>
      <c r="G130" t="s">
        <v>14</v>
      </c>
      <c r="H130">
        <v>117</v>
      </c>
      <c r="I130" s="1">
        <v>43226</v>
      </c>
      <c r="J130" t="s">
        <v>15</v>
      </c>
      <c r="K130">
        <v>110</v>
      </c>
      <c r="L130" t="s">
        <v>16</v>
      </c>
    </row>
    <row r="131" spans="1:12" x14ac:dyDescent="0.25">
      <c r="A131" t="s">
        <v>231</v>
      </c>
      <c r="B131">
        <v>2</v>
      </c>
      <c r="C131">
        <v>0</v>
      </c>
      <c r="D131">
        <v>1</v>
      </c>
      <c r="E131">
        <v>4</v>
      </c>
      <c r="F131" t="s">
        <v>13</v>
      </c>
      <c r="G131" t="s">
        <v>32</v>
      </c>
      <c r="H131">
        <v>85</v>
      </c>
      <c r="I131" t="s">
        <v>232</v>
      </c>
      <c r="J131" t="s">
        <v>19</v>
      </c>
      <c r="K131">
        <v>91.48</v>
      </c>
      <c r="L131" t="s">
        <v>16</v>
      </c>
    </row>
    <row r="132" spans="1:12" x14ac:dyDescent="0.25">
      <c r="A132" t="s">
        <v>233</v>
      </c>
      <c r="B132">
        <v>2</v>
      </c>
      <c r="C132">
        <v>0</v>
      </c>
      <c r="D132">
        <v>0</v>
      </c>
      <c r="E132">
        <v>2</v>
      </c>
      <c r="F132" t="s">
        <v>18</v>
      </c>
      <c r="G132" t="s">
        <v>14</v>
      </c>
      <c r="H132">
        <v>1</v>
      </c>
      <c r="I132" t="s">
        <v>234</v>
      </c>
      <c r="J132" t="s">
        <v>19</v>
      </c>
      <c r="K132">
        <v>135</v>
      </c>
      <c r="L132" t="s">
        <v>16</v>
      </c>
    </row>
    <row r="133" spans="1:12" x14ac:dyDescent="0.25">
      <c r="A133" t="s">
        <v>235</v>
      </c>
      <c r="B133">
        <v>1</v>
      </c>
      <c r="C133">
        <v>0</v>
      </c>
      <c r="D133">
        <v>1</v>
      </c>
      <c r="E133">
        <v>2</v>
      </c>
      <c r="F133" t="s">
        <v>13</v>
      </c>
      <c r="G133" t="s">
        <v>14</v>
      </c>
      <c r="H133">
        <v>25</v>
      </c>
      <c r="I133" t="s">
        <v>164</v>
      </c>
      <c r="J133" t="s">
        <v>19</v>
      </c>
      <c r="K133">
        <v>129</v>
      </c>
      <c r="L133" t="s">
        <v>16</v>
      </c>
    </row>
    <row r="134" spans="1:12" x14ac:dyDescent="0.25">
      <c r="A134" t="s">
        <v>236</v>
      </c>
      <c r="B134">
        <v>2</v>
      </c>
      <c r="C134">
        <v>0</v>
      </c>
      <c r="D134">
        <v>2</v>
      </c>
      <c r="E134">
        <v>4</v>
      </c>
      <c r="F134" t="s">
        <v>18</v>
      </c>
      <c r="G134" t="s">
        <v>14</v>
      </c>
      <c r="H134">
        <v>289</v>
      </c>
      <c r="I134" t="s">
        <v>237</v>
      </c>
      <c r="J134" t="s">
        <v>19</v>
      </c>
      <c r="K134">
        <v>70.55</v>
      </c>
      <c r="L134" t="s">
        <v>22</v>
      </c>
    </row>
    <row r="135" spans="1:12" x14ac:dyDescent="0.25">
      <c r="A135" t="s">
        <v>238</v>
      </c>
      <c r="B135">
        <v>2</v>
      </c>
      <c r="C135">
        <v>0</v>
      </c>
      <c r="D135">
        <v>1</v>
      </c>
      <c r="E135">
        <v>4</v>
      </c>
      <c r="F135" t="s">
        <v>13</v>
      </c>
      <c r="G135" t="s">
        <v>32</v>
      </c>
      <c r="H135">
        <v>28</v>
      </c>
      <c r="I135" t="s">
        <v>239</v>
      </c>
      <c r="J135" t="s">
        <v>15</v>
      </c>
      <c r="K135">
        <v>75</v>
      </c>
      <c r="L135" t="s">
        <v>16</v>
      </c>
    </row>
    <row r="136" spans="1:12" x14ac:dyDescent="0.25">
      <c r="A136" t="s">
        <v>240</v>
      </c>
      <c r="B136">
        <v>1</v>
      </c>
      <c r="C136">
        <v>0</v>
      </c>
      <c r="D136">
        <v>0</v>
      </c>
      <c r="E136">
        <v>4</v>
      </c>
      <c r="F136" t="s">
        <v>18</v>
      </c>
      <c r="G136" t="s">
        <v>14</v>
      </c>
      <c r="H136">
        <v>80</v>
      </c>
      <c r="I136" t="s">
        <v>155</v>
      </c>
      <c r="J136" t="s">
        <v>19</v>
      </c>
      <c r="K136">
        <v>72.25</v>
      </c>
      <c r="L136" t="s">
        <v>16</v>
      </c>
    </row>
    <row r="137" spans="1:12" x14ac:dyDescent="0.25">
      <c r="A137" t="s">
        <v>241</v>
      </c>
      <c r="B137">
        <v>2</v>
      </c>
      <c r="C137">
        <v>0</v>
      </c>
      <c r="D137">
        <v>0</v>
      </c>
      <c r="E137">
        <v>1</v>
      </c>
      <c r="F137" t="s">
        <v>13</v>
      </c>
      <c r="G137" t="s">
        <v>32</v>
      </c>
      <c r="H137">
        <v>11</v>
      </c>
      <c r="I137" s="1">
        <v>42988</v>
      </c>
      <c r="J137" t="s">
        <v>19</v>
      </c>
      <c r="K137">
        <v>155</v>
      </c>
      <c r="L137" t="s">
        <v>16</v>
      </c>
    </row>
    <row r="138" spans="1:12" x14ac:dyDescent="0.25">
      <c r="A138" t="s">
        <v>242</v>
      </c>
      <c r="B138">
        <v>2</v>
      </c>
      <c r="C138">
        <v>1</v>
      </c>
      <c r="D138">
        <v>1</v>
      </c>
      <c r="E138">
        <v>0</v>
      </c>
      <c r="F138" t="s">
        <v>13</v>
      </c>
      <c r="G138" t="s">
        <v>14</v>
      </c>
      <c r="H138">
        <v>162</v>
      </c>
      <c r="I138" t="s">
        <v>243</v>
      </c>
      <c r="J138" t="s">
        <v>19</v>
      </c>
      <c r="K138">
        <v>121.5</v>
      </c>
      <c r="L138" t="s">
        <v>22</v>
      </c>
    </row>
    <row r="139" spans="1:12" x14ac:dyDescent="0.25">
      <c r="A139" t="s">
        <v>244</v>
      </c>
      <c r="B139">
        <v>2</v>
      </c>
      <c r="C139">
        <v>0</v>
      </c>
      <c r="D139">
        <v>2</v>
      </c>
      <c r="E139">
        <v>5</v>
      </c>
      <c r="F139" t="s">
        <v>13</v>
      </c>
      <c r="G139" t="s">
        <v>14</v>
      </c>
      <c r="H139">
        <v>155</v>
      </c>
      <c r="I139" t="s">
        <v>153</v>
      </c>
      <c r="J139" t="s">
        <v>19</v>
      </c>
      <c r="K139">
        <v>90.95</v>
      </c>
      <c r="L139" t="s">
        <v>16</v>
      </c>
    </row>
    <row r="140" spans="1:12" x14ac:dyDescent="0.25">
      <c r="A140" t="s">
        <v>245</v>
      </c>
      <c r="B140">
        <v>1</v>
      </c>
      <c r="C140">
        <v>0</v>
      </c>
      <c r="D140">
        <v>2</v>
      </c>
      <c r="E140">
        <v>2</v>
      </c>
      <c r="F140" t="s">
        <v>13</v>
      </c>
      <c r="G140" t="s">
        <v>14</v>
      </c>
      <c r="H140">
        <v>82</v>
      </c>
      <c r="I140" t="s">
        <v>62</v>
      </c>
      <c r="J140" t="s">
        <v>19</v>
      </c>
      <c r="K140">
        <v>109.65</v>
      </c>
      <c r="L140" t="s">
        <v>16</v>
      </c>
    </row>
    <row r="141" spans="1:12" x14ac:dyDescent="0.25">
      <c r="A141" t="s">
        <v>246</v>
      </c>
      <c r="B141">
        <v>3</v>
      </c>
      <c r="C141">
        <v>0</v>
      </c>
      <c r="D141">
        <v>2</v>
      </c>
      <c r="E141">
        <v>4</v>
      </c>
      <c r="F141" t="s">
        <v>13</v>
      </c>
      <c r="G141" t="s">
        <v>32</v>
      </c>
      <c r="H141">
        <v>27</v>
      </c>
      <c r="I141" t="s">
        <v>135</v>
      </c>
      <c r="J141" t="s">
        <v>19</v>
      </c>
      <c r="K141">
        <v>142.72</v>
      </c>
      <c r="L141" t="s">
        <v>22</v>
      </c>
    </row>
    <row r="142" spans="1:12" x14ac:dyDescent="0.25">
      <c r="A142" t="s">
        <v>247</v>
      </c>
      <c r="B142">
        <v>1</v>
      </c>
      <c r="C142">
        <v>0</v>
      </c>
      <c r="D142">
        <v>1</v>
      </c>
      <c r="E142">
        <v>2</v>
      </c>
      <c r="F142" t="s">
        <v>13</v>
      </c>
      <c r="G142" t="s">
        <v>14</v>
      </c>
      <c r="H142">
        <v>13</v>
      </c>
      <c r="I142" s="1">
        <v>43348</v>
      </c>
      <c r="J142" t="s">
        <v>15</v>
      </c>
      <c r="K142">
        <v>90</v>
      </c>
      <c r="L142" t="s">
        <v>16</v>
      </c>
    </row>
    <row r="143" spans="1:12" x14ac:dyDescent="0.25">
      <c r="A143" t="s">
        <v>248</v>
      </c>
      <c r="B143">
        <v>2</v>
      </c>
      <c r="C143">
        <v>0</v>
      </c>
      <c r="D143">
        <v>0</v>
      </c>
      <c r="E143">
        <v>2</v>
      </c>
      <c r="F143" t="s">
        <v>13</v>
      </c>
      <c r="G143" t="s">
        <v>14</v>
      </c>
      <c r="H143">
        <v>245</v>
      </c>
      <c r="I143" t="s">
        <v>249</v>
      </c>
      <c r="J143" t="s">
        <v>19</v>
      </c>
      <c r="K143">
        <v>75</v>
      </c>
      <c r="L143" t="s">
        <v>22</v>
      </c>
    </row>
    <row r="144" spans="1:12" x14ac:dyDescent="0.25">
      <c r="A144" t="s">
        <v>250</v>
      </c>
      <c r="B144">
        <v>2</v>
      </c>
      <c r="C144">
        <v>0</v>
      </c>
      <c r="D144">
        <v>0</v>
      </c>
      <c r="E144">
        <v>2</v>
      </c>
      <c r="F144" t="s">
        <v>13</v>
      </c>
      <c r="G144" t="s">
        <v>14</v>
      </c>
      <c r="H144">
        <v>11</v>
      </c>
      <c r="I144" t="s">
        <v>251</v>
      </c>
      <c r="J144" t="s">
        <v>19</v>
      </c>
      <c r="K144">
        <v>111</v>
      </c>
      <c r="L144" t="s">
        <v>22</v>
      </c>
    </row>
    <row r="145" spans="1:12" x14ac:dyDescent="0.25">
      <c r="A145" t="s">
        <v>252</v>
      </c>
      <c r="B145">
        <v>2</v>
      </c>
      <c r="C145">
        <v>0</v>
      </c>
      <c r="D145">
        <v>2</v>
      </c>
      <c r="E145">
        <v>2</v>
      </c>
      <c r="F145" t="s">
        <v>13</v>
      </c>
      <c r="G145" t="s">
        <v>14</v>
      </c>
      <c r="H145">
        <v>266</v>
      </c>
      <c r="I145" t="s">
        <v>253</v>
      </c>
      <c r="J145" t="s">
        <v>19</v>
      </c>
      <c r="K145">
        <v>86.7</v>
      </c>
      <c r="L145" t="s">
        <v>16</v>
      </c>
    </row>
    <row r="146" spans="1:12" x14ac:dyDescent="0.25">
      <c r="A146" t="s">
        <v>254</v>
      </c>
      <c r="B146">
        <v>2</v>
      </c>
      <c r="C146">
        <v>0</v>
      </c>
      <c r="D146">
        <v>1</v>
      </c>
      <c r="E146">
        <v>0</v>
      </c>
      <c r="F146" t="s">
        <v>13</v>
      </c>
      <c r="G146" t="s">
        <v>14</v>
      </c>
      <c r="H146">
        <v>39</v>
      </c>
      <c r="I146" t="s">
        <v>255</v>
      </c>
      <c r="J146" t="s">
        <v>19</v>
      </c>
      <c r="K146">
        <v>117.9</v>
      </c>
      <c r="L146" t="s">
        <v>16</v>
      </c>
    </row>
    <row r="147" spans="1:12" x14ac:dyDescent="0.25">
      <c r="A147" t="s">
        <v>256</v>
      </c>
      <c r="B147">
        <v>1</v>
      </c>
      <c r="C147">
        <v>0</v>
      </c>
      <c r="D147">
        <v>0</v>
      </c>
      <c r="E147">
        <v>2</v>
      </c>
      <c r="F147" t="s">
        <v>13</v>
      </c>
      <c r="G147" t="s">
        <v>14</v>
      </c>
      <c r="H147">
        <v>13</v>
      </c>
      <c r="I147" s="1">
        <v>43106</v>
      </c>
      <c r="J147" t="s">
        <v>129</v>
      </c>
      <c r="K147">
        <v>0</v>
      </c>
      <c r="L147" t="s">
        <v>16</v>
      </c>
    </row>
    <row r="148" spans="1:12" x14ac:dyDescent="0.25">
      <c r="A148" t="s">
        <v>257</v>
      </c>
      <c r="B148">
        <v>2</v>
      </c>
      <c r="C148">
        <v>0</v>
      </c>
      <c r="D148">
        <v>0</v>
      </c>
      <c r="E148">
        <v>4</v>
      </c>
      <c r="F148" t="s">
        <v>18</v>
      </c>
      <c r="G148" t="s">
        <v>14</v>
      </c>
      <c r="H148">
        <v>112</v>
      </c>
      <c r="I148" s="1">
        <v>43195</v>
      </c>
      <c r="J148" t="s">
        <v>19</v>
      </c>
      <c r="K148">
        <v>101.58</v>
      </c>
      <c r="L148" t="s">
        <v>16</v>
      </c>
    </row>
    <row r="149" spans="1:12" x14ac:dyDescent="0.25">
      <c r="A149" t="s">
        <v>258</v>
      </c>
      <c r="B149">
        <v>2</v>
      </c>
      <c r="C149">
        <v>0</v>
      </c>
      <c r="D149">
        <v>1</v>
      </c>
      <c r="E149">
        <v>2</v>
      </c>
      <c r="F149" t="s">
        <v>18</v>
      </c>
      <c r="G149" t="s">
        <v>14</v>
      </c>
      <c r="H149">
        <v>88</v>
      </c>
      <c r="I149" s="1">
        <v>43316</v>
      </c>
      <c r="J149" t="s">
        <v>19</v>
      </c>
      <c r="K149">
        <v>58.9</v>
      </c>
      <c r="L149" t="s">
        <v>16</v>
      </c>
    </row>
    <row r="150" spans="1:12" x14ac:dyDescent="0.25">
      <c r="A150" t="s">
        <v>259</v>
      </c>
      <c r="B150">
        <v>2</v>
      </c>
      <c r="C150">
        <v>0</v>
      </c>
      <c r="D150">
        <v>0</v>
      </c>
      <c r="E150">
        <v>1</v>
      </c>
      <c r="F150" t="s">
        <v>13</v>
      </c>
      <c r="G150" t="s">
        <v>14</v>
      </c>
      <c r="H150">
        <v>56</v>
      </c>
      <c r="I150" s="1">
        <v>43318</v>
      </c>
      <c r="J150" t="s">
        <v>15</v>
      </c>
      <c r="K150">
        <v>120</v>
      </c>
      <c r="L150" t="s">
        <v>16</v>
      </c>
    </row>
    <row r="151" spans="1:12" x14ac:dyDescent="0.25">
      <c r="A151" t="s">
        <v>260</v>
      </c>
      <c r="B151">
        <v>2</v>
      </c>
      <c r="C151">
        <v>0</v>
      </c>
      <c r="D151">
        <v>2</v>
      </c>
      <c r="E151">
        <v>3</v>
      </c>
      <c r="F151" t="s">
        <v>13</v>
      </c>
      <c r="G151" t="s">
        <v>32</v>
      </c>
      <c r="H151">
        <v>73</v>
      </c>
      <c r="I151" s="1">
        <v>43285</v>
      </c>
      <c r="J151" t="s">
        <v>19</v>
      </c>
      <c r="K151">
        <v>107.1</v>
      </c>
      <c r="L151" t="s">
        <v>22</v>
      </c>
    </row>
    <row r="152" spans="1:12" x14ac:dyDescent="0.25">
      <c r="A152" t="s">
        <v>261</v>
      </c>
      <c r="B152">
        <v>2</v>
      </c>
      <c r="C152">
        <v>0</v>
      </c>
      <c r="D152">
        <v>1</v>
      </c>
      <c r="E152">
        <v>1</v>
      </c>
      <c r="F152" t="s">
        <v>13</v>
      </c>
      <c r="G152" t="s">
        <v>14</v>
      </c>
      <c r="H152">
        <v>80</v>
      </c>
      <c r="I152" s="1">
        <v>43136</v>
      </c>
      <c r="J152" t="s">
        <v>19</v>
      </c>
      <c r="K152">
        <v>126.9</v>
      </c>
      <c r="L152" t="s">
        <v>16</v>
      </c>
    </row>
    <row r="153" spans="1:12" x14ac:dyDescent="0.25">
      <c r="A153" t="s">
        <v>262</v>
      </c>
      <c r="B153">
        <v>2</v>
      </c>
      <c r="C153">
        <v>0</v>
      </c>
      <c r="D153">
        <v>0</v>
      </c>
      <c r="E153">
        <v>3</v>
      </c>
      <c r="F153" t="s">
        <v>13</v>
      </c>
      <c r="G153" t="s">
        <v>32</v>
      </c>
      <c r="H153">
        <v>130</v>
      </c>
      <c r="I153" t="s">
        <v>263</v>
      </c>
      <c r="J153" t="s">
        <v>19</v>
      </c>
      <c r="K153">
        <v>139.5</v>
      </c>
      <c r="L153" t="s">
        <v>22</v>
      </c>
    </row>
    <row r="154" spans="1:12" x14ac:dyDescent="0.25">
      <c r="A154" t="s">
        <v>264</v>
      </c>
      <c r="B154">
        <v>2</v>
      </c>
      <c r="C154">
        <v>0</v>
      </c>
      <c r="D154">
        <v>1</v>
      </c>
      <c r="E154">
        <v>3</v>
      </c>
      <c r="F154" t="s">
        <v>18</v>
      </c>
      <c r="G154" t="s">
        <v>14</v>
      </c>
      <c r="H154">
        <v>69</v>
      </c>
      <c r="I154" s="1">
        <v>43194</v>
      </c>
      <c r="J154" t="s">
        <v>19</v>
      </c>
      <c r="K154">
        <v>80.75</v>
      </c>
      <c r="L154" t="s">
        <v>16</v>
      </c>
    </row>
    <row r="155" spans="1:12" x14ac:dyDescent="0.25">
      <c r="A155" t="s">
        <v>265</v>
      </c>
      <c r="B155">
        <v>2</v>
      </c>
      <c r="C155">
        <v>0</v>
      </c>
      <c r="D155">
        <v>0</v>
      </c>
      <c r="E155">
        <v>2</v>
      </c>
      <c r="F155" t="s">
        <v>27</v>
      </c>
      <c r="G155" t="s">
        <v>14</v>
      </c>
      <c r="H155">
        <v>273</v>
      </c>
      <c r="I155" t="s">
        <v>266</v>
      </c>
      <c r="J155" t="s">
        <v>19</v>
      </c>
      <c r="K155">
        <v>109</v>
      </c>
      <c r="L155" t="s">
        <v>22</v>
      </c>
    </row>
    <row r="156" spans="1:12" x14ac:dyDescent="0.25">
      <c r="A156" t="s">
        <v>267</v>
      </c>
      <c r="B156">
        <v>2</v>
      </c>
      <c r="C156">
        <v>0</v>
      </c>
      <c r="D156">
        <v>0</v>
      </c>
      <c r="E156">
        <v>1</v>
      </c>
      <c r="F156" t="s">
        <v>27</v>
      </c>
      <c r="G156" t="s">
        <v>14</v>
      </c>
      <c r="H156">
        <v>55</v>
      </c>
      <c r="I156" s="1">
        <v>43255</v>
      </c>
      <c r="J156" t="s">
        <v>15</v>
      </c>
      <c r="K156">
        <v>104</v>
      </c>
      <c r="L156" t="s">
        <v>16</v>
      </c>
    </row>
    <row r="157" spans="1:12" x14ac:dyDescent="0.25">
      <c r="A157" t="s">
        <v>268</v>
      </c>
      <c r="B157">
        <v>1</v>
      </c>
      <c r="C157">
        <v>0</v>
      </c>
      <c r="D157">
        <v>0</v>
      </c>
      <c r="E157">
        <v>3</v>
      </c>
      <c r="F157" t="s">
        <v>13</v>
      </c>
      <c r="G157" t="s">
        <v>14</v>
      </c>
      <c r="H157">
        <v>4</v>
      </c>
      <c r="I157" s="1">
        <v>43111</v>
      </c>
      <c r="J157" t="s">
        <v>56</v>
      </c>
      <c r="K157">
        <v>65</v>
      </c>
      <c r="L157" t="s">
        <v>16</v>
      </c>
    </row>
    <row r="158" spans="1:12" x14ac:dyDescent="0.25">
      <c r="A158" t="s">
        <v>269</v>
      </c>
      <c r="B158">
        <v>2</v>
      </c>
      <c r="C158">
        <v>0</v>
      </c>
      <c r="D158">
        <v>0</v>
      </c>
      <c r="E158">
        <v>3</v>
      </c>
      <c r="F158" t="s">
        <v>13</v>
      </c>
      <c r="G158" t="s">
        <v>32</v>
      </c>
      <c r="H158">
        <v>97</v>
      </c>
      <c r="I158" t="s">
        <v>270</v>
      </c>
      <c r="J158" t="s">
        <v>19</v>
      </c>
      <c r="K158">
        <v>140.4</v>
      </c>
      <c r="L158" t="s">
        <v>16</v>
      </c>
    </row>
    <row r="159" spans="1:12" x14ac:dyDescent="0.25">
      <c r="A159" t="s">
        <v>271</v>
      </c>
      <c r="B159">
        <v>2</v>
      </c>
      <c r="C159">
        <v>0</v>
      </c>
      <c r="D159">
        <v>0</v>
      </c>
      <c r="E159">
        <v>3</v>
      </c>
      <c r="F159" t="s">
        <v>13</v>
      </c>
      <c r="G159" t="s">
        <v>14</v>
      </c>
      <c r="H159">
        <v>44</v>
      </c>
      <c r="I159" t="s">
        <v>272</v>
      </c>
      <c r="J159" t="s">
        <v>15</v>
      </c>
      <c r="K159">
        <v>75</v>
      </c>
      <c r="L159" t="s">
        <v>16</v>
      </c>
    </row>
    <row r="160" spans="1:12" x14ac:dyDescent="0.25">
      <c r="A160" t="s">
        <v>273</v>
      </c>
      <c r="B160">
        <v>2</v>
      </c>
      <c r="C160">
        <v>0</v>
      </c>
      <c r="D160">
        <v>0</v>
      </c>
      <c r="E160">
        <v>1</v>
      </c>
      <c r="F160" t="s">
        <v>18</v>
      </c>
      <c r="G160" t="s">
        <v>14</v>
      </c>
      <c r="H160">
        <v>31</v>
      </c>
      <c r="I160" t="s">
        <v>274</v>
      </c>
      <c r="J160" t="s">
        <v>19</v>
      </c>
      <c r="K160">
        <v>94.5</v>
      </c>
      <c r="L160" t="s">
        <v>22</v>
      </c>
    </row>
    <row r="161" spans="1:12" x14ac:dyDescent="0.25">
      <c r="A161" t="s">
        <v>275</v>
      </c>
      <c r="B161">
        <v>2</v>
      </c>
      <c r="C161">
        <v>0</v>
      </c>
      <c r="D161">
        <v>1</v>
      </c>
      <c r="E161">
        <v>0</v>
      </c>
      <c r="F161" t="s">
        <v>18</v>
      </c>
      <c r="G161" t="s">
        <v>14</v>
      </c>
      <c r="H161">
        <v>0</v>
      </c>
      <c r="I161" s="1">
        <v>43226</v>
      </c>
      <c r="J161" t="s">
        <v>19</v>
      </c>
      <c r="K161">
        <v>109</v>
      </c>
      <c r="L161" t="s">
        <v>16</v>
      </c>
    </row>
    <row r="162" spans="1:12" x14ac:dyDescent="0.25">
      <c r="A162" t="s">
        <v>276</v>
      </c>
      <c r="B162">
        <v>2</v>
      </c>
      <c r="C162">
        <v>0</v>
      </c>
      <c r="D162">
        <v>2</v>
      </c>
      <c r="E162">
        <v>2</v>
      </c>
      <c r="F162" t="s">
        <v>13</v>
      </c>
      <c r="G162" t="s">
        <v>14</v>
      </c>
      <c r="H162">
        <v>62</v>
      </c>
      <c r="I162" s="1">
        <v>43445</v>
      </c>
      <c r="J162" t="s">
        <v>19</v>
      </c>
      <c r="K162">
        <v>105</v>
      </c>
      <c r="L162" t="s">
        <v>16</v>
      </c>
    </row>
    <row r="163" spans="1:12" x14ac:dyDescent="0.25">
      <c r="A163" t="s">
        <v>277</v>
      </c>
      <c r="B163">
        <v>2</v>
      </c>
      <c r="C163">
        <v>0</v>
      </c>
      <c r="D163">
        <v>2</v>
      </c>
      <c r="E163">
        <v>2</v>
      </c>
      <c r="F163" t="s">
        <v>13</v>
      </c>
      <c r="G163" t="s">
        <v>32</v>
      </c>
      <c r="H163">
        <v>86</v>
      </c>
      <c r="I163" t="s">
        <v>278</v>
      </c>
      <c r="J163" t="s">
        <v>19</v>
      </c>
      <c r="K163">
        <v>107.95</v>
      </c>
      <c r="L163" t="s">
        <v>16</v>
      </c>
    </row>
    <row r="164" spans="1:12" x14ac:dyDescent="0.25">
      <c r="A164" t="s">
        <v>279</v>
      </c>
      <c r="B164">
        <v>3</v>
      </c>
      <c r="C164">
        <v>0</v>
      </c>
      <c r="D164">
        <v>2</v>
      </c>
      <c r="E164">
        <v>2</v>
      </c>
      <c r="F164" t="s">
        <v>13</v>
      </c>
      <c r="G164" t="s">
        <v>280</v>
      </c>
      <c r="H164">
        <v>3</v>
      </c>
      <c r="I164" s="1">
        <v>43291</v>
      </c>
      <c r="J164" t="s">
        <v>19</v>
      </c>
      <c r="K164">
        <v>215.6</v>
      </c>
      <c r="L164" t="s">
        <v>16</v>
      </c>
    </row>
    <row r="165" spans="1:12" x14ac:dyDescent="0.25">
      <c r="A165" t="s">
        <v>281</v>
      </c>
      <c r="B165">
        <v>2</v>
      </c>
      <c r="C165">
        <v>0</v>
      </c>
      <c r="D165">
        <v>1</v>
      </c>
      <c r="E165">
        <v>1</v>
      </c>
      <c r="F165" t="s">
        <v>18</v>
      </c>
      <c r="G165" t="s">
        <v>14</v>
      </c>
      <c r="H165">
        <v>197</v>
      </c>
      <c r="I165" s="1">
        <v>43108</v>
      </c>
      <c r="J165" t="s">
        <v>19</v>
      </c>
      <c r="K165">
        <v>85.5</v>
      </c>
      <c r="L165" t="s">
        <v>16</v>
      </c>
    </row>
    <row r="166" spans="1:12" x14ac:dyDescent="0.25">
      <c r="A166" t="s">
        <v>282</v>
      </c>
      <c r="B166">
        <v>2</v>
      </c>
      <c r="C166">
        <v>0</v>
      </c>
      <c r="D166">
        <v>0</v>
      </c>
      <c r="E166">
        <v>2</v>
      </c>
      <c r="F166" t="s">
        <v>13</v>
      </c>
      <c r="G166" t="s">
        <v>14</v>
      </c>
      <c r="H166">
        <v>143</v>
      </c>
      <c r="I166" s="1">
        <v>43441</v>
      </c>
      <c r="J166" t="s">
        <v>19</v>
      </c>
      <c r="K166">
        <v>105.3</v>
      </c>
      <c r="L166" t="s">
        <v>16</v>
      </c>
    </row>
    <row r="167" spans="1:12" x14ac:dyDescent="0.25">
      <c r="A167" t="s">
        <v>283</v>
      </c>
      <c r="B167">
        <v>1</v>
      </c>
      <c r="C167">
        <v>0</v>
      </c>
      <c r="D167">
        <v>2</v>
      </c>
      <c r="E167">
        <v>1</v>
      </c>
      <c r="F167" t="s">
        <v>27</v>
      </c>
      <c r="G167" t="s">
        <v>14</v>
      </c>
      <c r="H167">
        <v>23</v>
      </c>
      <c r="I167" s="1">
        <v>43132</v>
      </c>
      <c r="J167" t="s">
        <v>19</v>
      </c>
      <c r="K167">
        <v>1</v>
      </c>
      <c r="L167" t="s">
        <v>16</v>
      </c>
    </row>
    <row r="168" spans="1:12" x14ac:dyDescent="0.25">
      <c r="A168" t="s">
        <v>284</v>
      </c>
      <c r="B168">
        <v>2</v>
      </c>
      <c r="C168">
        <v>0</v>
      </c>
      <c r="D168">
        <v>0</v>
      </c>
      <c r="E168">
        <v>2</v>
      </c>
      <c r="F168" t="s">
        <v>13</v>
      </c>
      <c r="G168" t="s">
        <v>32</v>
      </c>
      <c r="H168">
        <v>8</v>
      </c>
      <c r="I168" t="s">
        <v>47</v>
      </c>
      <c r="J168" t="s">
        <v>19</v>
      </c>
      <c r="K168">
        <v>156</v>
      </c>
      <c r="L168" t="s">
        <v>22</v>
      </c>
    </row>
    <row r="169" spans="1:12" x14ac:dyDescent="0.25">
      <c r="A169" t="s">
        <v>285</v>
      </c>
      <c r="B169">
        <v>1</v>
      </c>
      <c r="C169">
        <v>0</v>
      </c>
      <c r="D169">
        <v>0</v>
      </c>
      <c r="E169">
        <v>2</v>
      </c>
      <c r="F169" t="s">
        <v>13</v>
      </c>
      <c r="G169" t="s">
        <v>14</v>
      </c>
      <c r="H169">
        <v>13</v>
      </c>
      <c r="I169" t="s">
        <v>286</v>
      </c>
      <c r="J169" t="s">
        <v>19</v>
      </c>
      <c r="K169">
        <v>73.150000000000006</v>
      </c>
      <c r="L169" t="s">
        <v>16</v>
      </c>
    </row>
    <row r="170" spans="1:12" x14ac:dyDescent="0.25">
      <c r="A170" t="s">
        <v>287</v>
      </c>
      <c r="B170">
        <v>2</v>
      </c>
      <c r="C170">
        <v>0</v>
      </c>
      <c r="D170">
        <v>1</v>
      </c>
      <c r="E170">
        <v>2</v>
      </c>
      <c r="F170" t="s">
        <v>13</v>
      </c>
      <c r="G170" t="s">
        <v>14</v>
      </c>
      <c r="H170">
        <v>280</v>
      </c>
      <c r="I170" t="s">
        <v>288</v>
      </c>
      <c r="J170" t="s">
        <v>19</v>
      </c>
      <c r="K170">
        <v>110</v>
      </c>
      <c r="L170" t="s">
        <v>22</v>
      </c>
    </row>
    <row r="171" spans="1:12" x14ac:dyDescent="0.25">
      <c r="A171" t="s">
        <v>289</v>
      </c>
      <c r="B171">
        <v>2</v>
      </c>
      <c r="C171">
        <v>1</v>
      </c>
      <c r="D171">
        <v>1</v>
      </c>
      <c r="E171">
        <v>0</v>
      </c>
      <c r="F171" t="s">
        <v>18</v>
      </c>
      <c r="G171" t="s">
        <v>14</v>
      </c>
      <c r="H171">
        <v>11</v>
      </c>
      <c r="I171" t="s">
        <v>290</v>
      </c>
      <c r="J171" t="s">
        <v>19</v>
      </c>
      <c r="K171">
        <v>87.4</v>
      </c>
      <c r="L171" t="s">
        <v>16</v>
      </c>
    </row>
    <row r="172" spans="1:12" x14ac:dyDescent="0.25">
      <c r="A172" t="s">
        <v>291</v>
      </c>
      <c r="B172">
        <v>2</v>
      </c>
      <c r="C172">
        <v>0</v>
      </c>
      <c r="D172">
        <v>0</v>
      </c>
      <c r="E172">
        <v>2</v>
      </c>
      <c r="F172" t="s">
        <v>13</v>
      </c>
      <c r="G172" t="s">
        <v>14</v>
      </c>
      <c r="H172">
        <v>317</v>
      </c>
      <c r="I172" t="s">
        <v>292</v>
      </c>
      <c r="J172" t="s">
        <v>19</v>
      </c>
      <c r="K172">
        <v>120</v>
      </c>
      <c r="L172" t="s">
        <v>22</v>
      </c>
    </row>
    <row r="173" spans="1:12" x14ac:dyDescent="0.25">
      <c r="A173" t="s">
        <v>293</v>
      </c>
      <c r="B173">
        <v>2</v>
      </c>
      <c r="C173">
        <v>0</v>
      </c>
      <c r="D173">
        <v>1</v>
      </c>
      <c r="E173">
        <v>2</v>
      </c>
      <c r="F173" t="s">
        <v>18</v>
      </c>
      <c r="G173" t="s">
        <v>14</v>
      </c>
      <c r="H173">
        <v>185</v>
      </c>
      <c r="I173" t="s">
        <v>294</v>
      </c>
      <c r="J173" t="s">
        <v>19</v>
      </c>
      <c r="K173">
        <v>79.2</v>
      </c>
      <c r="L173" t="s">
        <v>22</v>
      </c>
    </row>
    <row r="174" spans="1:12" x14ac:dyDescent="0.25">
      <c r="A174" t="s">
        <v>295</v>
      </c>
      <c r="B174">
        <v>2</v>
      </c>
      <c r="C174">
        <v>0</v>
      </c>
      <c r="D174">
        <v>1</v>
      </c>
      <c r="E174">
        <v>3</v>
      </c>
      <c r="F174" t="s">
        <v>13</v>
      </c>
      <c r="G174" t="s">
        <v>14</v>
      </c>
      <c r="H174">
        <v>160</v>
      </c>
      <c r="I174" t="s">
        <v>200</v>
      </c>
      <c r="J174" t="s">
        <v>19</v>
      </c>
      <c r="K174">
        <v>90.95</v>
      </c>
      <c r="L174" t="s">
        <v>16</v>
      </c>
    </row>
    <row r="175" spans="1:12" x14ac:dyDescent="0.25">
      <c r="A175" t="s">
        <v>296</v>
      </c>
      <c r="B175">
        <v>2</v>
      </c>
      <c r="C175">
        <v>0</v>
      </c>
      <c r="D175">
        <v>0</v>
      </c>
      <c r="E175">
        <v>4</v>
      </c>
      <c r="F175" t="s">
        <v>13</v>
      </c>
      <c r="G175" t="s">
        <v>14</v>
      </c>
      <c r="H175">
        <v>104</v>
      </c>
      <c r="I175" t="s">
        <v>36</v>
      </c>
      <c r="J175" t="s">
        <v>19</v>
      </c>
      <c r="K175">
        <v>91.48</v>
      </c>
      <c r="L175" t="s">
        <v>16</v>
      </c>
    </row>
    <row r="176" spans="1:12" x14ac:dyDescent="0.25">
      <c r="A176" t="s">
        <v>297</v>
      </c>
      <c r="B176">
        <v>2</v>
      </c>
      <c r="C176">
        <v>1</v>
      </c>
      <c r="D176">
        <v>0</v>
      </c>
      <c r="E176">
        <v>1</v>
      </c>
      <c r="F176" t="s">
        <v>13</v>
      </c>
      <c r="G176" t="s">
        <v>14</v>
      </c>
      <c r="H176">
        <v>11</v>
      </c>
      <c r="I176" s="1">
        <v>43231</v>
      </c>
      <c r="J176" t="s">
        <v>19</v>
      </c>
      <c r="K176">
        <v>150</v>
      </c>
      <c r="L176" t="s">
        <v>22</v>
      </c>
    </row>
    <row r="177" spans="1:12" x14ac:dyDescent="0.25">
      <c r="A177" t="s">
        <v>298</v>
      </c>
      <c r="B177">
        <v>2</v>
      </c>
      <c r="C177">
        <v>0</v>
      </c>
      <c r="D177">
        <v>0</v>
      </c>
      <c r="E177">
        <v>1</v>
      </c>
      <c r="F177" t="s">
        <v>18</v>
      </c>
      <c r="G177" t="s">
        <v>14</v>
      </c>
      <c r="H177">
        <v>2</v>
      </c>
      <c r="I177" t="s">
        <v>299</v>
      </c>
      <c r="J177" t="s">
        <v>19</v>
      </c>
      <c r="K177">
        <v>89</v>
      </c>
      <c r="L177" t="s">
        <v>16</v>
      </c>
    </row>
    <row r="178" spans="1:12" x14ac:dyDescent="0.25">
      <c r="A178" t="s">
        <v>300</v>
      </c>
      <c r="B178">
        <v>2</v>
      </c>
      <c r="C178">
        <v>0</v>
      </c>
      <c r="D178">
        <v>1</v>
      </c>
      <c r="E178">
        <v>4</v>
      </c>
      <c r="F178" t="s">
        <v>18</v>
      </c>
      <c r="G178" t="s">
        <v>14</v>
      </c>
      <c r="H178">
        <v>14</v>
      </c>
      <c r="I178" t="s">
        <v>301</v>
      </c>
      <c r="J178" t="s">
        <v>19</v>
      </c>
      <c r="K178">
        <v>91.43</v>
      </c>
      <c r="L178" t="s">
        <v>16</v>
      </c>
    </row>
    <row r="179" spans="1:12" x14ac:dyDescent="0.25">
      <c r="A179" t="s">
        <v>302</v>
      </c>
      <c r="B179">
        <v>2</v>
      </c>
      <c r="C179">
        <v>0</v>
      </c>
      <c r="D179">
        <v>0</v>
      </c>
      <c r="E179">
        <v>2</v>
      </c>
      <c r="F179" t="s">
        <v>13</v>
      </c>
      <c r="G179" t="s">
        <v>14</v>
      </c>
      <c r="H179">
        <v>22</v>
      </c>
      <c r="I179" t="s">
        <v>24</v>
      </c>
      <c r="J179" t="s">
        <v>15</v>
      </c>
      <c r="K179">
        <v>140</v>
      </c>
      <c r="L179" t="s">
        <v>16</v>
      </c>
    </row>
    <row r="180" spans="1:12" x14ac:dyDescent="0.25">
      <c r="A180" t="s">
        <v>303</v>
      </c>
      <c r="B180">
        <v>1</v>
      </c>
      <c r="C180">
        <v>1</v>
      </c>
      <c r="D180">
        <v>2</v>
      </c>
      <c r="E180">
        <v>5</v>
      </c>
      <c r="F180" t="s">
        <v>18</v>
      </c>
      <c r="G180" t="s">
        <v>14</v>
      </c>
      <c r="H180">
        <v>37</v>
      </c>
      <c r="I180" t="s">
        <v>304</v>
      </c>
      <c r="J180" t="s">
        <v>19</v>
      </c>
      <c r="K180">
        <v>87.78</v>
      </c>
      <c r="L180" t="s">
        <v>16</v>
      </c>
    </row>
    <row r="181" spans="1:12" x14ac:dyDescent="0.25">
      <c r="A181" t="s">
        <v>305</v>
      </c>
      <c r="B181">
        <v>2</v>
      </c>
      <c r="C181">
        <v>0</v>
      </c>
      <c r="D181">
        <v>0</v>
      </c>
      <c r="E181">
        <v>2</v>
      </c>
      <c r="F181" t="s">
        <v>27</v>
      </c>
      <c r="G181" t="s">
        <v>14</v>
      </c>
      <c r="H181">
        <v>292</v>
      </c>
      <c r="I181" t="s">
        <v>306</v>
      </c>
      <c r="J181" t="s">
        <v>19</v>
      </c>
      <c r="K181">
        <v>115</v>
      </c>
      <c r="L181" t="s">
        <v>22</v>
      </c>
    </row>
    <row r="182" spans="1:12" x14ac:dyDescent="0.25">
      <c r="A182" t="s">
        <v>307</v>
      </c>
      <c r="B182">
        <v>2</v>
      </c>
      <c r="C182">
        <v>0</v>
      </c>
      <c r="D182">
        <v>0</v>
      </c>
      <c r="E182">
        <v>3</v>
      </c>
      <c r="F182" t="s">
        <v>13</v>
      </c>
      <c r="G182" t="s">
        <v>14</v>
      </c>
      <c r="H182">
        <v>11</v>
      </c>
      <c r="I182" s="1">
        <v>42987</v>
      </c>
      <c r="J182" t="s">
        <v>19</v>
      </c>
      <c r="K182">
        <v>80.849999999999994</v>
      </c>
      <c r="L182" t="s">
        <v>16</v>
      </c>
    </row>
    <row r="183" spans="1:12" x14ac:dyDescent="0.25">
      <c r="A183" t="s">
        <v>308</v>
      </c>
      <c r="B183">
        <v>2</v>
      </c>
      <c r="C183">
        <v>0</v>
      </c>
      <c r="D183">
        <v>1</v>
      </c>
      <c r="E183">
        <v>3</v>
      </c>
      <c r="F183" t="s">
        <v>13</v>
      </c>
      <c r="G183" t="s">
        <v>14</v>
      </c>
      <c r="H183">
        <v>86</v>
      </c>
      <c r="I183" t="s">
        <v>309</v>
      </c>
      <c r="J183" t="s">
        <v>19</v>
      </c>
      <c r="K183">
        <v>82.45</v>
      </c>
      <c r="L183" t="s">
        <v>16</v>
      </c>
    </row>
    <row r="184" spans="1:12" x14ac:dyDescent="0.25">
      <c r="A184" t="s">
        <v>310</v>
      </c>
      <c r="B184">
        <v>2</v>
      </c>
      <c r="C184">
        <v>0</v>
      </c>
      <c r="D184">
        <v>0</v>
      </c>
      <c r="E184">
        <v>1</v>
      </c>
      <c r="F184" t="s">
        <v>18</v>
      </c>
      <c r="G184" t="s">
        <v>14</v>
      </c>
      <c r="H184">
        <v>109</v>
      </c>
      <c r="I184" s="1">
        <v>43414</v>
      </c>
      <c r="J184" t="s">
        <v>19</v>
      </c>
      <c r="K184">
        <v>108</v>
      </c>
      <c r="L184" t="s">
        <v>22</v>
      </c>
    </row>
    <row r="185" spans="1:12" x14ac:dyDescent="0.25">
      <c r="A185" t="s">
        <v>311</v>
      </c>
      <c r="B185">
        <v>2</v>
      </c>
      <c r="C185">
        <v>0</v>
      </c>
      <c r="D185">
        <v>1</v>
      </c>
      <c r="E185">
        <v>1</v>
      </c>
      <c r="F185" t="s">
        <v>13</v>
      </c>
      <c r="G185" t="s">
        <v>32</v>
      </c>
      <c r="H185">
        <v>72</v>
      </c>
      <c r="I185" s="1">
        <v>43135</v>
      </c>
      <c r="J185" t="s">
        <v>19</v>
      </c>
      <c r="K185">
        <v>96.3</v>
      </c>
      <c r="L185" t="s">
        <v>16</v>
      </c>
    </row>
    <row r="186" spans="1:12" x14ac:dyDescent="0.25">
      <c r="A186" t="s">
        <v>312</v>
      </c>
      <c r="B186">
        <v>2</v>
      </c>
      <c r="C186">
        <v>0</v>
      </c>
      <c r="D186">
        <v>1</v>
      </c>
      <c r="E186">
        <v>5</v>
      </c>
      <c r="F186" t="s">
        <v>13</v>
      </c>
      <c r="G186" t="s">
        <v>14</v>
      </c>
      <c r="H186">
        <v>196</v>
      </c>
      <c r="I186" t="s">
        <v>313</v>
      </c>
      <c r="J186" t="s">
        <v>19</v>
      </c>
      <c r="K186">
        <v>99.45</v>
      </c>
      <c r="L186" t="s">
        <v>22</v>
      </c>
    </row>
    <row r="187" spans="1:12" x14ac:dyDescent="0.25">
      <c r="A187" t="s">
        <v>314</v>
      </c>
      <c r="B187">
        <v>2</v>
      </c>
      <c r="C187">
        <v>0</v>
      </c>
      <c r="D187">
        <v>0</v>
      </c>
      <c r="E187">
        <v>2</v>
      </c>
      <c r="F187" t="s">
        <v>13</v>
      </c>
      <c r="G187" t="s">
        <v>32</v>
      </c>
      <c r="H187">
        <v>56</v>
      </c>
      <c r="I187" t="s">
        <v>189</v>
      </c>
      <c r="J187" t="s">
        <v>19</v>
      </c>
      <c r="K187">
        <v>140.4</v>
      </c>
      <c r="L187" t="s">
        <v>16</v>
      </c>
    </row>
    <row r="188" spans="1:12" x14ac:dyDescent="0.25">
      <c r="A188" t="s">
        <v>315</v>
      </c>
      <c r="B188">
        <v>2</v>
      </c>
      <c r="C188">
        <v>0</v>
      </c>
      <c r="D188">
        <v>1</v>
      </c>
      <c r="E188">
        <v>3</v>
      </c>
      <c r="F188" t="s">
        <v>13</v>
      </c>
      <c r="G188" t="s">
        <v>14</v>
      </c>
      <c r="H188">
        <v>189</v>
      </c>
      <c r="I188" s="1">
        <v>43320</v>
      </c>
      <c r="J188" t="s">
        <v>15</v>
      </c>
      <c r="K188">
        <v>72.25</v>
      </c>
      <c r="L188" t="s">
        <v>16</v>
      </c>
    </row>
    <row r="189" spans="1:12" x14ac:dyDescent="0.25">
      <c r="A189" t="s">
        <v>316</v>
      </c>
      <c r="B189">
        <v>2</v>
      </c>
      <c r="C189">
        <v>0</v>
      </c>
      <c r="D189">
        <v>1</v>
      </c>
      <c r="E189">
        <v>4</v>
      </c>
      <c r="F189" t="s">
        <v>13</v>
      </c>
      <c r="G189" t="s">
        <v>32</v>
      </c>
      <c r="H189">
        <v>126</v>
      </c>
      <c r="I189" t="s">
        <v>317</v>
      </c>
      <c r="J189" t="s">
        <v>19</v>
      </c>
      <c r="K189">
        <v>126</v>
      </c>
      <c r="L189" t="s">
        <v>16</v>
      </c>
    </row>
    <row r="190" spans="1:12" x14ac:dyDescent="0.25">
      <c r="A190" t="s">
        <v>318</v>
      </c>
      <c r="B190">
        <v>2</v>
      </c>
      <c r="C190">
        <v>0</v>
      </c>
      <c r="D190">
        <v>2</v>
      </c>
      <c r="E190">
        <v>3</v>
      </c>
      <c r="F190" t="s">
        <v>13</v>
      </c>
      <c r="G190" t="s">
        <v>14</v>
      </c>
      <c r="H190">
        <v>303</v>
      </c>
      <c r="I190" t="s">
        <v>319</v>
      </c>
      <c r="J190" t="s">
        <v>19</v>
      </c>
      <c r="K190">
        <v>78</v>
      </c>
      <c r="L190" t="s">
        <v>22</v>
      </c>
    </row>
    <row r="191" spans="1:12" x14ac:dyDescent="0.25">
      <c r="A191" t="s">
        <v>320</v>
      </c>
      <c r="B191">
        <v>1</v>
      </c>
      <c r="C191">
        <v>0</v>
      </c>
      <c r="D191">
        <v>2</v>
      </c>
      <c r="E191">
        <v>2</v>
      </c>
      <c r="F191" t="s">
        <v>13</v>
      </c>
      <c r="G191" t="s">
        <v>32</v>
      </c>
      <c r="H191">
        <v>81</v>
      </c>
      <c r="I191" s="1">
        <v>43262</v>
      </c>
      <c r="J191" t="s">
        <v>19</v>
      </c>
      <c r="K191">
        <v>146.6</v>
      </c>
      <c r="L191" t="s">
        <v>16</v>
      </c>
    </row>
    <row r="192" spans="1:12" x14ac:dyDescent="0.25">
      <c r="A192" t="s">
        <v>321</v>
      </c>
      <c r="B192">
        <v>2</v>
      </c>
      <c r="C192">
        <v>0</v>
      </c>
      <c r="D192">
        <v>1</v>
      </c>
      <c r="E192">
        <v>2</v>
      </c>
      <c r="F192" t="s">
        <v>13</v>
      </c>
      <c r="G192" t="s">
        <v>14</v>
      </c>
      <c r="H192">
        <v>54</v>
      </c>
      <c r="I192" s="1">
        <v>43383</v>
      </c>
      <c r="J192" t="s">
        <v>19</v>
      </c>
      <c r="K192">
        <v>118.8</v>
      </c>
      <c r="L192" t="s">
        <v>22</v>
      </c>
    </row>
    <row r="193" spans="1:12" x14ac:dyDescent="0.25">
      <c r="A193" t="s">
        <v>322</v>
      </c>
      <c r="B193">
        <v>1</v>
      </c>
      <c r="C193">
        <v>0</v>
      </c>
      <c r="D193">
        <v>0</v>
      </c>
      <c r="E193">
        <v>1</v>
      </c>
      <c r="F193" t="s">
        <v>13</v>
      </c>
      <c r="G193" t="s">
        <v>14</v>
      </c>
      <c r="H193">
        <v>15</v>
      </c>
      <c r="I193" s="1">
        <v>43261</v>
      </c>
      <c r="J193" t="s">
        <v>19</v>
      </c>
      <c r="K193">
        <v>145</v>
      </c>
      <c r="L193" t="s">
        <v>22</v>
      </c>
    </row>
    <row r="194" spans="1:12" x14ac:dyDescent="0.25">
      <c r="A194" t="s">
        <v>323</v>
      </c>
      <c r="B194">
        <v>2</v>
      </c>
      <c r="C194">
        <v>0</v>
      </c>
      <c r="D194">
        <v>0</v>
      </c>
      <c r="E194">
        <v>4</v>
      </c>
      <c r="F194" t="s">
        <v>13</v>
      </c>
      <c r="G194" t="s">
        <v>14</v>
      </c>
      <c r="H194">
        <v>86</v>
      </c>
      <c r="I194" s="1">
        <v>43255</v>
      </c>
      <c r="J194" t="s">
        <v>19</v>
      </c>
      <c r="K194">
        <v>84.58</v>
      </c>
      <c r="L194" t="s">
        <v>22</v>
      </c>
    </row>
    <row r="195" spans="1:12" x14ac:dyDescent="0.25">
      <c r="A195" t="s">
        <v>324</v>
      </c>
      <c r="B195">
        <v>2</v>
      </c>
      <c r="C195">
        <v>0</v>
      </c>
      <c r="D195">
        <v>1</v>
      </c>
      <c r="E195">
        <v>2</v>
      </c>
      <c r="F195" t="s">
        <v>27</v>
      </c>
      <c r="G195" t="s">
        <v>14</v>
      </c>
      <c r="H195">
        <v>161</v>
      </c>
      <c r="I195" t="s">
        <v>325</v>
      </c>
      <c r="J195" t="s">
        <v>19</v>
      </c>
      <c r="K195">
        <v>130</v>
      </c>
      <c r="L195" t="s">
        <v>22</v>
      </c>
    </row>
    <row r="196" spans="1:12" x14ac:dyDescent="0.25">
      <c r="A196" t="s">
        <v>326</v>
      </c>
      <c r="B196">
        <v>2</v>
      </c>
      <c r="C196">
        <v>0</v>
      </c>
      <c r="D196">
        <v>4</v>
      </c>
      <c r="E196">
        <v>10</v>
      </c>
      <c r="F196" t="s">
        <v>13</v>
      </c>
      <c r="G196" t="s">
        <v>32</v>
      </c>
      <c r="H196">
        <v>147</v>
      </c>
      <c r="I196" s="1">
        <v>43167</v>
      </c>
      <c r="J196" t="s">
        <v>19</v>
      </c>
      <c r="K196">
        <v>118.88</v>
      </c>
      <c r="L196" t="s">
        <v>22</v>
      </c>
    </row>
    <row r="197" spans="1:12" x14ac:dyDescent="0.25">
      <c r="A197" t="s">
        <v>327</v>
      </c>
      <c r="B197">
        <v>2</v>
      </c>
      <c r="C197">
        <v>0</v>
      </c>
      <c r="D197">
        <v>1</v>
      </c>
      <c r="E197">
        <v>2</v>
      </c>
      <c r="F197" t="s">
        <v>13</v>
      </c>
      <c r="G197" t="s">
        <v>14</v>
      </c>
      <c r="H197">
        <v>92</v>
      </c>
      <c r="I197" t="s">
        <v>108</v>
      </c>
      <c r="J197" t="s">
        <v>15</v>
      </c>
      <c r="K197">
        <v>101.52</v>
      </c>
      <c r="L197" t="s">
        <v>16</v>
      </c>
    </row>
    <row r="198" spans="1:12" x14ac:dyDescent="0.25">
      <c r="A198" t="s">
        <v>328</v>
      </c>
      <c r="B198">
        <v>2</v>
      </c>
      <c r="C198">
        <v>0</v>
      </c>
      <c r="D198">
        <v>0</v>
      </c>
      <c r="E198">
        <v>1</v>
      </c>
      <c r="F198" t="s">
        <v>13</v>
      </c>
      <c r="G198" t="s">
        <v>14</v>
      </c>
      <c r="H198">
        <v>87</v>
      </c>
      <c r="I198" s="1">
        <v>43048</v>
      </c>
      <c r="J198" t="s">
        <v>56</v>
      </c>
      <c r="K198">
        <v>100</v>
      </c>
      <c r="L198" t="s">
        <v>22</v>
      </c>
    </row>
    <row r="199" spans="1:12" x14ac:dyDescent="0.25">
      <c r="A199" t="s">
        <v>329</v>
      </c>
      <c r="B199">
        <v>2</v>
      </c>
      <c r="C199">
        <v>0</v>
      </c>
      <c r="D199">
        <v>2</v>
      </c>
      <c r="E199">
        <v>1</v>
      </c>
      <c r="F199" t="s">
        <v>13</v>
      </c>
      <c r="G199" t="s">
        <v>14</v>
      </c>
      <c r="H199">
        <v>109</v>
      </c>
      <c r="I199" t="s">
        <v>58</v>
      </c>
      <c r="J199" t="s">
        <v>15</v>
      </c>
      <c r="K199">
        <v>58</v>
      </c>
      <c r="L199" t="s">
        <v>16</v>
      </c>
    </row>
    <row r="200" spans="1:12" x14ac:dyDescent="0.25">
      <c r="A200" t="s">
        <v>330</v>
      </c>
      <c r="B200">
        <v>2</v>
      </c>
      <c r="C200">
        <v>0</v>
      </c>
      <c r="D200">
        <v>0</v>
      </c>
      <c r="E200">
        <v>4</v>
      </c>
      <c r="F200" t="s">
        <v>13</v>
      </c>
      <c r="G200" t="s">
        <v>14</v>
      </c>
      <c r="H200">
        <v>127</v>
      </c>
      <c r="I200" t="s">
        <v>331</v>
      </c>
      <c r="J200" t="s">
        <v>15</v>
      </c>
      <c r="K200">
        <v>61.5</v>
      </c>
      <c r="L200" t="s">
        <v>16</v>
      </c>
    </row>
    <row r="201" spans="1:12" x14ac:dyDescent="0.25">
      <c r="A201" t="s">
        <v>332</v>
      </c>
      <c r="B201">
        <v>2</v>
      </c>
      <c r="C201">
        <v>0</v>
      </c>
      <c r="D201">
        <v>1</v>
      </c>
      <c r="E201">
        <v>2</v>
      </c>
      <c r="F201" t="s">
        <v>27</v>
      </c>
      <c r="G201" t="s">
        <v>14</v>
      </c>
      <c r="H201">
        <v>418</v>
      </c>
      <c r="I201" t="s">
        <v>333</v>
      </c>
      <c r="J201" t="s">
        <v>19</v>
      </c>
      <c r="K201">
        <v>107</v>
      </c>
      <c r="L201" t="s">
        <v>22</v>
      </c>
    </row>
    <row r="202" spans="1:12" x14ac:dyDescent="0.25">
      <c r="A202" t="s">
        <v>334</v>
      </c>
      <c r="B202">
        <v>2</v>
      </c>
      <c r="C202">
        <v>0</v>
      </c>
      <c r="D202">
        <v>1</v>
      </c>
      <c r="E202">
        <v>4</v>
      </c>
      <c r="F202" t="s">
        <v>18</v>
      </c>
      <c r="G202" t="s">
        <v>14</v>
      </c>
      <c r="H202">
        <v>156</v>
      </c>
      <c r="I202" t="s">
        <v>335</v>
      </c>
      <c r="J202" t="s">
        <v>19</v>
      </c>
      <c r="K202">
        <v>87.3</v>
      </c>
      <c r="L202" t="s">
        <v>16</v>
      </c>
    </row>
    <row r="203" spans="1:12" x14ac:dyDescent="0.25">
      <c r="A203" t="s">
        <v>336</v>
      </c>
      <c r="B203">
        <v>2</v>
      </c>
      <c r="C203">
        <v>0</v>
      </c>
      <c r="D203">
        <v>0</v>
      </c>
      <c r="E203">
        <v>2</v>
      </c>
      <c r="F203" t="s">
        <v>13</v>
      </c>
      <c r="G203" t="s">
        <v>14</v>
      </c>
      <c r="H203">
        <v>80</v>
      </c>
      <c r="I203" t="s">
        <v>337</v>
      </c>
      <c r="J203" t="s">
        <v>19</v>
      </c>
      <c r="K203">
        <v>76.5</v>
      </c>
      <c r="L203" t="s">
        <v>22</v>
      </c>
    </row>
    <row r="204" spans="1:12" x14ac:dyDescent="0.25">
      <c r="A204" t="s">
        <v>338</v>
      </c>
      <c r="B204">
        <v>2</v>
      </c>
      <c r="C204">
        <v>0</v>
      </c>
      <c r="D204">
        <v>2</v>
      </c>
      <c r="E204">
        <v>2</v>
      </c>
      <c r="F204" t="s">
        <v>18</v>
      </c>
      <c r="G204" t="s">
        <v>14</v>
      </c>
      <c r="H204">
        <v>211</v>
      </c>
      <c r="I204" t="s">
        <v>294</v>
      </c>
      <c r="J204" t="s">
        <v>19</v>
      </c>
      <c r="K204">
        <v>63.75</v>
      </c>
      <c r="L204" t="s">
        <v>22</v>
      </c>
    </row>
    <row r="205" spans="1:12" x14ac:dyDescent="0.25">
      <c r="A205" t="s">
        <v>339</v>
      </c>
      <c r="B205">
        <v>2</v>
      </c>
      <c r="C205">
        <v>0</v>
      </c>
      <c r="D205">
        <v>1</v>
      </c>
      <c r="E205">
        <v>2</v>
      </c>
      <c r="F205" t="s">
        <v>13</v>
      </c>
      <c r="G205" t="s">
        <v>14</v>
      </c>
      <c r="H205">
        <v>273</v>
      </c>
      <c r="I205" t="s">
        <v>189</v>
      </c>
      <c r="J205" t="s">
        <v>19</v>
      </c>
      <c r="K205">
        <v>95</v>
      </c>
      <c r="L205" t="s">
        <v>22</v>
      </c>
    </row>
    <row r="206" spans="1:12" x14ac:dyDescent="0.25">
      <c r="A206" t="s">
        <v>340</v>
      </c>
      <c r="B206">
        <v>2</v>
      </c>
      <c r="C206">
        <v>0</v>
      </c>
      <c r="D206">
        <v>2</v>
      </c>
      <c r="E206">
        <v>1</v>
      </c>
      <c r="F206" t="s">
        <v>13</v>
      </c>
      <c r="G206" t="s">
        <v>14</v>
      </c>
      <c r="H206">
        <v>58</v>
      </c>
      <c r="I206" t="s">
        <v>88</v>
      </c>
      <c r="J206" t="s">
        <v>15</v>
      </c>
      <c r="K206">
        <v>75</v>
      </c>
      <c r="L206" t="s">
        <v>16</v>
      </c>
    </row>
    <row r="207" spans="1:12" x14ac:dyDescent="0.25">
      <c r="A207" t="s">
        <v>341</v>
      </c>
      <c r="B207">
        <v>2</v>
      </c>
      <c r="C207">
        <v>0</v>
      </c>
      <c r="D207">
        <v>0</v>
      </c>
      <c r="E207">
        <v>3</v>
      </c>
      <c r="F207" t="s">
        <v>13</v>
      </c>
      <c r="G207" t="s">
        <v>14</v>
      </c>
      <c r="H207">
        <v>433</v>
      </c>
      <c r="I207" s="1">
        <v>43321</v>
      </c>
      <c r="J207" t="s">
        <v>19</v>
      </c>
      <c r="K207">
        <v>70</v>
      </c>
      <c r="L207" t="s">
        <v>22</v>
      </c>
    </row>
    <row r="208" spans="1:12" x14ac:dyDescent="0.25">
      <c r="A208" t="s">
        <v>342</v>
      </c>
      <c r="B208">
        <v>2</v>
      </c>
      <c r="C208">
        <v>0</v>
      </c>
      <c r="D208">
        <v>1</v>
      </c>
      <c r="E208">
        <v>3</v>
      </c>
      <c r="F208" t="s">
        <v>13</v>
      </c>
      <c r="G208" t="s">
        <v>14</v>
      </c>
      <c r="H208">
        <v>111</v>
      </c>
      <c r="I208" s="1">
        <v>43136</v>
      </c>
      <c r="J208" t="s">
        <v>19</v>
      </c>
      <c r="K208">
        <v>101.58</v>
      </c>
      <c r="L208" t="s">
        <v>16</v>
      </c>
    </row>
    <row r="209" spans="1:12" x14ac:dyDescent="0.25">
      <c r="A209" t="s">
        <v>343</v>
      </c>
      <c r="B209">
        <v>2</v>
      </c>
      <c r="C209">
        <v>0</v>
      </c>
      <c r="D209">
        <v>2</v>
      </c>
      <c r="E209">
        <v>3</v>
      </c>
      <c r="F209" t="s">
        <v>13</v>
      </c>
      <c r="G209" t="s">
        <v>14</v>
      </c>
      <c r="H209">
        <v>34</v>
      </c>
      <c r="I209" t="s">
        <v>344</v>
      </c>
      <c r="J209" t="s">
        <v>15</v>
      </c>
      <c r="K209">
        <v>85</v>
      </c>
      <c r="L209" t="s">
        <v>16</v>
      </c>
    </row>
    <row r="210" spans="1:12" x14ac:dyDescent="0.25">
      <c r="A210" t="s">
        <v>345</v>
      </c>
      <c r="B210">
        <v>2</v>
      </c>
      <c r="C210">
        <v>0</v>
      </c>
      <c r="D210">
        <v>2</v>
      </c>
      <c r="E210">
        <v>4</v>
      </c>
      <c r="F210" t="s">
        <v>13</v>
      </c>
      <c r="G210" t="s">
        <v>14</v>
      </c>
      <c r="H210">
        <v>17</v>
      </c>
      <c r="I210" s="1">
        <v>43171</v>
      </c>
      <c r="J210" t="s">
        <v>19</v>
      </c>
      <c r="K210">
        <v>98.39</v>
      </c>
      <c r="L210" t="s">
        <v>16</v>
      </c>
    </row>
    <row r="211" spans="1:12" x14ac:dyDescent="0.25">
      <c r="A211" t="s">
        <v>346</v>
      </c>
      <c r="B211">
        <v>1</v>
      </c>
      <c r="C211">
        <v>0</v>
      </c>
      <c r="D211">
        <v>0</v>
      </c>
      <c r="E211">
        <v>0</v>
      </c>
      <c r="F211" t="s">
        <v>13</v>
      </c>
      <c r="G211" t="s">
        <v>14</v>
      </c>
      <c r="H211">
        <v>4</v>
      </c>
      <c r="I211" t="s">
        <v>347</v>
      </c>
      <c r="J211" t="s">
        <v>129</v>
      </c>
      <c r="K211">
        <v>0</v>
      </c>
      <c r="L211" t="s">
        <v>16</v>
      </c>
    </row>
    <row r="212" spans="1:12" x14ac:dyDescent="0.25">
      <c r="A212" t="s">
        <v>348</v>
      </c>
      <c r="B212">
        <v>2</v>
      </c>
      <c r="C212">
        <v>0</v>
      </c>
      <c r="D212">
        <v>0</v>
      </c>
      <c r="E212">
        <v>3</v>
      </c>
      <c r="F212" t="s">
        <v>13</v>
      </c>
      <c r="G212" t="s">
        <v>14</v>
      </c>
      <c r="H212">
        <v>6</v>
      </c>
      <c r="I212" t="s">
        <v>349</v>
      </c>
      <c r="J212" t="s">
        <v>19</v>
      </c>
      <c r="K212">
        <v>106.07</v>
      </c>
      <c r="L212" t="s">
        <v>16</v>
      </c>
    </row>
    <row r="213" spans="1:12" x14ac:dyDescent="0.25">
      <c r="A213" t="s">
        <v>350</v>
      </c>
      <c r="B213">
        <v>2</v>
      </c>
      <c r="C213">
        <v>0</v>
      </c>
      <c r="D213">
        <v>1</v>
      </c>
      <c r="E213">
        <v>1</v>
      </c>
      <c r="F213" t="s">
        <v>13</v>
      </c>
      <c r="G213" t="s">
        <v>14</v>
      </c>
      <c r="H213">
        <v>32</v>
      </c>
      <c r="I213" t="s">
        <v>351</v>
      </c>
      <c r="J213" t="s">
        <v>15</v>
      </c>
      <c r="K213">
        <v>105</v>
      </c>
      <c r="L213" t="s">
        <v>16</v>
      </c>
    </row>
    <row r="214" spans="1:12" x14ac:dyDescent="0.25">
      <c r="A214" t="s">
        <v>352</v>
      </c>
      <c r="B214">
        <v>2</v>
      </c>
      <c r="C214">
        <v>0</v>
      </c>
      <c r="D214">
        <v>0</v>
      </c>
      <c r="E214">
        <v>1</v>
      </c>
      <c r="F214" t="s">
        <v>13</v>
      </c>
      <c r="G214" t="s">
        <v>14</v>
      </c>
      <c r="H214">
        <v>4</v>
      </c>
      <c r="I214" t="s">
        <v>349</v>
      </c>
      <c r="J214" t="s">
        <v>19</v>
      </c>
      <c r="K214">
        <v>145</v>
      </c>
      <c r="L214" t="s">
        <v>16</v>
      </c>
    </row>
    <row r="215" spans="1:12" x14ac:dyDescent="0.25">
      <c r="A215" t="s">
        <v>353</v>
      </c>
      <c r="B215">
        <v>3</v>
      </c>
      <c r="C215">
        <v>0</v>
      </c>
      <c r="D215">
        <v>2</v>
      </c>
      <c r="E215">
        <v>1</v>
      </c>
      <c r="F215" t="s">
        <v>13</v>
      </c>
      <c r="G215" t="s">
        <v>14</v>
      </c>
      <c r="H215">
        <v>195</v>
      </c>
      <c r="I215" t="s">
        <v>211</v>
      </c>
      <c r="J215" t="s">
        <v>19</v>
      </c>
      <c r="K215">
        <v>106.03</v>
      </c>
      <c r="L215" t="s">
        <v>22</v>
      </c>
    </row>
    <row r="216" spans="1:12" x14ac:dyDescent="0.25">
      <c r="A216" t="s">
        <v>354</v>
      </c>
      <c r="B216">
        <v>2</v>
      </c>
      <c r="C216">
        <v>0</v>
      </c>
      <c r="D216">
        <v>2</v>
      </c>
      <c r="E216">
        <v>2</v>
      </c>
      <c r="F216" t="s">
        <v>13</v>
      </c>
      <c r="G216" t="s">
        <v>14</v>
      </c>
      <c r="H216">
        <v>119</v>
      </c>
      <c r="I216" t="s">
        <v>211</v>
      </c>
      <c r="J216" t="s">
        <v>19</v>
      </c>
      <c r="K216">
        <v>114.3</v>
      </c>
      <c r="L216" t="s">
        <v>16</v>
      </c>
    </row>
    <row r="217" spans="1:12" x14ac:dyDescent="0.25">
      <c r="A217" t="s">
        <v>355</v>
      </c>
      <c r="B217">
        <v>1</v>
      </c>
      <c r="C217">
        <v>0</v>
      </c>
      <c r="D217">
        <v>1</v>
      </c>
      <c r="E217">
        <v>1</v>
      </c>
      <c r="F217" t="s">
        <v>18</v>
      </c>
      <c r="G217" t="s">
        <v>14</v>
      </c>
      <c r="H217">
        <v>13</v>
      </c>
      <c r="I217" s="1">
        <v>43232</v>
      </c>
      <c r="J217" t="s">
        <v>19</v>
      </c>
      <c r="K217">
        <v>88</v>
      </c>
      <c r="L217" t="s">
        <v>16</v>
      </c>
    </row>
    <row r="218" spans="1:12" x14ac:dyDescent="0.25">
      <c r="A218" t="s">
        <v>356</v>
      </c>
      <c r="B218">
        <v>2</v>
      </c>
      <c r="C218">
        <v>0</v>
      </c>
      <c r="D218">
        <v>0</v>
      </c>
      <c r="E218">
        <v>2</v>
      </c>
      <c r="F218" t="s">
        <v>13</v>
      </c>
      <c r="G218" t="s">
        <v>14</v>
      </c>
      <c r="H218">
        <v>59</v>
      </c>
      <c r="I218" t="s">
        <v>30</v>
      </c>
      <c r="J218" t="s">
        <v>19</v>
      </c>
      <c r="K218">
        <v>89.25</v>
      </c>
      <c r="L218" t="s">
        <v>16</v>
      </c>
    </row>
    <row r="219" spans="1:12" x14ac:dyDescent="0.25">
      <c r="A219" t="s">
        <v>357</v>
      </c>
      <c r="B219">
        <v>2</v>
      </c>
      <c r="C219">
        <v>1</v>
      </c>
      <c r="D219">
        <v>2</v>
      </c>
      <c r="E219">
        <v>5</v>
      </c>
      <c r="F219" t="s">
        <v>13</v>
      </c>
      <c r="G219" t="s">
        <v>32</v>
      </c>
      <c r="H219">
        <v>78</v>
      </c>
      <c r="I219" t="s">
        <v>58</v>
      </c>
      <c r="J219" t="s">
        <v>19</v>
      </c>
      <c r="K219">
        <v>86.32</v>
      </c>
      <c r="L219" t="s">
        <v>16</v>
      </c>
    </row>
    <row r="220" spans="1:12" x14ac:dyDescent="0.25">
      <c r="A220" t="s">
        <v>358</v>
      </c>
      <c r="B220">
        <v>2</v>
      </c>
      <c r="C220">
        <v>0</v>
      </c>
      <c r="D220">
        <v>0</v>
      </c>
      <c r="E220">
        <v>3</v>
      </c>
      <c r="F220" t="s">
        <v>13</v>
      </c>
      <c r="G220" t="s">
        <v>14</v>
      </c>
      <c r="H220">
        <v>335</v>
      </c>
      <c r="I220" t="s">
        <v>60</v>
      </c>
      <c r="J220" t="s">
        <v>15</v>
      </c>
      <c r="K220">
        <v>90</v>
      </c>
      <c r="L220" t="s">
        <v>16</v>
      </c>
    </row>
    <row r="221" spans="1:12" x14ac:dyDescent="0.25">
      <c r="A221" t="s">
        <v>359</v>
      </c>
      <c r="B221">
        <v>2</v>
      </c>
      <c r="C221">
        <v>0</v>
      </c>
      <c r="D221">
        <v>2</v>
      </c>
      <c r="E221">
        <v>5</v>
      </c>
      <c r="F221" t="s">
        <v>13</v>
      </c>
      <c r="G221" t="s">
        <v>14</v>
      </c>
      <c r="H221">
        <v>103</v>
      </c>
      <c r="I221" t="s">
        <v>360</v>
      </c>
      <c r="J221" t="s">
        <v>19</v>
      </c>
      <c r="K221">
        <v>55.96</v>
      </c>
      <c r="L221" t="s">
        <v>16</v>
      </c>
    </row>
    <row r="222" spans="1:12" x14ac:dyDescent="0.25">
      <c r="A222" t="s">
        <v>361</v>
      </c>
      <c r="B222">
        <v>1</v>
      </c>
      <c r="C222">
        <v>0</v>
      </c>
      <c r="D222">
        <v>0</v>
      </c>
      <c r="E222">
        <v>2</v>
      </c>
      <c r="F222" t="s">
        <v>18</v>
      </c>
      <c r="G222" t="s">
        <v>14</v>
      </c>
      <c r="H222">
        <v>0</v>
      </c>
      <c r="I222" s="1">
        <v>43318</v>
      </c>
      <c r="J222" t="s">
        <v>19</v>
      </c>
      <c r="K222">
        <v>109</v>
      </c>
      <c r="L222" t="s">
        <v>16</v>
      </c>
    </row>
    <row r="223" spans="1:12" x14ac:dyDescent="0.25">
      <c r="A223" t="s">
        <v>362</v>
      </c>
      <c r="B223">
        <v>2</v>
      </c>
      <c r="C223">
        <v>0</v>
      </c>
      <c r="D223">
        <v>0</v>
      </c>
      <c r="E223">
        <v>1</v>
      </c>
      <c r="F223" t="s">
        <v>13</v>
      </c>
      <c r="G223" t="s">
        <v>14</v>
      </c>
      <c r="H223">
        <v>118</v>
      </c>
      <c r="I223" s="1">
        <v>43103</v>
      </c>
      <c r="J223" t="s">
        <v>15</v>
      </c>
      <c r="K223">
        <v>86</v>
      </c>
      <c r="L223" t="s">
        <v>16</v>
      </c>
    </row>
    <row r="224" spans="1:12" x14ac:dyDescent="0.25">
      <c r="A224" t="s">
        <v>363</v>
      </c>
      <c r="B224">
        <v>2</v>
      </c>
      <c r="C224">
        <v>0</v>
      </c>
      <c r="D224">
        <v>1</v>
      </c>
      <c r="E224">
        <v>5</v>
      </c>
      <c r="F224" t="s">
        <v>13</v>
      </c>
      <c r="G224" t="s">
        <v>14</v>
      </c>
      <c r="H224">
        <v>56</v>
      </c>
      <c r="I224" s="1">
        <v>43229</v>
      </c>
      <c r="J224" t="s">
        <v>19</v>
      </c>
      <c r="K224">
        <v>118.95</v>
      </c>
      <c r="L224" t="s">
        <v>16</v>
      </c>
    </row>
    <row r="225" spans="1:12" x14ac:dyDescent="0.25">
      <c r="A225" t="s">
        <v>364</v>
      </c>
      <c r="B225">
        <v>2</v>
      </c>
      <c r="C225">
        <v>0</v>
      </c>
      <c r="D225">
        <v>0</v>
      </c>
      <c r="E225">
        <v>2</v>
      </c>
      <c r="F225" t="s">
        <v>13</v>
      </c>
      <c r="G225" t="s">
        <v>14</v>
      </c>
      <c r="H225">
        <v>107</v>
      </c>
      <c r="I225" s="1">
        <v>43379</v>
      </c>
      <c r="J225" t="s">
        <v>15</v>
      </c>
      <c r="K225">
        <v>130</v>
      </c>
      <c r="L225" t="s">
        <v>16</v>
      </c>
    </row>
    <row r="226" spans="1:12" x14ac:dyDescent="0.25">
      <c r="A226" t="s">
        <v>365</v>
      </c>
      <c r="B226">
        <v>2</v>
      </c>
      <c r="C226">
        <v>0</v>
      </c>
      <c r="D226">
        <v>1</v>
      </c>
      <c r="E226">
        <v>3</v>
      </c>
      <c r="F226" t="s">
        <v>18</v>
      </c>
      <c r="G226" t="s">
        <v>14</v>
      </c>
      <c r="H226">
        <v>70</v>
      </c>
      <c r="I226" t="s">
        <v>274</v>
      </c>
      <c r="J226" t="s">
        <v>19</v>
      </c>
      <c r="K226">
        <v>90.56</v>
      </c>
      <c r="L226" t="s">
        <v>16</v>
      </c>
    </row>
    <row r="227" spans="1:12" x14ac:dyDescent="0.25">
      <c r="A227" t="s">
        <v>366</v>
      </c>
      <c r="B227">
        <v>2</v>
      </c>
      <c r="C227">
        <v>0</v>
      </c>
      <c r="D227">
        <v>0</v>
      </c>
      <c r="E227">
        <v>2</v>
      </c>
      <c r="F227" t="s">
        <v>13</v>
      </c>
      <c r="G227" t="s">
        <v>14</v>
      </c>
      <c r="H227">
        <v>76</v>
      </c>
      <c r="I227" s="1">
        <v>43104</v>
      </c>
      <c r="J227" t="s">
        <v>19</v>
      </c>
      <c r="K227">
        <v>87.3</v>
      </c>
      <c r="L227" t="s">
        <v>16</v>
      </c>
    </row>
    <row r="228" spans="1:12" x14ac:dyDescent="0.25">
      <c r="A228" t="s">
        <v>367</v>
      </c>
      <c r="B228">
        <v>2</v>
      </c>
      <c r="C228">
        <v>2</v>
      </c>
      <c r="D228">
        <v>2</v>
      </c>
      <c r="E228">
        <v>2</v>
      </c>
      <c r="F228" t="s">
        <v>13</v>
      </c>
      <c r="G228" t="s">
        <v>124</v>
      </c>
      <c r="H228">
        <v>144</v>
      </c>
      <c r="I228" t="s">
        <v>368</v>
      </c>
      <c r="J228" t="s">
        <v>19</v>
      </c>
      <c r="K228">
        <v>177.65</v>
      </c>
      <c r="L228" t="s">
        <v>22</v>
      </c>
    </row>
    <row r="229" spans="1:12" x14ac:dyDescent="0.25">
      <c r="A229" t="s">
        <v>369</v>
      </c>
      <c r="B229">
        <v>1</v>
      </c>
      <c r="C229">
        <v>2</v>
      </c>
      <c r="D229">
        <v>2</v>
      </c>
      <c r="E229">
        <v>2</v>
      </c>
      <c r="F229" t="s">
        <v>13</v>
      </c>
      <c r="G229" t="s">
        <v>124</v>
      </c>
      <c r="H229">
        <v>4</v>
      </c>
      <c r="I229" t="s">
        <v>74</v>
      </c>
      <c r="J229" t="s">
        <v>19</v>
      </c>
      <c r="K229">
        <v>200.75</v>
      </c>
      <c r="L229" t="s">
        <v>16</v>
      </c>
    </row>
    <row r="230" spans="1:12" x14ac:dyDescent="0.25">
      <c r="A230" t="s">
        <v>370</v>
      </c>
      <c r="B230">
        <v>2</v>
      </c>
      <c r="C230">
        <v>1</v>
      </c>
      <c r="D230">
        <v>0</v>
      </c>
      <c r="E230">
        <v>2</v>
      </c>
      <c r="F230" t="s">
        <v>13</v>
      </c>
      <c r="G230" t="s">
        <v>14</v>
      </c>
      <c r="H230">
        <v>15</v>
      </c>
      <c r="I230" t="s">
        <v>172</v>
      </c>
      <c r="J230" t="s">
        <v>19</v>
      </c>
      <c r="K230">
        <v>127</v>
      </c>
      <c r="L230" t="s">
        <v>16</v>
      </c>
    </row>
    <row r="231" spans="1:12" x14ac:dyDescent="0.25">
      <c r="A231" t="s">
        <v>371</v>
      </c>
      <c r="B231">
        <v>1</v>
      </c>
      <c r="C231">
        <v>0</v>
      </c>
      <c r="D231">
        <v>1</v>
      </c>
      <c r="E231">
        <v>2</v>
      </c>
      <c r="F231" t="s">
        <v>13</v>
      </c>
      <c r="G231" t="s">
        <v>14</v>
      </c>
      <c r="H231">
        <v>32</v>
      </c>
      <c r="I231" s="1">
        <v>43222</v>
      </c>
      <c r="J231" t="s">
        <v>19</v>
      </c>
      <c r="K231">
        <v>72.900000000000006</v>
      </c>
      <c r="L231" t="s">
        <v>22</v>
      </c>
    </row>
    <row r="232" spans="1:12" x14ac:dyDescent="0.25">
      <c r="A232" t="s">
        <v>372</v>
      </c>
      <c r="B232">
        <v>3</v>
      </c>
      <c r="C232">
        <v>0</v>
      </c>
      <c r="D232">
        <v>1</v>
      </c>
      <c r="E232">
        <v>1</v>
      </c>
      <c r="F232" t="s">
        <v>13</v>
      </c>
      <c r="G232" t="s">
        <v>32</v>
      </c>
      <c r="H232">
        <v>49</v>
      </c>
      <c r="I232" s="1">
        <v>43286</v>
      </c>
      <c r="J232" t="s">
        <v>19</v>
      </c>
      <c r="K232">
        <v>159.30000000000001</v>
      </c>
      <c r="L232" t="s">
        <v>22</v>
      </c>
    </row>
    <row r="233" spans="1:12" x14ac:dyDescent="0.25">
      <c r="A233" t="s">
        <v>373</v>
      </c>
      <c r="B233">
        <v>2</v>
      </c>
      <c r="C233">
        <v>1</v>
      </c>
      <c r="D233">
        <v>1</v>
      </c>
      <c r="E233">
        <v>3</v>
      </c>
      <c r="F233" t="s">
        <v>13</v>
      </c>
      <c r="G233" t="s">
        <v>14</v>
      </c>
      <c r="H233">
        <v>77</v>
      </c>
      <c r="I233" s="1">
        <v>43439</v>
      </c>
      <c r="J233" t="s">
        <v>19</v>
      </c>
      <c r="K233">
        <v>135.15</v>
      </c>
      <c r="L233" t="s">
        <v>16</v>
      </c>
    </row>
    <row r="234" spans="1:12" x14ac:dyDescent="0.25">
      <c r="A234" t="s">
        <v>374</v>
      </c>
      <c r="B234">
        <v>1</v>
      </c>
      <c r="C234">
        <v>0</v>
      </c>
      <c r="D234">
        <v>0</v>
      </c>
      <c r="E234">
        <v>2</v>
      </c>
      <c r="F234" t="s">
        <v>13</v>
      </c>
      <c r="G234" t="s">
        <v>14</v>
      </c>
      <c r="H234">
        <v>22</v>
      </c>
      <c r="I234" t="s">
        <v>375</v>
      </c>
      <c r="J234" t="s">
        <v>15</v>
      </c>
      <c r="K234">
        <v>90</v>
      </c>
      <c r="L234" t="s">
        <v>16</v>
      </c>
    </row>
    <row r="235" spans="1:12" x14ac:dyDescent="0.25">
      <c r="A235" t="s">
        <v>376</v>
      </c>
      <c r="B235">
        <v>2</v>
      </c>
      <c r="C235">
        <v>0</v>
      </c>
      <c r="D235">
        <v>1</v>
      </c>
      <c r="E235">
        <v>0</v>
      </c>
      <c r="F235" t="s">
        <v>18</v>
      </c>
      <c r="G235" t="s">
        <v>14</v>
      </c>
      <c r="H235">
        <v>0</v>
      </c>
      <c r="I235" t="s">
        <v>377</v>
      </c>
      <c r="J235" t="s">
        <v>19</v>
      </c>
      <c r="K235">
        <v>114</v>
      </c>
      <c r="L235" t="s">
        <v>16</v>
      </c>
    </row>
    <row r="236" spans="1:12" x14ac:dyDescent="0.25">
      <c r="A236" t="s">
        <v>378</v>
      </c>
      <c r="B236">
        <v>2</v>
      </c>
      <c r="C236">
        <v>1</v>
      </c>
      <c r="D236">
        <v>0</v>
      </c>
      <c r="E236">
        <v>1</v>
      </c>
      <c r="F236" t="s">
        <v>13</v>
      </c>
      <c r="G236" t="s">
        <v>14</v>
      </c>
      <c r="H236">
        <v>58</v>
      </c>
      <c r="I236" t="s">
        <v>93</v>
      </c>
      <c r="J236" t="s">
        <v>19</v>
      </c>
      <c r="K236">
        <v>125.1</v>
      </c>
      <c r="L236" t="s">
        <v>16</v>
      </c>
    </row>
    <row r="237" spans="1:12" x14ac:dyDescent="0.25">
      <c r="A237" t="s">
        <v>379</v>
      </c>
      <c r="B237">
        <v>2</v>
      </c>
      <c r="C237">
        <v>0</v>
      </c>
      <c r="D237">
        <v>2</v>
      </c>
      <c r="E237">
        <v>6</v>
      </c>
      <c r="F237" t="s">
        <v>18</v>
      </c>
      <c r="G237" t="s">
        <v>14</v>
      </c>
      <c r="H237">
        <v>4</v>
      </c>
      <c r="I237" t="s">
        <v>380</v>
      </c>
      <c r="J237" t="s">
        <v>19</v>
      </c>
      <c r="K237">
        <v>95.13</v>
      </c>
      <c r="L237" t="s">
        <v>16</v>
      </c>
    </row>
    <row r="238" spans="1:12" x14ac:dyDescent="0.25">
      <c r="A238" t="s">
        <v>381</v>
      </c>
      <c r="B238">
        <v>2</v>
      </c>
      <c r="C238">
        <v>0</v>
      </c>
      <c r="D238">
        <v>0</v>
      </c>
      <c r="E238">
        <v>2</v>
      </c>
      <c r="F238" t="s">
        <v>13</v>
      </c>
      <c r="G238" t="s">
        <v>169</v>
      </c>
      <c r="H238">
        <v>117</v>
      </c>
      <c r="I238" t="s">
        <v>215</v>
      </c>
      <c r="J238" t="s">
        <v>19</v>
      </c>
      <c r="K238">
        <v>105.84</v>
      </c>
      <c r="L238" t="s">
        <v>22</v>
      </c>
    </row>
    <row r="239" spans="1:12" x14ac:dyDescent="0.25">
      <c r="A239" t="s">
        <v>382</v>
      </c>
      <c r="B239">
        <v>2</v>
      </c>
      <c r="C239">
        <v>0</v>
      </c>
      <c r="D239">
        <v>1</v>
      </c>
      <c r="E239">
        <v>3</v>
      </c>
      <c r="F239" t="s">
        <v>13</v>
      </c>
      <c r="G239" t="s">
        <v>14</v>
      </c>
      <c r="H239">
        <v>36</v>
      </c>
      <c r="I239" t="s">
        <v>33</v>
      </c>
      <c r="J239" t="s">
        <v>19</v>
      </c>
      <c r="K239">
        <v>102</v>
      </c>
      <c r="L239" t="s">
        <v>22</v>
      </c>
    </row>
    <row r="240" spans="1:12" x14ac:dyDescent="0.25">
      <c r="A240" t="s">
        <v>383</v>
      </c>
      <c r="B240">
        <v>2</v>
      </c>
      <c r="C240">
        <v>0</v>
      </c>
      <c r="D240">
        <v>2</v>
      </c>
      <c r="E240">
        <v>2</v>
      </c>
      <c r="F240" t="s">
        <v>18</v>
      </c>
      <c r="G240" t="s">
        <v>14</v>
      </c>
      <c r="H240">
        <v>35</v>
      </c>
      <c r="I240" s="1">
        <v>43143</v>
      </c>
      <c r="J240" t="s">
        <v>19</v>
      </c>
      <c r="K240">
        <v>74.8</v>
      </c>
      <c r="L240" t="s">
        <v>16</v>
      </c>
    </row>
    <row r="241" spans="1:12" x14ac:dyDescent="0.25">
      <c r="A241" t="s">
        <v>384</v>
      </c>
      <c r="B241">
        <v>2</v>
      </c>
      <c r="C241">
        <v>0</v>
      </c>
      <c r="D241">
        <v>1</v>
      </c>
      <c r="E241">
        <v>0</v>
      </c>
      <c r="F241" t="s">
        <v>18</v>
      </c>
      <c r="G241" t="s">
        <v>14</v>
      </c>
      <c r="H241">
        <v>31</v>
      </c>
      <c r="I241" t="s">
        <v>224</v>
      </c>
      <c r="J241" t="s">
        <v>19</v>
      </c>
      <c r="K241">
        <v>94.5</v>
      </c>
      <c r="L241" t="s">
        <v>22</v>
      </c>
    </row>
    <row r="242" spans="1:12" x14ac:dyDescent="0.25">
      <c r="A242" t="s">
        <v>385</v>
      </c>
      <c r="B242">
        <v>2</v>
      </c>
      <c r="C242">
        <v>0</v>
      </c>
      <c r="D242">
        <v>2</v>
      </c>
      <c r="E242">
        <v>4</v>
      </c>
      <c r="F242" t="s">
        <v>18</v>
      </c>
      <c r="G242" t="s">
        <v>14</v>
      </c>
      <c r="H242">
        <v>79</v>
      </c>
      <c r="I242" t="s">
        <v>206</v>
      </c>
      <c r="J242" t="s">
        <v>19</v>
      </c>
      <c r="K242">
        <v>120.6</v>
      </c>
      <c r="L242" t="s">
        <v>16</v>
      </c>
    </row>
    <row r="243" spans="1:12" x14ac:dyDescent="0.25">
      <c r="A243" t="s">
        <v>386</v>
      </c>
      <c r="B243">
        <v>2</v>
      </c>
      <c r="C243">
        <v>0</v>
      </c>
      <c r="D243">
        <v>1</v>
      </c>
      <c r="E243">
        <v>2</v>
      </c>
      <c r="F243" t="s">
        <v>13</v>
      </c>
      <c r="G243" t="s">
        <v>14</v>
      </c>
      <c r="H243">
        <v>1</v>
      </c>
      <c r="I243" s="1">
        <v>42988</v>
      </c>
      <c r="J243" t="s">
        <v>19</v>
      </c>
      <c r="K243">
        <v>139.33000000000001</v>
      </c>
      <c r="L243" t="s">
        <v>16</v>
      </c>
    </row>
    <row r="244" spans="1:12" x14ac:dyDescent="0.25">
      <c r="A244" t="s">
        <v>387</v>
      </c>
      <c r="B244">
        <v>2</v>
      </c>
      <c r="C244">
        <v>0</v>
      </c>
      <c r="D244">
        <v>0</v>
      </c>
      <c r="E244">
        <v>2</v>
      </c>
      <c r="F244" t="s">
        <v>13</v>
      </c>
      <c r="G244" t="s">
        <v>14</v>
      </c>
      <c r="H244">
        <v>21</v>
      </c>
      <c r="I244" s="1">
        <v>42803</v>
      </c>
      <c r="J244" t="s">
        <v>19</v>
      </c>
      <c r="K244">
        <v>105</v>
      </c>
      <c r="L244" t="s">
        <v>16</v>
      </c>
    </row>
    <row r="245" spans="1:12" x14ac:dyDescent="0.25">
      <c r="A245" t="s">
        <v>388</v>
      </c>
      <c r="B245">
        <v>2</v>
      </c>
      <c r="C245">
        <v>0</v>
      </c>
      <c r="D245">
        <v>0</v>
      </c>
      <c r="E245">
        <v>2</v>
      </c>
      <c r="F245" t="s">
        <v>18</v>
      </c>
      <c r="G245" t="s">
        <v>14</v>
      </c>
      <c r="H245">
        <v>12</v>
      </c>
      <c r="I245" t="s">
        <v>389</v>
      </c>
      <c r="J245" t="s">
        <v>56</v>
      </c>
      <c r="K245">
        <v>100</v>
      </c>
      <c r="L245" t="s">
        <v>16</v>
      </c>
    </row>
    <row r="246" spans="1:12" x14ac:dyDescent="0.25">
      <c r="A246" t="s">
        <v>390</v>
      </c>
      <c r="B246">
        <v>2</v>
      </c>
      <c r="C246">
        <v>0</v>
      </c>
      <c r="D246">
        <v>1</v>
      </c>
      <c r="E246">
        <v>0</v>
      </c>
      <c r="F246" t="s">
        <v>13</v>
      </c>
      <c r="G246" t="s">
        <v>14</v>
      </c>
      <c r="H246">
        <v>33</v>
      </c>
      <c r="I246" s="1">
        <v>43314</v>
      </c>
      <c r="J246" t="s">
        <v>19</v>
      </c>
      <c r="K246">
        <v>80.3</v>
      </c>
      <c r="L246" t="s">
        <v>16</v>
      </c>
    </row>
    <row r="247" spans="1:12" x14ac:dyDescent="0.25">
      <c r="A247" t="s">
        <v>391</v>
      </c>
      <c r="B247">
        <v>1</v>
      </c>
      <c r="C247">
        <v>0</v>
      </c>
      <c r="D247">
        <v>0</v>
      </c>
      <c r="E247">
        <v>2</v>
      </c>
      <c r="F247" t="s">
        <v>13</v>
      </c>
      <c r="G247" t="s">
        <v>14</v>
      </c>
      <c r="H247">
        <v>164</v>
      </c>
      <c r="I247" s="1">
        <v>42776</v>
      </c>
      <c r="J247" t="s">
        <v>15</v>
      </c>
      <c r="K247">
        <v>100</v>
      </c>
      <c r="L247" t="s">
        <v>16</v>
      </c>
    </row>
    <row r="248" spans="1:12" x14ac:dyDescent="0.25">
      <c r="A248" t="s">
        <v>392</v>
      </c>
      <c r="B248">
        <v>2</v>
      </c>
      <c r="C248">
        <v>0</v>
      </c>
      <c r="D248">
        <v>0</v>
      </c>
      <c r="E248">
        <v>3</v>
      </c>
      <c r="F248" t="s">
        <v>13</v>
      </c>
      <c r="G248" t="s">
        <v>14</v>
      </c>
      <c r="H248">
        <v>78</v>
      </c>
      <c r="I248" t="s">
        <v>393</v>
      </c>
      <c r="J248" t="s">
        <v>19</v>
      </c>
      <c r="K248">
        <v>105.3</v>
      </c>
      <c r="L248" t="s">
        <v>16</v>
      </c>
    </row>
    <row r="249" spans="1:12" x14ac:dyDescent="0.25">
      <c r="A249" t="s">
        <v>394</v>
      </c>
      <c r="B249">
        <v>2</v>
      </c>
      <c r="C249">
        <v>0</v>
      </c>
      <c r="D249">
        <v>0</v>
      </c>
      <c r="E249">
        <v>4</v>
      </c>
      <c r="F249" t="s">
        <v>13</v>
      </c>
      <c r="G249" t="s">
        <v>32</v>
      </c>
      <c r="H249">
        <v>18</v>
      </c>
      <c r="I249" t="s">
        <v>395</v>
      </c>
      <c r="J249" t="s">
        <v>19</v>
      </c>
      <c r="K249">
        <v>112.8</v>
      </c>
      <c r="L249" t="s">
        <v>22</v>
      </c>
    </row>
    <row r="250" spans="1:12" x14ac:dyDescent="0.25">
      <c r="A250" t="s">
        <v>396</v>
      </c>
      <c r="B250">
        <v>2</v>
      </c>
      <c r="C250">
        <v>0</v>
      </c>
      <c r="D250">
        <v>1</v>
      </c>
      <c r="E250">
        <v>2</v>
      </c>
      <c r="F250" t="s">
        <v>13</v>
      </c>
      <c r="G250" t="s">
        <v>14</v>
      </c>
      <c r="H250">
        <v>21</v>
      </c>
      <c r="I250" t="s">
        <v>317</v>
      </c>
      <c r="J250" t="s">
        <v>19</v>
      </c>
      <c r="K250">
        <v>151</v>
      </c>
      <c r="L250" t="s">
        <v>22</v>
      </c>
    </row>
    <row r="251" spans="1:12" x14ac:dyDescent="0.25">
      <c r="A251" t="s">
        <v>397</v>
      </c>
      <c r="B251">
        <v>1</v>
      </c>
      <c r="C251">
        <v>0</v>
      </c>
      <c r="D251">
        <v>1</v>
      </c>
      <c r="E251">
        <v>3</v>
      </c>
      <c r="F251" t="s">
        <v>13</v>
      </c>
      <c r="G251" t="s">
        <v>14</v>
      </c>
      <c r="H251">
        <v>0</v>
      </c>
      <c r="I251" s="1">
        <v>42989</v>
      </c>
      <c r="J251" t="s">
        <v>19</v>
      </c>
      <c r="K251">
        <v>91</v>
      </c>
      <c r="L251" t="s">
        <v>16</v>
      </c>
    </row>
    <row r="252" spans="1:12" x14ac:dyDescent="0.25">
      <c r="A252" t="s">
        <v>398</v>
      </c>
      <c r="B252">
        <v>3</v>
      </c>
      <c r="C252">
        <v>0</v>
      </c>
      <c r="D252">
        <v>2</v>
      </c>
      <c r="E252">
        <v>1</v>
      </c>
      <c r="F252" t="s">
        <v>13</v>
      </c>
      <c r="G252" t="s">
        <v>32</v>
      </c>
      <c r="H252">
        <v>152</v>
      </c>
      <c r="I252" t="s">
        <v>211</v>
      </c>
      <c r="J252" t="s">
        <v>19</v>
      </c>
      <c r="K252">
        <v>146.69999999999999</v>
      </c>
      <c r="L252" t="s">
        <v>22</v>
      </c>
    </row>
    <row r="253" spans="1:12" x14ac:dyDescent="0.25">
      <c r="A253" t="s">
        <v>399</v>
      </c>
      <c r="B253">
        <v>2</v>
      </c>
      <c r="C253">
        <v>0</v>
      </c>
      <c r="D253">
        <v>2</v>
      </c>
      <c r="E253">
        <v>3</v>
      </c>
      <c r="F253" t="s">
        <v>13</v>
      </c>
      <c r="G253" t="s">
        <v>14</v>
      </c>
      <c r="H253">
        <v>43</v>
      </c>
      <c r="I253" s="1">
        <v>42776</v>
      </c>
      <c r="J253" t="s">
        <v>15</v>
      </c>
      <c r="K253">
        <v>58.4</v>
      </c>
      <c r="L253" t="s">
        <v>16</v>
      </c>
    </row>
    <row r="254" spans="1:12" x14ac:dyDescent="0.25">
      <c r="A254" t="s">
        <v>400</v>
      </c>
      <c r="B254">
        <v>2</v>
      </c>
      <c r="C254">
        <v>0</v>
      </c>
      <c r="D254">
        <v>0</v>
      </c>
      <c r="E254">
        <v>4</v>
      </c>
      <c r="F254" t="s">
        <v>18</v>
      </c>
      <c r="G254" t="s">
        <v>14</v>
      </c>
      <c r="H254">
        <v>177</v>
      </c>
      <c r="I254" t="s">
        <v>401</v>
      </c>
      <c r="J254" t="s">
        <v>19</v>
      </c>
      <c r="K254">
        <v>80.75</v>
      </c>
      <c r="L254" t="s">
        <v>22</v>
      </c>
    </row>
    <row r="255" spans="1:12" x14ac:dyDescent="0.25">
      <c r="A255" t="s">
        <v>402</v>
      </c>
      <c r="B255">
        <v>2</v>
      </c>
      <c r="C255">
        <v>0</v>
      </c>
      <c r="D255">
        <v>1</v>
      </c>
      <c r="E255">
        <v>1</v>
      </c>
      <c r="F255" t="s">
        <v>18</v>
      </c>
      <c r="G255" t="s">
        <v>14</v>
      </c>
      <c r="H255">
        <v>47</v>
      </c>
      <c r="I255" t="s">
        <v>403</v>
      </c>
      <c r="J255" t="s">
        <v>15</v>
      </c>
      <c r="K255">
        <v>76.5</v>
      </c>
      <c r="L255" t="s">
        <v>16</v>
      </c>
    </row>
    <row r="256" spans="1:12" x14ac:dyDescent="0.25">
      <c r="A256" t="s">
        <v>404</v>
      </c>
      <c r="B256">
        <v>3</v>
      </c>
      <c r="C256">
        <v>0</v>
      </c>
      <c r="D256">
        <v>0</v>
      </c>
      <c r="E256">
        <v>3</v>
      </c>
      <c r="F256" t="s">
        <v>13</v>
      </c>
      <c r="G256" t="s">
        <v>32</v>
      </c>
      <c r="H256">
        <v>57</v>
      </c>
      <c r="I256" s="1">
        <v>43290</v>
      </c>
      <c r="J256" t="s">
        <v>19</v>
      </c>
      <c r="K256">
        <v>140.13</v>
      </c>
      <c r="L256" t="s">
        <v>16</v>
      </c>
    </row>
    <row r="257" spans="1:12" x14ac:dyDescent="0.25">
      <c r="A257" t="s">
        <v>405</v>
      </c>
      <c r="B257">
        <v>2</v>
      </c>
      <c r="C257">
        <v>0</v>
      </c>
      <c r="D257">
        <v>2</v>
      </c>
      <c r="E257">
        <v>4</v>
      </c>
      <c r="F257" t="s">
        <v>18</v>
      </c>
      <c r="G257" t="s">
        <v>14</v>
      </c>
      <c r="H257">
        <v>60</v>
      </c>
      <c r="I257" t="s">
        <v>406</v>
      </c>
      <c r="J257" t="s">
        <v>19</v>
      </c>
      <c r="K257">
        <v>76</v>
      </c>
      <c r="L257" t="s">
        <v>16</v>
      </c>
    </row>
    <row r="258" spans="1:12" x14ac:dyDescent="0.25">
      <c r="A258" t="s">
        <v>407</v>
      </c>
      <c r="B258">
        <v>2</v>
      </c>
      <c r="C258">
        <v>0</v>
      </c>
      <c r="D258">
        <v>0</v>
      </c>
      <c r="E258">
        <v>1</v>
      </c>
      <c r="F258" t="s">
        <v>13</v>
      </c>
      <c r="G258" t="s">
        <v>14</v>
      </c>
      <c r="H258">
        <v>0</v>
      </c>
      <c r="I258" t="s">
        <v>408</v>
      </c>
      <c r="J258" t="s">
        <v>19</v>
      </c>
      <c r="K258">
        <v>200</v>
      </c>
      <c r="L258" t="s">
        <v>16</v>
      </c>
    </row>
    <row r="259" spans="1:12" x14ac:dyDescent="0.25">
      <c r="A259" t="s">
        <v>409</v>
      </c>
      <c r="B259">
        <v>2</v>
      </c>
      <c r="C259">
        <v>0</v>
      </c>
      <c r="D259">
        <v>0</v>
      </c>
      <c r="E259">
        <v>2</v>
      </c>
      <c r="F259" t="s">
        <v>27</v>
      </c>
      <c r="G259" t="s">
        <v>14</v>
      </c>
      <c r="H259">
        <v>102</v>
      </c>
      <c r="I259" t="s">
        <v>410</v>
      </c>
      <c r="J259" t="s">
        <v>19</v>
      </c>
      <c r="K259">
        <v>101.5</v>
      </c>
      <c r="L259" t="s">
        <v>22</v>
      </c>
    </row>
    <row r="260" spans="1:12" x14ac:dyDescent="0.25">
      <c r="A260" t="s">
        <v>411</v>
      </c>
      <c r="B260">
        <v>2</v>
      </c>
      <c r="C260">
        <v>0</v>
      </c>
      <c r="D260">
        <v>0</v>
      </c>
      <c r="E260">
        <v>3</v>
      </c>
      <c r="F260" t="s">
        <v>18</v>
      </c>
      <c r="G260" t="s">
        <v>14</v>
      </c>
      <c r="H260">
        <v>71</v>
      </c>
      <c r="I260" t="s">
        <v>36</v>
      </c>
      <c r="J260" t="s">
        <v>19</v>
      </c>
      <c r="K260">
        <v>108</v>
      </c>
      <c r="L260" t="s">
        <v>16</v>
      </c>
    </row>
    <row r="261" spans="1:12" x14ac:dyDescent="0.25">
      <c r="A261" t="s">
        <v>412</v>
      </c>
      <c r="B261">
        <v>3</v>
      </c>
      <c r="C261">
        <v>0</v>
      </c>
      <c r="D261">
        <v>2</v>
      </c>
      <c r="E261">
        <v>3</v>
      </c>
      <c r="F261" t="s">
        <v>27</v>
      </c>
      <c r="G261" t="s">
        <v>32</v>
      </c>
      <c r="H261">
        <v>111</v>
      </c>
      <c r="I261" t="s">
        <v>413</v>
      </c>
      <c r="J261" t="s">
        <v>19</v>
      </c>
      <c r="K261">
        <v>189</v>
      </c>
      <c r="L261" t="s">
        <v>16</v>
      </c>
    </row>
    <row r="262" spans="1:12" x14ac:dyDescent="0.25">
      <c r="A262" t="s">
        <v>414</v>
      </c>
      <c r="B262">
        <v>3</v>
      </c>
      <c r="C262">
        <v>0</v>
      </c>
      <c r="D262">
        <v>1</v>
      </c>
      <c r="E262">
        <v>1</v>
      </c>
      <c r="F262" t="s">
        <v>13</v>
      </c>
      <c r="G262" t="s">
        <v>32</v>
      </c>
      <c r="H262">
        <v>1</v>
      </c>
      <c r="I262" s="1">
        <v>43410</v>
      </c>
      <c r="J262" t="s">
        <v>19</v>
      </c>
      <c r="K262">
        <v>166</v>
      </c>
      <c r="L262" t="s">
        <v>16</v>
      </c>
    </row>
    <row r="263" spans="1:12" x14ac:dyDescent="0.25">
      <c r="A263" t="s">
        <v>415</v>
      </c>
      <c r="B263">
        <v>2</v>
      </c>
      <c r="C263">
        <v>0</v>
      </c>
      <c r="D263">
        <v>1</v>
      </c>
      <c r="E263">
        <v>1</v>
      </c>
      <c r="F263" t="s">
        <v>18</v>
      </c>
      <c r="G263" t="s">
        <v>14</v>
      </c>
      <c r="H263">
        <v>4</v>
      </c>
      <c r="I263" t="s">
        <v>416</v>
      </c>
      <c r="J263" t="s">
        <v>19</v>
      </c>
      <c r="K263">
        <v>67.5</v>
      </c>
      <c r="L263" t="s">
        <v>16</v>
      </c>
    </row>
    <row r="264" spans="1:12" x14ac:dyDescent="0.25">
      <c r="A264" t="s">
        <v>417</v>
      </c>
      <c r="B264">
        <v>2</v>
      </c>
      <c r="C264">
        <v>0</v>
      </c>
      <c r="D264">
        <v>1</v>
      </c>
      <c r="E264">
        <v>3</v>
      </c>
      <c r="F264" t="s">
        <v>13</v>
      </c>
      <c r="G264" t="s">
        <v>32</v>
      </c>
      <c r="H264">
        <v>25</v>
      </c>
      <c r="I264" t="s">
        <v>418</v>
      </c>
      <c r="J264" t="s">
        <v>19</v>
      </c>
      <c r="K264">
        <v>78.540000000000006</v>
      </c>
      <c r="L264" t="s">
        <v>16</v>
      </c>
    </row>
    <row r="265" spans="1:12" x14ac:dyDescent="0.25">
      <c r="A265" t="s">
        <v>419</v>
      </c>
      <c r="B265">
        <v>1</v>
      </c>
      <c r="C265">
        <v>0</v>
      </c>
      <c r="D265">
        <v>2</v>
      </c>
      <c r="E265">
        <v>2</v>
      </c>
      <c r="F265" t="s">
        <v>13</v>
      </c>
      <c r="G265" t="s">
        <v>14</v>
      </c>
      <c r="H265">
        <v>209</v>
      </c>
      <c r="I265" s="1">
        <v>43262</v>
      </c>
      <c r="J265" t="s">
        <v>19</v>
      </c>
      <c r="K265">
        <v>152.1</v>
      </c>
      <c r="L265" t="s">
        <v>22</v>
      </c>
    </row>
    <row r="266" spans="1:12" x14ac:dyDescent="0.25">
      <c r="A266" t="s">
        <v>420</v>
      </c>
      <c r="B266">
        <v>1</v>
      </c>
      <c r="C266">
        <v>0</v>
      </c>
      <c r="D266">
        <v>2</v>
      </c>
      <c r="E266">
        <v>1</v>
      </c>
      <c r="F266" t="s">
        <v>13</v>
      </c>
      <c r="G266" t="s">
        <v>14</v>
      </c>
      <c r="H266">
        <v>93</v>
      </c>
      <c r="I266" t="s">
        <v>421</v>
      </c>
      <c r="J266" t="s">
        <v>19</v>
      </c>
      <c r="K266">
        <v>115</v>
      </c>
      <c r="L266" t="s">
        <v>22</v>
      </c>
    </row>
    <row r="267" spans="1:12" x14ac:dyDescent="0.25">
      <c r="A267" t="s">
        <v>422</v>
      </c>
      <c r="B267">
        <v>2</v>
      </c>
      <c r="C267">
        <v>0</v>
      </c>
      <c r="D267">
        <v>2</v>
      </c>
      <c r="E267">
        <v>5</v>
      </c>
      <c r="F267" t="s">
        <v>18</v>
      </c>
      <c r="G267" t="s">
        <v>14</v>
      </c>
      <c r="H267">
        <v>53</v>
      </c>
      <c r="I267" s="1">
        <v>42775</v>
      </c>
      <c r="J267" t="s">
        <v>19</v>
      </c>
      <c r="K267">
        <v>66.53</v>
      </c>
      <c r="L267" t="s">
        <v>16</v>
      </c>
    </row>
    <row r="268" spans="1:12" x14ac:dyDescent="0.25">
      <c r="A268" t="s">
        <v>423</v>
      </c>
      <c r="B268">
        <v>1</v>
      </c>
      <c r="C268">
        <v>0</v>
      </c>
      <c r="D268">
        <v>0</v>
      </c>
      <c r="E268">
        <v>2</v>
      </c>
      <c r="F268" t="s">
        <v>13</v>
      </c>
      <c r="G268" t="s">
        <v>14</v>
      </c>
      <c r="H268">
        <v>1</v>
      </c>
      <c r="I268" s="1">
        <v>43077</v>
      </c>
      <c r="J268" t="s">
        <v>129</v>
      </c>
      <c r="K268">
        <v>0</v>
      </c>
      <c r="L268" t="s">
        <v>16</v>
      </c>
    </row>
    <row r="269" spans="1:12" x14ac:dyDescent="0.25">
      <c r="A269" t="s">
        <v>424</v>
      </c>
      <c r="B269">
        <v>1</v>
      </c>
      <c r="C269">
        <v>0</v>
      </c>
      <c r="D269">
        <v>2</v>
      </c>
      <c r="E269">
        <v>1</v>
      </c>
      <c r="F269" t="s">
        <v>13</v>
      </c>
      <c r="G269" t="s">
        <v>14</v>
      </c>
      <c r="H269">
        <v>4</v>
      </c>
      <c r="I269" t="s">
        <v>425</v>
      </c>
      <c r="J269" t="s">
        <v>129</v>
      </c>
      <c r="K269">
        <v>0</v>
      </c>
      <c r="L269" t="s">
        <v>16</v>
      </c>
    </row>
    <row r="270" spans="1:12" x14ac:dyDescent="0.25">
      <c r="A270" t="s">
        <v>426</v>
      </c>
      <c r="B270">
        <v>2</v>
      </c>
      <c r="C270">
        <v>0</v>
      </c>
      <c r="D270">
        <v>0</v>
      </c>
      <c r="E270">
        <v>3</v>
      </c>
      <c r="F270" t="s">
        <v>13</v>
      </c>
      <c r="G270" t="s">
        <v>14</v>
      </c>
      <c r="H270">
        <v>302</v>
      </c>
      <c r="I270" t="s">
        <v>106</v>
      </c>
      <c r="J270" t="s">
        <v>19</v>
      </c>
      <c r="K270">
        <v>90.3</v>
      </c>
      <c r="L270" t="s">
        <v>22</v>
      </c>
    </row>
    <row r="271" spans="1:12" x14ac:dyDescent="0.25">
      <c r="A271" t="s">
        <v>427</v>
      </c>
      <c r="B271">
        <v>2</v>
      </c>
      <c r="C271">
        <v>0</v>
      </c>
      <c r="D271">
        <v>0</v>
      </c>
      <c r="E271">
        <v>2</v>
      </c>
      <c r="F271" t="s">
        <v>13</v>
      </c>
      <c r="G271" t="s">
        <v>14</v>
      </c>
      <c r="H271">
        <v>122</v>
      </c>
      <c r="I271" t="s">
        <v>135</v>
      </c>
      <c r="J271" t="s">
        <v>15</v>
      </c>
      <c r="K271">
        <v>85</v>
      </c>
      <c r="L271" t="s">
        <v>16</v>
      </c>
    </row>
    <row r="272" spans="1:12" x14ac:dyDescent="0.25">
      <c r="A272" t="s">
        <v>428</v>
      </c>
      <c r="B272">
        <v>1</v>
      </c>
      <c r="C272">
        <v>0</v>
      </c>
      <c r="D272">
        <v>0</v>
      </c>
      <c r="E272">
        <v>1</v>
      </c>
      <c r="F272" t="s">
        <v>13</v>
      </c>
      <c r="G272" t="s">
        <v>14</v>
      </c>
      <c r="H272">
        <v>16</v>
      </c>
      <c r="I272" s="1">
        <v>43407</v>
      </c>
      <c r="J272" t="s">
        <v>56</v>
      </c>
      <c r="K272">
        <v>75</v>
      </c>
      <c r="L272" t="s">
        <v>16</v>
      </c>
    </row>
    <row r="273" spans="1:12" x14ac:dyDescent="0.25">
      <c r="A273" t="s">
        <v>429</v>
      </c>
      <c r="B273">
        <v>2</v>
      </c>
      <c r="C273">
        <v>0</v>
      </c>
      <c r="D273">
        <v>2</v>
      </c>
      <c r="E273">
        <v>4</v>
      </c>
      <c r="F273" t="s">
        <v>13</v>
      </c>
      <c r="G273" t="s">
        <v>14</v>
      </c>
      <c r="H273">
        <v>28</v>
      </c>
      <c r="I273" t="s">
        <v>430</v>
      </c>
      <c r="J273" t="s">
        <v>19</v>
      </c>
      <c r="K273">
        <v>115.37</v>
      </c>
      <c r="L273" t="s">
        <v>22</v>
      </c>
    </row>
    <row r="274" spans="1:12" x14ac:dyDescent="0.25">
      <c r="A274" t="s">
        <v>431</v>
      </c>
      <c r="B274">
        <v>2</v>
      </c>
      <c r="C274">
        <v>0</v>
      </c>
      <c r="D274">
        <v>1</v>
      </c>
      <c r="E274">
        <v>2</v>
      </c>
      <c r="F274" t="s">
        <v>27</v>
      </c>
      <c r="G274" t="s">
        <v>14</v>
      </c>
      <c r="H274">
        <v>161</v>
      </c>
      <c r="I274" t="s">
        <v>325</v>
      </c>
      <c r="J274" t="s">
        <v>19</v>
      </c>
      <c r="K274">
        <v>130</v>
      </c>
      <c r="L274" t="s">
        <v>22</v>
      </c>
    </row>
    <row r="275" spans="1:12" x14ac:dyDescent="0.25">
      <c r="A275" t="s">
        <v>432</v>
      </c>
      <c r="B275">
        <v>3</v>
      </c>
      <c r="C275">
        <v>0</v>
      </c>
      <c r="D275">
        <v>0</v>
      </c>
      <c r="E275">
        <v>2</v>
      </c>
      <c r="F275" t="s">
        <v>13</v>
      </c>
      <c r="G275" t="s">
        <v>32</v>
      </c>
      <c r="H275">
        <v>57</v>
      </c>
      <c r="I275" s="1">
        <v>43355</v>
      </c>
      <c r="J275" t="s">
        <v>19</v>
      </c>
      <c r="K275">
        <v>126</v>
      </c>
      <c r="L275" t="s">
        <v>16</v>
      </c>
    </row>
    <row r="276" spans="1:12" x14ac:dyDescent="0.25">
      <c r="A276" t="s">
        <v>433</v>
      </c>
      <c r="B276">
        <v>2</v>
      </c>
      <c r="C276">
        <v>0</v>
      </c>
      <c r="D276">
        <v>1</v>
      </c>
      <c r="E276">
        <v>0</v>
      </c>
      <c r="F276" t="s">
        <v>13</v>
      </c>
      <c r="G276" t="s">
        <v>14</v>
      </c>
      <c r="H276">
        <v>19</v>
      </c>
      <c r="I276" s="1">
        <v>43440</v>
      </c>
      <c r="J276" t="s">
        <v>19</v>
      </c>
      <c r="K276">
        <v>94.35</v>
      </c>
      <c r="L276" t="s">
        <v>16</v>
      </c>
    </row>
    <row r="277" spans="1:12" x14ac:dyDescent="0.25">
      <c r="A277" t="s">
        <v>434</v>
      </c>
      <c r="B277">
        <v>3</v>
      </c>
      <c r="C277">
        <v>0</v>
      </c>
      <c r="D277">
        <v>2</v>
      </c>
      <c r="E277">
        <v>4</v>
      </c>
      <c r="F277" t="s">
        <v>13</v>
      </c>
      <c r="G277" t="s">
        <v>32</v>
      </c>
      <c r="H277">
        <v>109</v>
      </c>
      <c r="I277" s="1">
        <v>43258</v>
      </c>
      <c r="J277" t="s">
        <v>19</v>
      </c>
      <c r="K277">
        <v>118.46</v>
      </c>
      <c r="L277" t="s">
        <v>16</v>
      </c>
    </row>
    <row r="278" spans="1:12" x14ac:dyDescent="0.25">
      <c r="A278" t="s">
        <v>435</v>
      </c>
      <c r="B278">
        <v>1</v>
      </c>
      <c r="C278">
        <v>0</v>
      </c>
      <c r="D278">
        <v>0</v>
      </c>
      <c r="E278">
        <v>2</v>
      </c>
      <c r="F278" t="s">
        <v>27</v>
      </c>
      <c r="G278" t="s">
        <v>14</v>
      </c>
      <c r="H278">
        <v>239</v>
      </c>
      <c r="I278" t="s">
        <v>47</v>
      </c>
      <c r="J278" t="s">
        <v>19</v>
      </c>
      <c r="K278">
        <v>90.6</v>
      </c>
      <c r="L278" t="s">
        <v>22</v>
      </c>
    </row>
    <row r="279" spans="1:12" x14ac:dyDescent="0.25">
      <c r="A279" t="s">
        <v>436</v>
      </c>
      <c r="B279">
        <v>1</v>
      </c>
      <c r="C279">
        <v>0</v>
      </c>
      <c r="D279">
        <v>2</v>
      </c>
      <c r="E279">
        <v>1</v>
      </c>
      <c r="F279" t="s">
        <v>13</v>
      </c>
      <c r="G279" t="s">
        <v>14</v>
      </c>
      <c r="H279">
        <v>33</v>
      </c>
      <c r="I279" s="1">
        <v>43223</v>
      </c>
      <c r="J279" t="s">
        <v>19</v>
      </c>
      <c r="K279">
        <v>82.9</v>
      </c>
      <c r="L279" t="s">
        <v>16</v>
      </c>
    </row>
    <row r="280" spans="1:12" x14ac:dyDescent="0.25">
      <c r="A280" t="s">
        <v>437</v>
      </c>
      <c r="B280">
        <v>2</v>
      </c>
      <c r="C280">
        <v>0</v>
      </c>
      <c r="D280">
        <v>0</v>
      </c>
      <c r="E280">
        <v>3</v>
      </c>
      <c r="F280" t="s">
        <v>13</v>
      </c>
      <c r="G280" t="s">
        <v>14</v>
      </c>
      <c r="H280">
        <v>11</v>
      </c>
      <c r="I280" t="s">
        <v>438</v>
      </c>
      <c r="J280" t="s">
        <v>19</v>
      </c>
      <c r="K280">
        <v>95.33</v>
      </c>
      <c r="L280" t="s">
        <v>16</v>
      </c>
    </row>
    <row r="281" spans="1:12" x14ac:dyDescent="0.25">
      <c r="A281" t="s">
        <v>439</v>
      </c>
      <c r="B281">
        <v>3</v>
      </c>
      <c r="C281">
        <v>0</v>
      </c>
      <c r="D281">
        <v>2</v>
      </c>
      <c r="E281">
        <v>5</v>
      </c>
      <c r="F281" t="s">
        <v>13</v>
      </c>
      <c r="G281" t="s">
        <v>32</v>
      </c>
      <c r="H281">
        <v>40</v>
      </c>
      <c r="I281" t="s">
        <v>440</v>
      </c>
      <c r="J281" t="s">
        <v>19</v>
      </c>
      <c r="K281">
        <v>135.63999999999999</v>
      </c>
      <c r="L281" t="s">
        <v>16</v>
      </c>
    </row>
    <row r="282" spans="1:12" x14ac:dyDescent="0.25">
      <c r="A282" t="s">
        <v>441</v>
      </c>
      <c r="B282">
        <v>3</v>
      </c>
      <c r="C282">
        <v>0</v>
      </c>
      <c r="D282">
        <v>1</v>
      </c>
      <c r="E282">
        <v>1</v>
      </c>
      <c r="F282" t="s">
        <v>13</v>
      </c>
      <c r="G282" t="s">
        <v>32</v>
      </c>
      <c r="H282">
        <v>45</v>
      </c>
      <c r="I282" t="s">
        <v>442</v>
      </c>
      <c r="J282" t="s">
        <v>15</v>
      </c>
      <c r="K282">
        <v>122.4</v>
      </c>
      <c r="L282" t="s">
        <v>16</v>
      </c>
    </row>
    <row r="283" spans="1:12" x14ac:dyDescent="0.25">
      <c r="A283" t="s">
        <v>443</v>
      </c>
      <c r="B283">
        <v>2</v>
      </c>
      <c r="C283">
        <v>0</v>
      </c>
      <c r="D283">
        <v>1</v>
      </c>
      <c r="E283">
        <v>3</v>
      </c>
      <c r="F283" t="s">
        <v>18</v>
      </c>
      <c r="G283" t="s">
        <v>14</v>
      </c>
      <c r="H283">
        <v>41</v>
      </c>
      <c r="I283" s="1">
        <v>43348</v>
      </c>
      <c r="J283" t="s">
        <v>19</v>
      </c>
      <c r="K283">
        <v>116.1</v>
      </c>
      <c r="L283" t="s">
        <v>22</v>
      </c>
    </row>
    <row r="284" spans="1:12" x14ac:dyDescent="0.25">
      <c r="A284" t="s">
        <v>444</v>
      </c>
      <c r="B284">
        <v>2</v>
      </c>
      <c r="C284">
        <v>0</v>
      </c>
      <c r="D284">
        <v>0</v>
      </c>
      <c r="E284">
        <v>4</v>
      </c>
      <c r="F284" t="s">
        <v>18</v>
      </c>
      <c r="G284" t="s">
        <v>14</v>
      </c>
      <c r="H284">
        <v>167</v>
      </c>
      <c r="I284" t="s">
        <v>153</v>
      </c>
      <c r="J284" t="s">
        <v>19</v>
      </c>
      <c r="K284">
        <v>62.18</v>
      </c>
      <c r="L284" t="s">
        <v>22</v>
      </c>
    </row>
    <row r="285" spans="1:12" x14ac:dyDescent="0.25">
      <c r="A285" t="s">
        <v>445</v>
      </c>
      <c r="B285">
        <v>2</v>
      </c>
      <c r="C285">
        <v>0</v>
      </c>
      <c r="D285">
        <v>0</v>
      </c>
      <c r="E285">
        <v>4</v>
      </c>
      <c r="F285" t="s">
        <v>18</v>
      </c>
      <c r="G285" t="s">
        <v>14</v>
      </c>
      <c r="H285">
        <v>62</v>
      </c>
      <c r="I285" s="1">
        <v>43346</v>
      </c>
      <c r="J285" t="s">
        <v>19</v>
      </c>
      <c r="K285">
        <v>63.75</v>
      </c>
      <c r="L285" t="s">
        <v>22</v>
      </c>
    </row>
    <row r="286" spans="1:12" x14ac:dyDescent="0.25">
      <c r="A286" t="s">
        <v>446</v>
      </c>
      <c r="B286">
        <v>1</v>
      </c>
      <c r="C286">
        <v>0</v>
      </c>
      <c r="D286">
        <v>1</v>
      </c>
      <c r="E286">
        <v>4</v>
      </c>
      <c r="F286" t="s">
        <v>13</v>
      </c>
      <c r="G286" t="s">
        <v>14</v>
      </c>
      <c r="H286">
        <v>113</v>
      </c>
      <c r="I286" s="1">
        <v>43290</v>
      </c>
      <c r="J286" t="s">
        <v>19</v>
      </c>
      <c r="K286">
        <v>118.8</v>
      </c>
      <c r="L286" t="s">
        <v>22</v>
      </c>
    </row>
    <row r="287" spans="1:12" x14ac:dyDescent="0.25">
      <c r="A287" t="s">
        <v>447</v>
      </c>
      <c r="B287">
        <v>2</v>
      </c>
      <c r="C287">
        <v>0</v>
      </c>
      <c r="D287">
        <v>0</v>
      </c>
      <c r="E287">
        <v>2</v>
      </c>
      <c r="F287" t="s">
        <v>18</v>
      </c>
      <c r="G287" t="s">
        <v>14</v>
      </c>
      <c r="H287">
        <v>1</v>
      </c>
      <c r="I287" s="1">
        <v>43381</v>
      </c>
      <c r="J287" t="s">
        <v>19</v>
      </c>
      <c r="K287">
        <v>167</v>
      </c>
      <c r="L287" t="s">
        <v>16</v>
      </c>
    </row>
    <row r="288" spans="1:12" x14ac:dyDescent="0.25">
      <c r="A288" t="s">
        <v>448</v>
      </c>
      <c r="B288">
        <v>2</v>
      </c>
      <c r="C288">
        <v>2</v>
      </c>
      <c r="D288">
        <v>2</v>
      </c>
      <c r="E288">
        <v>2</v>
      </c>
      <c r="F288" t="s">
        <v>13</v>
      </c>
      <c r="G288" t="s">
        <v>124</v>
      </c>
      <c r="H288">
        <v>84</v>
      </c>
      <c r="I288" t="s">
        <v>189</v>
      </c>
      <c r="J288" t="s">
        <v>19</v>
      </c>
      <c r="K288">
        <v>187.85</v>
      </c>
      <c r="L288" t="s">
        <v>16</v>
      </c>
    </row>
    <row r="289" spans="1:12" x14ac:dyDescent="0.25">
      <c r="A289" t="s">
        <v>449</v>
      </c>
      <c r="B289">
        <v>0</v>
      </c>
      <c r="C289">
        <v>2</v>
      </c>
      <c r="D289">
        <v>2</v>
      </c>
      <c r="E289">
        <v>2</v>
      </c>
      <c r="F289" t="s">
        <v>13</v>
      </c>
      <c r="G289" t="s">
        <v>14</v>
      </c>
      <c r="H289">
        <v>68</v>
      </c>
      <c r="I289" t="s">
        <v>224</v>
      </c>
      <c r="J289" t="s">
        <v>19</v>
      </c>
      <c r="K289">
        <v>108.38</v>
      </c>
      <c r="L289" t="s">
        <v>22</v>
      </c>
    </row>
    <row r="290" spans="1:12" x14ac:dyDescent="0.25">
      <c r="A290" t="s">
        <v>450</v>
      </c>
      <c r="B290">
        <v>2</v>
      </c>
      <c r="C290">
        <v>0</v>
      </c>
      <c r="D290">
        <v>0</v>
      </c>
      <c r="E290">
        <v>1</v>
      </c>
      <c r="F290" t="s">
        <v>13</v>
      </c>
      <c r="G290" t="s">
        <v>78</v>
      </c>
      <c r="H290">
        <v>9</v>
      </c>
      <c r="I290" s="1">
        <v>43290</v>
      </c>
      <c r="J290" t="s">
        <v>129</v>
      </c>
      <c r="K290">
        <v>0</v>
      </c>
      <c r="L290" t="s">
        <v>16</v>
      </c>
    </row>
    <row r="291" spans="1:12" x14ac:dyDescent="0.25">
      <c r="A291" t="s">
        <v>451</v>
      </c>
      <c r="B291">
        <v>3</v>
      </c>
      <c r="C291">
        <v>0</v>
      </c>
      <c r="D291">
        <v>1</v>
      </c>
      <c r="E291">
        <v>2</v>
      </c>
      <c r="F291" t="s">
        <v>13</v>
      </c>
      <c r="G291" t="s">
        <v>14</v>
      </c>
      <c r="H291">
        <v>245</v>
      </c>
      <c r="I291" t="s">
        <v>375</v>
      </c>
      <c r="J291" t="s">
        <v>19</v>
      </c>
      <c r="K291">
        <v>128.69999999999999</v>
      </c>
      <c r="L291" t="s">
        <v>22</v>
      </c>
    </row>
    <row r="292" spans="1:12" x14ac:dyDescent="0.25">
      <c r="A292" t="s">
        <v>452</v>
      </c>
      <c r="B292">
        <v>2</v>
      </c>
      <c r="C292">
        <v>0</v>
      </c>
      <c r="D292">
        <v>1</v>
      </c>
      <c r="E292">
        <v>3</v>
      </c>
      <c r="F292" t="s">
        <v>13</v>
      </c>
      <c r="G292" t="s">
        <v>14</v>
      </c>
      <c r="H292">
        <v>80</v>
      </c>
      <c r="I292" t="s">
        <v>453</v>
      </c>
      <c r="J292" t="s">
        <v>19</v>
      </c>
      <c r="K292">
        <v>80.33</v>
      </c>
      <c r="L292" t="s">
        <v>16</v>
      </c>
    </row>
    <row r="293" spans="1:12" x14ac:dyDescent="0.25">
      <c r="A293" t="s">
        <v>454</v>
      </c>
      <c r="B293">
        <v>2</v>
      </c>
      <c r="C293">
        <v>0</v>
      </c>
      <c r="D293">
        <v>1</v>
      </c>
      <c r="E293">
        <v>1</v>
      </c>
      <c r="F293" t="s">
        <v>13</v>
      </c>
      <c r="G293" t="s">
        <v>14</v>
      </c>
      <c r="H293">
        <v>7</v>
      </c>
      <c r="I293" t="s">
        <v>313</v>
      </c>
      <c r="J293" t="s">
        <v>19</v>
      </c>
      <c r="K293">
        <v>140</v>
      </c>
      <c r="L293" t="s">
        <v>22</v>
      </c>
    </row>
    <row r="294" spans="1:12" x14ac:dyDescent="0.25">
      <c r="A294" t="s">
        <v>455</v>
      </c>
      <c r="B294">
        <v>2</v>
      </c>
      <c r="C294">
        <v>1</v>
      </c>
      <c r="D294">
        <v>1</v>
      </c>
      <c r="E294">
        <v>1</v>
      </c>
      <c r="F294" t="s">
        <v>13</v>
      </c>
      <c r="G294" t="s">
        <v>14</v>
      </c>
      <c r="H294">
        <v>128</v>
      </c>
      <c r="I294" s="1">
        <v>42955</v>
      </c>
      <c r="J294" t="s">
        <v>19</v>
      </c>
      <c r="K294">
        <v>76.5</v>
      </c>
      <c r="L294" t="s">
        <v>16</v>
      </c>
    </row>
    <row r="295" spans="1:12" x14ac:dyDescent="0.25">
      <c r="A295" t="s">
        <v>456</v>
      </c>
      <c r="B295">
        <v>2</v>
      </c>
      <c r="C295">
        <v>0</v>
      </c>
      <c r="D295">
        <v>2</v>
      </c>
      <c r="E295">
        <v>1</v>
      </c>
      <c r="F295" t="s">
        <v>13</v>
      </c>
      <c r="G295" t="s">
        <v>14</v>
      </c>
      <c r="H295">
        <v>100</v>
      </c>
      <c r="I295" s="1">
        <v>43105</v>
      </c>
      <c r="J295" t="s">
        <v>19</v>
      </c>
      <c r="K295">
        <v>105.3</v>
      </c>
      <c r="L295" t="s">
        <v>16</v>
      </c>
    </row>
    <row r="296" spans="1:12" x14ac:dyDescent="0.25">
      <c r="A296" t="s">
        <v>457</v>
      </c>
      <c r="B296">
        <v>2</v>
      </c>
      <c r="C296">
        <v>0</v>
      </c>
      <c r="D296">
        <v>2</v>
      </c>
      <c r="E296">
        <v>1</v>
      </c>
      <c r="F296" t="s">
        <v>13</v>
      </c>
      <c r="G296" t="s">
        <v>14</v>
      </c>
      <c r="H296">
        <v>118</v>
      </c>
      <c r="I296" s="1">
        <v>43163</v>
      </c>
      <c r="J296" t="s">
        <v>19</v>
      </c>
      <c r="K296">
        <v>87.3</v>
      </c>
      <c r="L296" t="s">
        <v>22</v>
      </c>
    </row>
    <row r="297" spans="1:12" x14ac:dyDescent="0.25">
      <c r="A297" t="s">
        <v>458</v>
      </c>
      <c r="B297">
        <v>1</v>
      </c>
      <c r="C297">
        <v>0</v>
      </c>
      <c r="D297">
        <v>0</v>
      </c>
      <c r="E297">
        <v>3</v>
      </c>
      <c r="F297" t="s">
        <v>13</v>
      </c>
      <c r="G297" t="s">
        <v>14</v>
      </c>
      <c r="H297">
        <v>166</v>
      </c>
      <c r="I297" s="1">
        <v>43111</v>
      </c>
      <c r="J297" t="s">
        <v>19</v>
      </c>
      <c r="K297">
        <v>110</v>
      </c>
      <c r="L297" t="s">
        <v>22</v>
      </c>
    </row>
    <row r="298" spans="1:12" x14ac:dyDescent="0.25">
      <c r="A298" t="s">
        <v>459</v>
      </c>
      <c r="B298">
        <v>1</v>
      </c>
      <c r="C298">
        <v>0</v>
      </c>
      <c r="D298">
        <v>0</v>
      </c>
      <c r="E298">
        <v>1</v>
      </c>
      <c r="F298" t="s">
        <v>27</v>
      </c>
      <c r="G298" t="s">
        <v>14</v>
      </c>
      <c r="H298">
        <v>41</v>
      </c>
      <c r="I298" s="1">
        <v>42834</v>
      </c>
      <c r="J298" t="s">
        <v>15</v>
      </c>
      <c r="K298">
        <v>83</v>
      </c>
      <c r="L298" t="s">
        <v>16</v>
      </c>
    </row>
    <row r="299" spans="1:12" x14ac:dyDescent="0.25">
      <c r="A299" t="s">
        <v>460</v>
      </c>
      <c r="B299">
        <v>2</v>
      </c>
      <c r="C299">
        <v>0</v>
      </c>
      <c r="D299">
        <v>2</v>
      </c>
      <c r="E299">
        <v>2</v>
      </c>
      <c r="F299" t="s">
        <v>13</v>
      </c>
      <c r="G299" t="s">
        <v>14</v>
      </c>
      <c r="H299">
        <v>174</v>
      </c>
      <c r="I299" t="s">
        <v>211</v>
      </c>
      <c r="J299" t="s">
        <v>19</v>
      </c>
      <c r="K299">
        <v>99.45</v>
      </c>
      <c r="L299" t="s">
        <v>16</v>
      </c>
    </row>
    <row r="300" spans="1:12" x14ac:dyDescent="0.25">
      <c r="A300" t="s">
        <v>461</v>
      </c>
      <c r="B300">
        <v>2</v>
      </c>
      <c r="C300">
        <v>1</v>
      </c>
      <c r="D300">
        <v>2</v>
      </c>
      <c r="E300">
        <v>1</v>
      </c>
      <c r="F300" t="s">
        <v>27</v>
      </c>
      <c r="G300" t="s">
        <v>14</v>
      </c>
      <c r="H300">
        <v>27</v>
      </c>
      <c r="I300" t="s">
        <v>462</v>
      </c>
      <c r="J300" t="s">
        <v>15</v>
      </c>
      <c r="K300">
        <v>104.5</v>
      </c>
      <c r="L300" t="s">
        <v>16</v>
      </c>
    </row>
    <row r="301" spans="1:12" x14ac:dyDescent="0.25">
      <c r="A301" t="s">
        <v>463</v>
      </c>
      <c r="B301">
        <v>2</v>
      </c>
      <c r="C301">
        <v>0</v>
      </c>
      <c r="D301">
        <v>2</v>
      </c>
      <c r="E301">
        <v>6</v>
      </c>
      <c r="F301" t="s">
        <v>13</v>
      </c>
      <c r="G301" t="s">
        <v>14</v>
      </c>
      <c r="H301">
        <v>2</v>
      </c>
      <c r="I301" t="s">
        <v>286</v>
      </c>
      <c r="J301" t="s">
        <v>19</v>
      </c>
      <c r="K301">
        <v>92.54</v>
      </c>
      <c r="L301" t="s">
        <v>16</v>
      </c>
    </row>
    <row r="302" spans="1:12" x14ac:dyDescent="0.25">
      <c r="A302" t="s">
        <v>464</v>
      </c>
      <c r="B302">
        <v>1</v>
      </c>
      <c r="C302">
        <v>0</v>
      </c>
      <c r="D302">
        <v>0</v>
      </c>
      <c r="E302">
        <v>3</v>
      </c>
      <c r="F302" t="s">
        <v>13</v>
      </c>
      <c r="G302" t="s">
        <v>14</v>
      </c>
      <c r="H302">
        <v>37</v>
      </c>
      <c r="I302" t="s">
        <v>60</v>
      </c>
      <c r="J302" t="s">
        <v>15</v>
      </c>
      <c r="K302">
        <v>95</v>
      </c>
      <c r="L302" t="s">
        <v>16</v>
      </c>
    </row>
    <row r="303" spans="1:12" x14ac:dyDescent="0.25">
      <c r="A303" t="s">
        <v>465</v>
      </c>
      <c r="B303">
        <v>1</v>
      </c>
      <c r="C303">
        <v>0</v>
      </c>
      <c r="D303">
        <v>0</v>
      </c>
      <c r="E303">
        <v>2</v>
      </c>
      <c r="F303" t="s">
        <v>13</v>
      </c>
      <c r="G303" t="s">
        <v>14</v>
      </c>
      <c r="H303">
        <v>188</v>
      </c>
      <c r="I303" t="s">
        <v>47</v>
      </c>
      <c r="J303" t="s">
        <v>19</v>
      </c>
      <c r="K303">
        <v>130</v>
      </c>
      <c r="L303" t="s">
        <v>22</v>
      </c>
    </row>
    <row r="304" spans="1:12" x14ac:dyDescent="0.25">
      <c r="A304" t="s">
        <v>466</v>
      </c>
      <c r="B304">
        <v>2</v>
      </c>
      <c r="C304">
        <v>0</v>
      </c>
      <c r="D304">
        <v>2</v>
      </c>
      <c r="E304">
        <v>1</v>
      </c>
      <c r="F304" t="s">
        <v>13</v>
      </c>
      <c r="G304" t="s">
        <v>14</v>
      </c>
      <c r="H304">
        <v>68</v>
      </c>
      <c r="I304" s="1">
        <v>43132</v>
      </c>
      <c r="J304" t="s">
        <v>15</v>
      </c>
      <c r="K304">
        <v>63</v>
      </c>
      <c r="L304" t="s">
        <v>16</v>
      </c>
    </row>
    <row r="305" spans="1:12" x14ac:dyDescent="0.25">
      <c r="A305" t="s">
        <v>467</v>
      </c>
      <c r="B305">
        <v>2</v>
      </c>
      <c r="C305">
        <v>0</v>
      </c>
      <c r="D305">
        <v>1</v>
      </c>
      <c r="E305">
        <v>2</v>
      </c>
      <c r="F305" t="s">
        <v>13</v>
      </c>
      <c r="G305" t="s">
        <v>32</v>
      </c>
      <c r="H305">
        <v>189</v>
      </c>
      <c r="I305" t="s">
        <v>375</v>
      </c>
      <c r="J305" t="s">
        <v>19</v>
      </c>
      <c r="K305">
        <v>109.8</v>
      </c>
      <c r="L305" t="s">
        <v>22</v>
      </c>
    </row>
    <row r="306" spans="1:12" x14ac:dyDescent="0.25">
      <c r="A306" t="s">
        <v>468</v>
      </c>
      <c r="B306">
        <v>2</v>
      </c>
      <c r="C306">
        <v>0</v>
      </c>
      <c r="D306">
        <v>1</v>
      </c>
      <c r="E306">
        <v>0</v>
      </c>
      <c r="F306" t="s">
        <v>13</v>
      </c>
      <c r="G306" t="s">
        <v>14</v>
      </c>
      <c r="H306">
        <v>10</v>
      </c>
      <c r="I306" t="s">
        <v>112</v>
      </c>
      <c r="J306" t="s">
        <v>19</v>
      </c>
      <c r="K306">
        <v>103</v>
      </c>
      <c r="L306" t="s">
        <v>16</v>
      </c>
    </row>
    <row r="307" spans="1:12" x14ac:dyDescent="0.25">
      <c r="A307" t="s">
        <v>469</v>
      </c>
      <c r="B307">
        <v>3</v>
      </c>
      <c r="C307">
        <v>0</v>
      </c>
      <c r="D307">
        <v>2</v>
      </c>
      <c r="E307">
        <v>1</v>
      </c>
      <c r="F307" t="s">
        <v>13</v>
      </c>
      <c r="G307" t="s">
        <v>32</v>
      </c>
      <c r="H307">
        <v>19</v>
      </c>
      <c r="I307" t="s">
        <v>470</v>
      </c>
      <c r="J307" t="s">
        <v>19</v>
      </c>
      <c r="K307">
        <v>130</v>
      </c>
      <c r="L307" t="s">
        <v>16</v>
      </c>
    </row>
    <row r="308" spans="1:12" x14ac:dyDescent="0.25">
      <c r="A308" t="s">
        <v>471</v>
      </c>
      <c r="B308">
        <v>2</v>
      </c>
      <c r="C308">
        <v>0</v>
      </c>
      <c r="D308">
        <v>0</v>
      </c>
      <c r="E308">
        <v>2</v>
      </c>
      <c r="F308" t="s">
        <v>13</v>
      </c>
      <c r="G308" t="s">
        <v>14</v>
      </c>
      <c r="H308">
        <v>61</v>
      </c>
      <c r="I308" t="s">
        <v>331</v>
      </c>
      <c r="J308" t="s">
        <v>19</v>
      </c>
      <c r="K308">
        <v>117</v>
      </c>
      <c r="L308" t="s">
        <v>22</v>
      </c>
    </row>
    <row r="309" spans="1:12" x14ac:dyDescent="0.25">
      <c r="A309" t="s">
        <v>472</v>
      </c>
      <c r="B309">
        <v>2</v>
      </c>
      <c r="C309">
        <v>0</v>
      </c>
      <c r="D309">
        <v>0</v>
      </c>
      <c r="E309">
        <v>4</v>
      </c>
      <c r="F309" t="s">
        <v>13</v>
      </c>
      <c r="G309" t="s">
        <v>32</v>
      </c>
      <c r="H309">
        <v>95</v>
      </c>
      <c r="I309" t="s">
        <v>100</v>
      </c>
      <c r="J309" t="s">
        <v>15</v>
      </c>
      <c r="K309">
        <v>60.5</v>
      </c>
      <c r="L309" t="s">
        <v>16</v>
      </c>
    </row>
    <row r="310" spans="1:12" x14ac:dyDescent="0.25">
      <c r="A310" t="s">
        <v>473</v>
      </c>
      <c r="B310">
        <v>2</v>
      </c>
      <c r="C310">
        <v>0</v>
      </c>
      <c r="D310">
        <v>0</v>
      </c>
      <c r="E310">
        <v>1</v>
      </c>
      <c r="F310" t="s">
        <v>27</v>
      </c>
      <c r="G310" t="s">
        <v>14</v>
      </c>
      <c r="H310">
        <v>83</v>
      </c>
      <c r="I310" t="s">
        <v>474</v>
      </c>
      <c r="J310" t="s">
        <v>15</v>
      </c>
      <c r="K310">
        <v>112.2</v>
      </c>
      <c r="L310" t="s">
        <v>16</v>
      </c>
    </row>
    <row r="311" spans="1:12" x14ac:dyDescent="0.25">
      <c r="A311" t="s">
        <v>475</v>
      </c>
      <c r="B311">
        <v>2</v>
      </c>
      <c r="C311">
        <v>0</v>
      </c>
      <c r="D311">
        <v>1</v>
      </c>
      <c r="E311">
        <v>3</v>
      </c>
      <c r="F311" t="s">
        <v>13</v>
      </c>
      <c r="G311" t="s">
        <v>14</v>
      </c>
      <c r="H311">
        <v>37</v>
      </c>
      <c r="I311" s="1">
        <v>43108</v>
      </c>
      <c r="J311" t="s">
        <v>19</v>
      </c>
      <c r="K311">
        <v>135.9</v>
      </c>
      <c r="L311" t="s">
        <v>22</v>
      </c>
    </row>
    <row r="312" spans="1:12" x14ac:dyDescent="0.25">
      <c r="A312" t="s">
        <v>476</v>
      </c>
      <c r="B312">
        <v>2</v>
      </c>
      <c r="C312">
        <v>0</v>
      </c>
      <c r="D312">
        <v>1</v>
      </c>
      <c r="E312">
        <v>0</v>
      </c>
      <c r="F312" t="s">
        <v>13</v>
      </c>
      <c r="G312" t="s">
        <v>14</v>
      </c>
      <c r="H312">
        <v>19</v>
      </c>
      <c r="I312" t="s">
        <v>243</v>
      </c>
      <c r="J312" t="s">
        <v>19</v>
      </c>
      <c r="K312">
        <v>151</v>
      </c>
      <c r="L312" t="s">
        <v>22</v>
      </c>
    </row>
    <row r="313" spans="1:12" x14ac:dyDescent="0.25">
      <c r="A313" t="s">
        <v>477</v>
      </c>
      <c r="B313">
        <v>2</v>
      </c>
      <c r="C313">
        <v>2</v>
      </c>
      <c r="D313">
        <v>0</v>
      </c>
      <c r="E313">
        <v>2</v>
      </c>
      <c r="F313" t="s">
        <v>13</v>
      </c>
      <c r="G313" t="s">
        <v>124</v>
      </c>
      <c r="H313">
        <v>22</v>
      </c>
      <c r="I313" t="s">
        <v>220</v>
      </c>
      <c r="J313" t="s">
        <v>19</v>
      </c>
      <c r="K313">
        <v>239</v>
      </c>
      <c r="L313" t="s">
        <v>16</v>
      </c>
    </row>
    <row r="314" spans="1:12" x14ac:dyDescent="0.25">
      <c r="A314" t="s">
        <v>478</v>
      </c>
      <c r="B314">
        <v>2</v>
      </c>
      <c r="C314">
        <v>0</v>
      </c>
      <c r="D314">
        <v>2</v>
      </c>
      <c r="E314">
        <v>1</v>
      </c>
      <c r="F314" t="s">
        <v>13</v>
      </c>
      <c r="G314" t="s">
        <v>14</v>
      </c>
      <c r="H314">
        <v>22</v>
      </c>
      <c r="I314" t="s">
        <v>479</v>
      </c>
      <c r="J314" t="s">
        <v>19</v>
      </c>
      <c r="K314">
        <v>59.09</v>
      </c>
      <c r="L314" t="s">
        <v>16</v>
      </c>
    </row>
    <row r="315" spans="1:12" x14ac:dyDescent="0.25">
      <c r="A315" t="s">
        <v>480</v>
      </c>
      <c r="B315">
        <v>2</v>
      </c>
      <c r="C315">
        <v>0</v>
      </c>
      <c r="D315">
        <v>2</v>
      </c>
      <c r="E315">
        <v>5</v>
      </c>
      <c r="F315" t="s">
        <v>13</v>
      </c>
      <c r="G315" t="s">
        <v>14</v>
      </c>
      <c r="H315">
        <v>151</v>
      </c>
      <c r="I315" s="1">
        <v>43350</v>
      </c>
      <c r="J315" t="s">
        <v>19</v>
      </c>
      <c r="K315">
        <v>103.09</v>
      </c>
      <c r="L315" t="s">
        <v>22</v>
      </c>
    </row>
    <row r="316" spans="1:12" x14ac:dyDescent="0.25">
      <c r="A316" t="s">
        <v>481</v>
      </c>
      <c r="B316">
        <v>2</v>
      </c>
      <c r="C316">
        <v>0</v>
      </c>
      <c r="D316">
        <v>2</v>
      </c>
      <c r="E316">
        <v>1</v>
      </c>
      <c r="F316" t="s">
        <v>13</v>
      </c>
      <c r="G316" t="s">
        <v>14</v>
      </c>
      <c r="H316">
        <v>26</v>
      </c>
      <c r="I316" t="s">
        <v>21</v>
      </c>
      <c r="J316" t="s">
        <v>15</v>
      </c>
      <c r="K316">
        <v>87</v>
      </c>
      <c r="L316" t="s">
        <v>16</v>
      </c>
    </row>
    <row r="317" spans="1:12" x14ac:dyDescent="0.25">
      <c r="A317" t="s">
        <v>482</v>
      </c>
      <c r="B317">
        <v>3</v>
      </c>
      <c r="C317">
        <v>0</v>
      </c>
      <c r="D317">
        <v>1</v>
      </c>
      <c r="E317">
        <v>0</v>
      </c>
      <c r="F317" t="s">
        <v>13</v>
      </c>
      <c r="G317" t="s">
        <v>32</v>
      </c>
      <c r="H317">
        <v>27</v>
      </c>
      <c r="I317" t="s">
        <v>278</v>
      </c>
      <c r="J317" t="s">
        <v>19</v>
      </c>
      <c r="K317">
        <v>137</v>
      </c>
      <c r="L317" t="s">
        <v>22</v>
      </c>
    </row>
    <row r="318" spans="1:12" x14ac:dyDescent="0.25">
      <c r="A318" t="s">
        <v>483</v>
      </c>
      <c r="B318">
        <v>2</v>
      </c>
      <c r="C318">
        <v>0</v>
      </c>
      <c r="D318">
        <v>0</v>
      </c>
      <c r="E318">
        <v>2</v>
      </c>
      <c r="F318" t="s">
        <v>27</v>
      </c>
      <c r="G318" t="s">
        <v>14</v>
      </c>
      <c r="H318">
        <v>79</v>
      </c>
      <c r="I318" t="s">
        <v>127</v>
      </c>
      <c r="J318" t="s">
        <v>15</v>
      </c>
      <c r="K318">
        <v>109</v>
      </c>
      <c r="L318" t="s">
        <v>16</v>
      </c>
    </row>
    <row r="319" spans="1:12" x14ac:dyDescent="0.25">
      <c r="A319" t="s">
        <v>484</v>
      </c>
      <c r="B319">
        <v>2</v>
      </c>
      <c r="C319">
        <v>0</v>
      </c>
      <c r="D319">
        <v>1</v>
      </c>
      <c r="E319">
        <v>1</v>
      </c>
      <c r="F319" t="s">
        <v>27</v>
      </c>
      <c r="G319" t="s">
        <v>14</v>
      </c>
      <c r="H319">
        <v>247</v>
      </c>
      <c r="I319" s="1">
        <v>43257</v>
      </c>
      <c r="J319" t="s">
        <v>19</v>
      </c>
      <c r="K319">
        <v>115</v>
      </c>
      <c r="L319" t="s">
        <v>22</v>
      </c>
    </row>
    <row r="320" spans="1:12" x14ac:dyDescent="0.25">
      <c r="A320" t="s">
        <v>485</v>
      </c>
      <c r="B320">
        <v>2</v>
      </c>
      <c r="C320">
        <v>0</v>
      </c>
      <c r="D320">
        <v>2</v>
      </c>
      <c r="E320">
        <v>3</v>
      </c>
      <c r="F320" t="s">
        <v>13</v>
      </c>
      <c r="G320" t="s">
        <v>32</v>
      </c>
      <c r="H320">
        <v>189</v>
      </c>
      <c r="I320" t="s">
        <v>486</v>
      </c>
      <c r="J320" t="s">
        <v>19</v>
      </c>
      <c r="K320">
        <v>99.45</v>
      </c>
      <c r="L320" t="s">
        <v>16</v>
      </c>
    </row>
    <row r="321" spans="1:12" x14ac:dyDescent="0.25">
      <c r="A321" t="s">
        <v>487</v>
      </c>
      <c r="B321">
        <v>2</v>
      </c>
      <c r="C321">
        <v>0</v>
      </c>
      <c r="D321">
        <v>0</v>
      </c>
      <c r="E321">
        <v>2</v>
      </c>
      <c r="F321" t="s">
        <v>27</v>
      </c>
      <c r="G321" t="s">
        <v>14</v>
      </c>
      <c r="H321">
        <v>320</v>
      </c>
      <c r="I321" t="s">
        <v>179</v>
      </c>
      <c r="J321" t="s">
        <v>19</v>
      </c>
      <c r="K321">
        <v>115</v>
      </c>
      <c r="L321" t="s">
        <v>22</v>
      </c>
    </row>
    <row r="322" spans="1:12" x14ac:dyDescent="0.25">
      <c r="A322" t="s">
        <v>488</v>
      </c>
      <c r="B322">
        <v>3</v>
      </c>
      <c r="C322">
        <v>0</v>
      </c>
      <c r="D322">
        <v>1</v>
      </c>
      <c r="E322">
        <v>2</v>
      </c>
      <c r="F322" t="s">
        <v>13</v>
      </c>
      <c r="G322" t="s">
        <v>32</v>
      </c>
      <c r="H322">
        <v>27</v>
      </c>
      <c r="I322" t="s">
        <v>489</v>
      </c>
      <c r="J322" t="s">
        <v>19</v>
      </c>
      <c r="K322">
        <v>130</v>
      </c>
      <c r="L322" t="s">
        <v>16</v>
      </c>
    </row>
    <row r="323" spans="1:12" x14ac:dyDescent="0.25">
      <c r="A323" t="s">
        <v>490</v>
      </c>
      <c r="B323">
        <v>1</v>
      </c>
      <c r="C323">
        <v>0</v>
      </c>
      <c r="D323">
        <v>1</v>
      </c>
      <c r="E323">
        <v>0</v>
      </c>
      <c r="F323" t="s">
        <v>13</v>
      </c>
      <c r="G323" t="s">
        <v>14</v>
      </c>
      <c r="H323">
        <v>51</v>
      </c>
      <c r="I323" t="s">
        <v>62</v>
      </c>
      <c r="J323" t="s">
        <v>56</v>
      </c>
      <c r="K323">
        <v>65</v>
      </c>
      <c r="L323" t="s">
        <v>16</v>
      </c>
    </row>
    <row r="324" spans="1:12" x14ac:dyDescent="0.25">
      <c r="A324" t="s">
        <v>491</v>
      </c>
      <c r="B324">
        <v>2</v>
      </c>
      <c r="C324">
        <v>0</v>
      </c>
      <c r="D324">
        <v>0</v>
      </c>
      <c r="E324">
        <v>2</v>
      </c>
      <c r="F324" t="s">
        <v>13</v>
      </c>
      <c r="G324" t="s">
        <v>14</v>
      </c>
      <c r="H324">
        <v>245</v>
      </c>
      <c r="I324" t="s">
        <v>249</v>
      </c>
      <c r="J324" t="s">
        <v>19</v>
      </c>
      <c r="K324">
        <v>75</v>
      </c>
      <c r="L324" t="s">
        <v>22</v>
      </c>
    </row>
    <row r="325" spans="1:12" x14ac:dyDescent="0.25">
      <c r="A325" t="s">
        <v>492</v>
      </c>
      <c r="B325">
        <v>2</v>
      </c>
      <c r="C325">
        <v>1</v>
      </c>
      <c r="D325">
        <v>1</v>
      </c>
      <c r="E325">
        <v>2</v>
      </c>
      <c r="F325" t="s">
        <v>13</v>
      </c>
      <c r="G325" t="s">
        <v>14</v>
      </c>
      <c r="H325">
        <v>52</v>
      </c>
      <c r="I325" s="1">
        <v>43319</v>
      </c>
      <c r="J325" t="s">
        <v>19</v>
      </c>
      <c r="K325">
        <v>132.9</v>
      </c>
      <c r="L325" t="s">
        <v>22</v>
      </c>
    </row>
    <row r="326" spans="1:12" x14ac:dyDescent="0.25">
      <c r="A326" t="s">
        <v>493</v>
      </c>
      <c r="B326">
        <v>1</v>
      </c>
      <c r="C326">
        <v>0</v>
      </c>
      <c r="D326">
        <v>2</v>
      </c>
      <c r="E326">
        <v>0</v>
      </c>
      <c r="F326" t="s">
        <v>13</v>
      </c>
      <c r="G326" t="s">
        <v>14</v>
      </c>
      <c r="H326">
        <v>13</v>
      </c>
      <c r="I326" t="s">
        <v>377</v>
      </c>
      <c r="J326" t="s">
        <v>19</v>
      </c>
      <c r="K326">
        <v>120</v>
      </c>
      <c r="L326" t="s">
        <v>16</v>
      </c>
    </row>
    <row r="327" spans="1:12" x14ac:dyDescent="0.25">
      <c r="A327" t="s">
        <v>494</v>
      </c>
      <c r="B327">
        <v>2</v>
      </c>
      <c r="C327">
        <v>0</v>
      </c>
      <c r="D327">
        <v>0</v>
      </c>
      <c r="E327">
        <v>2</v>
      </c>
      <c r="F327" t="s">
        <v>18</v>
      </c>
      <c r="G327" t="s">
        <v>14</v>
      </c>
      <c r="H327">
        <v>46</v>
      </c>
      <c r="I327" s="1">
        <v>43415</v>
      </c>
      <c r="J327" t="s">
        <v>19</v>
      </c>
      <c r="K327">
        <v>79.2</v>
      </c>
      <c r="L327" t="s">
        <v>22</v>
      </c>
    </row>
    <row r="328" spans="1:12" x14ac:dyDescent="0.25">
      <c r="A328" t="s">
        <v>495</v>
      </c>
      <c r="B328">
        <v>3</v>
      </c>
      <c r="C328">
        <v>0</v>
      </c>
      <c r="D328">
        <v>2</v>
      </c>
      <c r="E328">
        <v>1</v>
      </c>
      <c r="F328" t="s">
        <v>13</v>
      </c>
      <c r="G328" t="s">
        <v>32</v>
      </c>
      <c r="H328">
        <v>84</v>
      </c>
      <c r="I328" t="s">
        <v>430</v>
      </c>
      <c r="J328" t="s">
        <v>19</v>
      </c>
      <c r="K328">
        <v>159.30000000000001</v>
      </c>
      <c r="L328" t="s">
        <v>22</v>
      </c>
    </row>
    <row r="329" spans="1:12" x14ac:dyDescent="0.25">
      <c r="A329" t="s">
        <v>496</v>
      </c>
      <c r="B329">
        <v>1</v>
      </c>
      <c r="C329">
        <v>0</v>
      </c>
      <c r="D329">
        <v>0</v>
      </c>
      <c r="E329">
        <v>2</v>
      </c>
      <c r="F329" t="s">
        <v>13</v>
      </c>
      <c r="G329" t="s">
        <v>14</v>
      </c>
      <c r="H329">
        <v>188</v>
      </c>
      <c r="I329" t="s">
        <v>47</v>
      </c>
      <c r="J329" t="s">
        <v>19</v>
      </c>
      <c r="K329">
        <v>130</v>
      </c>
      <c r="L329" t="s">
        <v>22</v>
      </c>
    </row>
    <row r="330" spans="1:12" x14ac:dyDescent="0.25">
      <c r="A330" t="s">
        <v>497</v>
      </c>
      <c r="B330">
        <v>2</v>
      </c>
      <c r="C330">
        <v>0</v>
      </c>
      <c r="D330">
        <v>0</v>
      </c>
      <c r="E330">
        <v>3</v>
      </c>
      <c r="F330" t="s">
        <v>13</v>
      </c>
      <c r="G330" t="s">
        <v>14</v>
      </c>
      <c r="H330">
        <v>19</v>
      </c>
      <c r="I330" s="1">
        <v>42896</v>
      </c>
      <c r="J330" t="s">
        <v>15</v>
      </c>
      <c r="K330">
        <v>90</v>
      </c>
      <c r="L330" t="s">
        <v>16</v>
      </c>
    </row>
    <row r="331" spans="1:12" x14ac:dyDescent="0.25">
      <c r="A331" t="s">
        <v>498</v>
      </c>
      <c r="B331">
        <v>2</v>
      </c>
      <c r="C331">
        <v>0</v>
      </c>
      <c r="D331">
        <v>0</v>
      </c>
      <c r="E331">
        <v>2</v>
      </c>
      <c r="F331" t="s">
        <v>13</v>
      </c>
      <c r="G331" t="s">
        <v>32</v>
      </c>
      <c r="H331">
        <v>67</v>
      </c>
      <c r="I331" t="s">
        <v>368</v>
      </c>
      <c r="J331" t="s">
        <v>19</v>
      </c>
      <c r="K331">
        <v>140.4</v>
      </c>
      <c r="L331" t="s">
        <v>16</v>
      </c>
    </row>
    <row r="332" spans="1:12" x14ac:dyDescent="0.25">
      <c r="A332" t="s">
        <v>499</v>
      </c>
      <c r="B332">
        <v>2</v>
      </c>
      <c r="C332">
        <v>0</v>
      </c>
      <c r="D332">
        <v>0</v>
      </c>
      <c r="E332">
        <v>1</v>
      </c>
      <c r="F332" t="s">
        <v>13</v>
      </c>
      <c r="G332" t="s">
        <v>14</v>
      </c>
      <c r="H332">
        <v>0</v>
      </c>
      <c r="I332" s="1">
        <v>43047</v>
      </c>
      <c r="J332" t="s">
        <v>19</v>
      </c>
      <c r="K332">
        <v>75</v>
      </c>
      <c r="L332" t="s">
        <v>16</v>
      </c>
    </row>
    <row r="333" spans="1:12" x14ac:dyDescent="0.25">
      <c r="A333" t="s">
        <v>500</v>
      </c>
      <c r="B333">
        <v>2</v>
      </c>
      <c r="C333">
        <v>0</v>
      </c>
      <c r="D333">
        <v>0</v>
      </c>
      <c r="E333">
        <v>2</v>
      </c>
      <c r="F333" t="s">
        <v>27</v>
      </c>
      <c r="G333" t="s">
        <v>14</v>
      </c>
      <c r="H333">
        <v>273</v>
      </c>
      <c r="I333" t="s">
        <v>266</v>
      </c>
      <c r="J333" t="s">
        <v>19</v>
      </c>
      <c r="K333">
        <v>109</v>
      </c>
      <c r="L333" t="s">
        <v>22</v>
      </c>
    </row>
    <row r="334" spans="1:12" x14ac:dyDescent="0.25">
      <c r="A334" t="s">
        <v>501</v>
      </c>
      <c r="B334">
        <v>2</v>
      </c>
      <c r="C334">
        <v>0</v>
      </c>
      <c r="D334">
        <v>2</v>
      </c>
      <c r="E334">
        <v>1</v>
      </c>
      <c r="F334" t="s">
        <v>27</v>
      </c>
      <c r="G334" t="s">
        <v>14</v>
      </c>
      <c r="H334">
        <v>110</v>
      </c>
      <c r="I334" t="s">
        <v>502</v>
      </c>
      <c r="J334" t="s">
        <v>19</v>
      </c>
      <c r="K334">
        <v>94.5</v>
      </c>
      <c r="L334" t="s">
        <v>22</v>
      </c>
    </row>
    <row r="335" spans="1:12" x14ac:dyDescent="0.25">
      <c r="A335" t="s">
        <v>503</v>
      </c>
      <c r="B335">
        <v>1</v>
      </c>
      <c r="C335">
        <v>0</v>
      </c>
      <c r="D335">
        <v>0</v>
      </c>
      <c r="E335">
        <v>1</v>
      </c>
      <c r="F335" t="s">
        <v>13</v>
      </c>
      <c r="G335" t="s">
        <v>14</v>
      </c>
      <c r="H335">
        <v>0</v>
      </c>
      <c r="I335" t="s">
        <v>504</v>
      </c>
      <c r="J335" t="s">
        <v>56</v>
      </c>
      <c r="K335">
        <v>75</v>
      </c>
      <c r="L335" t="s">
        <v>16</v>
      </c>
    </row>
    <row r="336" spans="1:12" x14ac:dyDescent="0.25">
      <c r="A336" t="s">
        <v>505</v>
      </c>
      <c r="B336">
        <v>2</v>
      </c>
      <c r="C336">
        <v>0</v>
      </c>
      <c r="D336">
        <v>1</v>
      </c>
      <c r="E336">
        <v>2</v>
      </c>
      <c r="F336" t="s">
        <v>13</v>
      </c>
      <c r="G336" t="s">
        <v>32</v>
      </c>
      <c r="H336">
        <v>32</v>
      </c>
      <c r="I336" t="s">
        <v>506</v>
      </c>
      <c r="J336" t="s">
        <v>15</v>
      </c>
      <c r="K336">
        <v>75</v>
      </c>
      <c r="L336" t="s">
        <v>16</v>
      </c>
    </row>
    <row r="337" spans="1:12" x14ac:dyDescent="0.25">
      <c r="A337" t="s">
        <v>507</v>
      </c>
      <c r="B337">
        <v>2</v>
      </c>
      <c r="C337">
        <v>0</v>
      </c>
      <c r="D337">
        <v>2</v>
      </c>
      <c r="E337">
        <v>1</v>
      </c>
      <c r="F337" t="s">
        <v>13</v>
      </c>
      <c r="G337" t="s">
        <v>14</v>
      </c>
      <c r="H337">
        <v>282</v>
      </c>
      <c r="I337" s="1">
        <v>43018</v>
      </c>
      <c r="J337" t="s">
        <v>15</v>
      </c>
      <c r="K337">
        <v>76.67</v>
      </c>
      <c r="L337" t="s">
        <v>16</v>
      </c>
    </row>
    <row r="338" spans="1:12" x14ac:dyDescent="0.25">
      <c r="A338" t="s">
        <v>508</v>
      </c>
      <c r="B338">
        <v>2</v>
      </c>
      <c r="C338">
        <v>0</v>
      </c>
      <c r="D338">
        <v>2</v>
      </c>
      <c r="E338">
        <v>2</v>
      </c>
      <c r="F338" t="s">
        <v>13</v>
      </c>
      <c r="G338" t="s">
        <v>14</v>
      </c>
      <c r="H338">
        <v>38</v>
      </c>
      <c r="I338" s="1">
        <v>43141</v>
      </c>
      <c r="J338" t="s">
        <v>19</v>
      </c>
      <c r="K338">
        <v>126</v>
      </c>
      <c r="L338" t="s">
        <v>16</v>
      </c>
    </row>
    <row r="339" spans="1:12" x14ac:dyDescent="0.25">
      <c r="A339" t="s">
        <v>509</v>
      </c>
      <c r="B339">
        <v>2</v>
      </c>
      <c r="C339">
        <v>0</v>
      </c>
      <c r="D339">
        <v>1</v>
      </c>
      <c r="E339">
        <v>1</v>
      </c>
      <c r="F339" t="s">
        <v>18</v>
      </c>
      <c r="G339" t="s">
        <v>14</v>
      </c>
      <c r="H339">
        <v>175</v>
      </c>
      <c r="I339" t="s">
        <v>413</v>
      </c>
      <c r="J339" t="s">
        <v>19</v>
      </c>
      <c r="K339">
        <v>85.5</v>
      </c>
      <c r="L339" t="s">
        <v>16</v>
      </c>
    </row>
    <row r="340" spans="1:12" x14ac:dyDescent="0.25">
      <c r="A340" t="s">
        <v>510</v>
      </c>
      <c r="B340">
        <v>2</v>
      </c>
      <c r="C340">
        <v>0</v>
      </c>
      <c r="D340">
        <v>0</v>
      </c>
      <c r="E340">
        <v>3</v>
      </c>
      <c r="F340" t="s">
        <v>13</v>
      </c>
      <c r="G340" t="s">
        <v>32</v>
      </c>
      <c r="H340">
        <v>143</v>
      </c>
      <c r="I340" t="s">
        <v>179</v>
      </c>
      <c r="J340" t="s">
        <v>19</v>
      </c>
      <c r="K340">
        <v>140.69999999999999</v>
      </c>
      <c r="L340" t="s">
        <v>22</v>
      </c>
    </row>
    <row r="341" spans="1:12" x14ac:dyDescent="0.25">
      <c r="A341" t="s">
        <v>511</v>
      </c>
      <c r="B341">
        <v>2</v>
      </c>
      <c r="C341">
        <v>0</v>
      </c>
      <c r="D341">
        <v>2</v>
      </c>
      <c r="E341">
        <v>2</v>
      </c>
      <c r="F341" t="s">
        <v>13</v>
      </c>
      <c r="G341" t="s">
        <v>32</v>
      </c>
      <c r="H341">
        <v>127</v>
      </c>
      <c r="I341" t="s">
        <v>209</v>
      </c>
      <c r="J341" t="s">
        <v>19</v>
      </c>
      <c r="K341">
        <v>103.7</v>
      </c>
      <c r="L341" t="s">
        <v>16</v>
      </c>
    </row>
    <row r="342" spans="1:12" x14ac:dyDescent="0.25">
      <c r="A342" t="s">
        <v>512</v>
      </c>
      <c r="B342">
        <v>1</v>
      </c>
      <c r="C342">
        <v>0</v>
      </c>
      <c r="D342">
        <v>0</v>
      </c>
      <c r="E342">
        <v>1</v>
      </c>
      <c r="F342" t="s">
        <v>13</v>
      </c>
      <c r="G342" t="s">
        <v>14</v>
      </c>
      <c r="H342">
        <v>0</v>
      </c>
      <c r="I342" s="1">
        <v>42956</v>
      </c>
      <c r="J342" t="s">
        <v>19</v>
      </c>
      <c r="K342">
        <v>142</v>
      </c>
      <c r="L342" t="s">
        <v>16</v>
      </c>
    </row>
    <row r="343" spans="1:12" x14ac:dyDescent="0.25">
      <c r="A343" t="s">
        <v>513</v>
      </c>
      <c r="B343">
        <v>2</v>
      </c>
      <c r="C343">
        <v>1</v>
      </c>
      <c r="D343">
        <v>2</v>
      </c>
      <c r="E343">
        <v>5</v>
      </c>
      <c r="F343" t="s">
        <v>13</v>
      </c>
      <c r="G343" t="s">
        <v>14</v>
      </c>
      <c r="H343">
        <v>95</v>
      </c>
      <c r="I343" t="s">
        <v>514</v>
      </c>
      <c r="J343" t="s">
        <v>19</v>
      </c>
      <c r="K343">
        <v>103.7</v>
      </c>
      <c r="L343" t="s">
        <v>16</v>
      </c>
    </row>
    <row r="344" spans="1:12" x14ac:dyDescent="0.25">
      <c r="A344" t="s">
        <v>515</v>
      </c>
      <c r="B344">
        <v>1</v>
      </c>
      <c r="C344">
        <v>0</v>
      </c>
      <c r="D344">
        <v>1</v>
      </c>
      <c r="E344">
        <v>2</v>
      </c>
      <c r="F344" t="s">
        <v>13</v>
      </c>
      <c r="G344" t="s">
        <v>14</v>
      </c>
      <c r="H344">
        <v>118</v>
      </c>
      <c r="I344" s="1">
        <v>43257</v>
      </c>
      <c r="J344" t="s">
        <v>15</v>
      </c>
      <c r="K344">
        <v>110</v>
      </c>
      <c r="L344" t="s">
        <v>16</v>
      </c>
    </row>
    <row r="345" spans="1:12" x14ac:dyDescent="0.25">
      <c r="A345" t="s">
        <v>516</v>
      </c>
      <c r="B345">
        <v>2</v>
      </c>
      <c r="C345">
        <v>0</v>
      </c>
      <c r="D345">
        <v>0</v>
      </c>
      <c r="E345">
        <v>3</v>
      </c>
      <c r="F345" t="s">
        <v>13</v>
      </c>
      <c r="G345" t="s">
        <v>14</v>
      </c>
      <c r="H345">
        <v>45</v>
      </c>
      <c r="I345" s="1">
        <v>43384</v>
      </c>
      <c r="J345" t="s">
        <v>15</v>
      </c>
      <c r="K345">
        <v>75</v>
      </c>
      <c r="L345" t="s">
        <v>16</v>
      </c>
    </row>
    <row r="346" spans="1:12" x14ac:dyDescent="0.25">
      <c r="A346" t="s">
        <v>517</v>
      </c>
      <c r="B346">
        <v>3</v>
      </c>
      <c r="C346">
        <v>0</v>
      </c>
      <c r="D346">
        <v>1</v>
      </c>
      <c r="E346">
        <v>1</v>
      </c>
      <c r="F346" t="s">
        <v>13</v>
      </c>
      <c r="G346" t="s">
        <v>32</v>
      </c>
      <c r="H346">
        <v>69</v>
      </c>
      <c r="I346" t="s">
        <v>243</v>
      </c>
      <c r="J346" t="s">
        <v>19</v>
      </c>
      <c r="K346">
        <v>137.69999999999999</v>
      </c>
      <c r="L346" t="s">
        <v>16</v>
      </c>
    </row>
    <row r="347" spans="1:12" x14ac:dyDescent="0.25">
      <c r="A347" t="s">
        <v>518</v>
      </c>
      <c r="B347">
        <v>2</v>
      </c>
      <c r="C347">
        <v>0</v>
      </c>
      <c r="D347">
        <v>0</v>
      </c>
      <c r="E347">
        <v>1</v>
      </c>
      <c r="F347" t="s">
        <v>18</v>
      </c>
      <c r="G347" t="s">
        <v>14</v>
      </c>
      <c r="H347">
        <v>57</v>
      </c>
      <c r="I347" s="1">
        <v>43290</v>
      </c>
      <c r="J347" t="s">
        <v>19</v>
      </c>
      <c r="K347">
        <v>87.3</v>
      </c>
      <c r="L347" t="s">
        <v>16</v>
      </c>
    </row>
    <row r="348" spans="1:12" x14ac:dyDescent="0.25">
      <c r="A348" t="s">
        <v>519</v>
      </c>
      <c r="B348">
        <v>1</v>
      </c>
      <c r="C348">
        <v>0</v>
      </c>
      <c r="D348">
        <v>0</v>
      </c>
      <c r="E348">
        <v>2</v>
      </c>
      <c r="F348" t="s">
        <v>13</v>
      </c>
      <c r="G348" t="s">
        <v>14</v>
      </c>
      <c r="H348">
        <v>5</v>
      </c>
      <c r="I348" t="s">
        <v>335</v>
      </c>
      <c r="J348" t="s">
        <v>129</v>
      </c>
      <c r="K348">
        <v>0</v>
      </c>
      <c r="L348" t="s">
        <v>16</v>
      </c>
    </row>
    <row r="349" spans="1:12" x14ac:dyDescent="0.25">
      <c r="A349" t="s">
        <v>520</v>
      </c>
      <c r="B349">
        <v>2</v>
      </c>
      <c r="C349">
        <v>0</v>
      </c>
      <c r="D349">
        <v>0</v>
      </c>
      <c r="E349">
        <v>2</v>
      </c>
      <c r="F349" t="s">
        <v>27</v>
      </c>
      <c r="G349" t="s">
        <v>14</v>
      </c>
      <c r="H349">
        <v>39</v>
      </c>
      <c r="I349" t="s">
        <v>380</v>
      </c>
      <c r="J349" t="s">
        <v>15</v>
      </c>
      <c r="K349">
        <v>101.5</v>
      </c>
      <c r="L349" t="s">
        <v>16</v>
      </c>
    </row>
    <row r="350" spans="1:12" x14ac:dyDescent="0.25">
      <c r="A350" t="s">
        <v>521</v>
      </c>
      <c r="B350">
        <v>2</v>
      </c>
      <c r="C350">
        <v>0</v>
      </c>
      <c r="D350">
        <v>0</v>
      </c>
      <c r="E350">
        <v>1</v>
      </c>
      <c r="F350" t="s">
        <v>13</v>
      </c>
      <c r="G350" t="s">
        <v>14</v>
      </c>
      <c r="H350">
        <v>0</v>
      </c>
      <c r="I350" t="s">
        <v>522</v>
      </c>
      <c r="J350" t="s">
        <v>19</v>
      </c>
      <c r="K350">
        <v>97</v>
      </c>
      <c r="L350" t="s">
        <v>16</v>
      </c>
    </row>
    <row r="351" spans="1:12" x14ac:dyDescent="0.25">
      <c r="A351" t="s">
        <v>523</v>
      </c>
      <c r="B351">
        <v>3</v>
      </c>
      <c r="C351">
        <v>0</v>
      </c>
      <c r="D351">
        <v>1</v>
      </c>
      <c r="E351">
        <v>1</v>
      </c>
      <c r="F351" t="s">
        <v>13</v>
      </c>
      <c r="G351" t="s">
        <v>32</v>
      </c>
      <c r="H351">
        <v>89</v>
      </c>
      <c r="I351" t="s">
        <v>317</v>
      </c>
      <c r="J351" t="s">
        <v>19</v>
      </c>
      <c r="K351">
        <v>150.30000000000001</v>
      </c>
      <c r="L351" t="s">
        <v>16</v>
      </c>
    </row>
    <row r="352" spans="1:12" x14ac:dyDescent="0.25">
      <c r="A352" t="s">
        <v>524</v>
      </c>
      <c r="B352">
        <v>2</v>
      </c>
      <c r="C352">
        <v>0</v>
      </c>
      <c r="D352">
        <v>0</v>
      </c>
      <c r="E352">
        <v>4</v>
      </c>
      <c r="F352" t="s">
        <v>13</v>
      </c>
      <c r="G352" t="s">
        <v>14</v>
      </c>
      <c r="H352">
        <v>85</v>
      </c>
      <c r="I352" t="s">
        <v>155</v>
      </c>
      <c r="J352" t="s">
        <v>19</v>
      </c>
      <c r="K352">
        <v>82.45</v>
      </c>
      <c r="L352" t="s">
        <v>16</v>
      </c>
    </row>
    <row r="353" spans="1:12" x14ac:dyDescent="0.25">
      <c r="A353" t="s">
        <v>525</v>
      </c>
      <c r="B353">
        <v>1</v>
      </c>
      <c r="C353">
        <v>0</v>
      </c>
      <c r="D353">
        <v>0</v>
      </c>
      <c r="E353">
        <v>1</v>
      </c>
      <c r="F353" t="s">
        <v>13</v>
      </c>
      <c r="G353" t="s">
        <v>32</v>
      </c>
      <c r="H353">
        <v>4</v>
      </c>
      <c r="I353" s="1">
        <v>43107</v>
      </c>
      <c r="J353" t="s">
        <v>56</v>
      </c>
      <c r="K353">
        <v>103</v>
      </c>
      <c r="L353" t="s">
        <v>16</v>
      </c>
    </row>
    <row r="354" spans="1:12" x14ac:dyDescent="0.25">
      <c r="A354" t="s">
        <v>526</v>
      </c>
      <c r="B354">
        <v>1</v>
      </c>
      <c r="C354">
        <v>0</v>
      </c>
      <c r="D354">
        <v>2</v>
      </c>
      <c r="E354">
        <v>6</v>
      </c>
      <c r="F354" t="s">
        <v>13</v>
      </c>
      <c r="G354" t="s">
        <v>14</v>
      </c>
      <c r="H354">
        <v>11</v>
      </c>
      <c r="I354" s="1">
        <v>43227</v>
      </c>
      <c r="J354" t="s">
        <v>19</v>
      </c>
      <c r="K354">
        <v>145</v>
      </c>
      <c r="L354" t="s">
        <v>22</v>
      </c>
    </row>
    <row r="355" spans="1:12" x14ac:dyDescent="0.25">
      <c r="A355" t="s">
        <v>527</v>
      </c>
      <c r="B355">
        <v>1</v>
      </c>
      <c r="C355">
        <v>0</v>
      </c>
      <c r="D355">
        <v>1</v>
      </c>
      <c r="E355">
        <v>1</v>
      </c>
      <c r="F355" t="s">
        <v>13</v>
      </c>
      <c r="G355" t="s">
        <v>14</v>
      </c>
      <c r="H355">
        <v>12</v>
      </c>
      <c r="I355" s="1">
        <v>43411</v>
      </c>
      <c r="J355" t="s">
        <v>19</v>
      </c>
      <c r="K355">
        <v>145</v>
      </c>
      <c r="L355" t="s">
        <v>16</v>
      </c>
    </row>
    <row r="356" spans="1:12" x14ac:dyDescent="0.25">
      <c r="A356" t="s">
        <v>528</v>
      </c>
      <c r="B356">
        <v>2</v>
      </c>
      <c r="C356">
        <v>0</v>
      </c>
      <c r="D356">
        <v>2</v>
      </c>
      <c r="E356">
        <v>2</v>
      </c>
      <c r="F356" t="s">
        <v>13</v>
      </c>
      <c r="G356" t="s">
        <v>32</v>
      </c>
      <c r="H356">
        <v>77</v>
      </c>
      <c r="I356" t="s">
        <v>529</v>
      </c>
      <c r="J356" t="s">
        <v>19</v>
      </c>
      <c r="K356">
        <v>134.85</v>
      </c>
      <c r="L356" t="s">
        <v>16</v>
      </c>
    </row>
    <row r="357" spans="1:12" x14ac:dyDescent="0.25">
      <c r="A357" t="s">
        <v>530</v>
      </c>
      <c r="B357">
        <v>2</v>
      </c>
      <c r="C357">
        <v>1</v>
      </c>
      <c r="D357">
        <v>1</v>
      </c>
      <c r="E357">
        <v>1</v>
      </c>
      <c r="F357" t="s">
        <v>13</v>
      </c>
      <c r="G357" t="s">
        <v>124</v>
      </c>
      <c r="H357">
        <v>14</v>
      </c>
      <c r="I357" t="s">
        <v>531</v>
      </c>
      <c r="J357" t="s">
        <v>19</v>
      </c>
      <c r="K357">
        <v>168.25</v>
      </c>
      <c r="L357" t="s">
        <v>16</v>
      </c>
    </row>
    <row r="358" spans="1:12" x14ac:dyDescent="0.25">
      <c r="A358" t="s">
        <v>532</v>
      </c>
      <c r="B358">
        <v>1</v>
      </c>
      <c r="C358">
        <v>0</v>
      </c>
      <c r="D358">
        <v>2</v>
      </c>
      <c r="E358">
        <v>1</v>
      </c>
      <c r="F358" t="s">
        <v>13</v>
      </c>
      <c r="G358" t="s">
        <v>14</v>
      </c>
      <c r="H358">
        <v>1</v>
      </c>
      <c r="I358" t="s">
        <v>21</v>
      </c>
      <c r="J358" t="s">
        <v>19</v>
      </c>
      <c r="K358">
        <v>60</v>
      </c>
      <c r="L358" t="s">
        <v>22</v>
      </c>
    </row>
    <row r="359" spans="1:12" x14ac:dyDescent="0.25">
      <c r="A359" t="s">
        <v>533</v>
      </c>
      <c r="B359">
        <v>2</v>
      </c>
      <c r="C359">
        <v>0</v>
      </c>
      <c r="D359">
        <v>1</v>
      </c>
      <c r="E359">
        <v>3</v>
      </c>
      <c r="F359" t="s">
        <v>13</v>
      </c>
      <c r="G359" t="s">
        <v>14</v>
      </c>
      <c r="H359">
        <v>133</v>
      </c>
      <c r="I359" t="s">
        <v>115</v>
      </c>
      <c r="J359" t="s">
        <v>15</v>
      </c>
      <c r="K359">
        <v>76</v>
      </c>
      <c r="L359" t="s">
        <v>16</v>
      </c>
    </row>
    <row r="360" spans="1:12" x14ac:dyDescent="0.25">
      <c r="A360" t="s">
        <v>534</v>
      </c>
      <c r="B360">
        <v>2</v>
      </c>
      <c r="C360">
        <v>0</v>
      </c>
      <c r="D360">
        <v>1</v>
      </c>
      <c r="E360">
        <v>2</v>
      </c>
      <c r="F360" t="s">
        <v>13</v>
      </c>
      <c r="G360" t="s">
        <v>14</v>
      </c>
      <c r="H360">
        <v>3</v>
      </c>
      <c r="I360" s="1">
        <v>43016</v>
      </c>
      <c r="J360" t="s">
        <v>15</v>
      </c>
      <c r="K360">
        <v>63.5</v>
      </c>
      <c r="L360" t="s">
        <v>16</v>
      </c>
    </row>
    <row r="361" spans="1:12" x14ac:dyDescent="0.25">
      <c r="A361" t="s">
        <v>535</v>
      </c>
      <c r="B361">
        <v>2</v>
      </c>
      <c r="C361">
        <v>0</v>
      </c>
      <c r="D361">
        <v>2</v>
      </c>
      <c r="E361">
        <v>0</v>
      </c>
      <c r="F361" t="s">
        <v>13</v>
      </c>
      <c r="G361" t="s">
        <v>14</v>
      </c>
      <c r="H361">
        <v>19</v>
      </c>
      <c r="I361" t="s">
        <v>536</v>
      </c>
      <c r="J361" t="s">
        <v>15</v>
      </c>
      <c r="K361">
        <v>95</v>
      </c>
      <c r="L361" t="s">
        <v>16</v>
      </c>
    </row>
    <row r="362" spans="1:12" x14ac:dyDescent="0.25">
      <c r="A362" t="s">
        <v>537</v>
      </c>
      <c r="B362">
        <v>2</v>
      </c>
      <c r="C362">
        <v>0</v>
      </c>
      <c r="D362">
        <v>2</v>
      </c>
      <c r="E362">
        <v>2</v>
      </c>
      <c r="F362" t="s">
        <v>13</v>
      </c>
      <c r="G362" t="s">
        <v>32</v>
      </c>
      <c r="H362">
        <v>86</v>
      </c>
      <c r="I362" s="1">
        <v>43168</v>
      </c>
      <c r="J362" t="s">
        <v>15</v>
      </c>
      <c r="K362">
        <v>90.95</v>
      </c>
      <c r="L362" t="s">
        <v>16</v>
      </c>
    </row>
    <row r="363" spans="1:12" x14ac:dyDescent="0.25">
      <c r="A363" t="s">
        <v>538</v>
      </c>
      <c r="B363">
        <v>2</v>
      </c>
      <c r="C363">
        <v>0</v>
      </c>
      <c r="D363">
        <v>0</v>
      </c>
      <c r="E363">
        <v>2</v>
      </c>
      <c r="F363" t="s">
        <v>13</v>
      </c>
      <c r="G363" t="s">
        <v>14</v>
      </c>
      <c r="H363">
        <v>23</v>
      </c>
      <c r="I363" t="s">
        <v>410</v>
      </c>
      <c r="J363" t="s">
        <v>19</v>
      </c>
      <c r="K363">
        <v>98.4</v>
      </c>
      <c r="L363" t="s">
        <v>16</v>
      </c>
    </row>
    <row r="364" spans="1:12" x14ac:dyDescent="0.25">
      <c r="A364" t="s">
        <v>539</v>
      </c>
      <c r="B364">
        <v>2</v>
      </c>
      <c r="C364">
        <v>0</v>
      </c>
      <c r="D364">
        <v>0</v>
      </c>
      <c r="E364">
        <v>1</v>
      </c>
      <c r="F364" t="s">
        <v>13</v>
      </c>
      <c r="G364" t="s">
        <v>14</v>
      </c>
      <c r="H364">
        <v>65</v>
      </c>
      <c r="I364" t="s">
        <v>540</v>
      </c>
      <c r="J364" t="s">
        <v>19</v>
      </c>
      <c r="K364">
        <v>135.9</v>
      </c>
      <c r="L364" t="s">
        <v>16</v>
      </c>
    </row>
    <row r="365" spans="1:12" x14ac:dyDescent="0.25">
      <c r="A365" t="s">
        <v>541</v>
      </c>
      <c r="B365">
        <v>2</v>
      </c>
      <c r="C365">
        <v>0</v>
      </c>
      <c r="D365">
        <v>0</v>
      </c>
      <c r="E365">
        <v>2</v>
      </c>
      <c r="F365" t="s">
        <v>13</v>
      </c>
      <c r="G365" t="s">
        <v>32</v>
      </c>
      <c r="H365">
        <v>1</v>
      </c>
      <c r="I365" t="s">
        <v>286</v>
      </c>
      <c r="J365" t="s">
        <v>19</v>
      </c>
      <c r="K365">
        <v>130</v>
      </c>
      <c r="L365" t="s">
        <v>16</v>
      </c>
    </row>
    <row r="366" spans="1:12" x14ac:dyDescent="0.25">
      <c r="A366" t="s">
        <v>542</v>
      </c>
      <c r="B366">
        <v>2</v>
      </c>
      <c r="C366">
        <v>0</v>
      </c>
      <c r="D366">
        <v>0</v>
      </c>
      <c r="E366">
        <v>1</v>
      </c>
      <c r="F366" t="s">
        <v>13</v>
      </c>
      <c r="G366" t="s">
        <v>32</v>
      </c>
      <c r="H366">
        <v>66</v>
      </c>
      <c r="I366" t="s">
        <v>543</v>
      </c>
      <c r="J366" t="s">
        <v>19</v>
      </c>
      <c r="K366">
        <v>81.900000000000006</v>
      </c>
      <c r="L366" t="s">
        <v>16</v>
      </c>
    </row>
    <row r="367" spans="1:12" x14ac:dyDescent="0.25">
      <c r="A367" t="s">
        <v>544</v>
      </c>
      <c r="B367">
        <v>3</v>
      </c>
      <c r="C367">
        <v>0</v>
      </c>
      <c r="D367">
        <v>1</v>
      </c>
      <c r="E367">
        <v>4</v>
      </c>
      <c r="F367" t="s">
        <v>13</v>
      </c>
      <c r="G367" t="s">
        <v>14</v>
      </c>
      <c r="H367">
        <v>50</v>
      </c>
      <c r="I367" t="s">
        <v>489</v>
      </c>
      <c r="J367" t="s">
        <v>19</v>
      </c>
      <c r="K367">
        <v>78.849999999999994</v>
      </c>
      <c r="L367" t="s">
        <v>16</v>
      </c>
    </row>
    <row r="368" spans="1:12" x14ac:dyDescent="0.25">
      <c r="A368" t="s">
        <v>545</v>
      </c>
      <c r="B368">
        <v>2</v>
      </c>
      <c r="C368">
        <v>0</v>
      </c>
      <c r="D368">
        <v>2</v>
      </c>
      <c r="E368">
        <v>3</v>
      </c>
      <c r="F368" t="s">
        <v>27</v>
      </c>
      <c r="G368" t="s">
        <v>14</v>
      </c>
      <c r="H368">
        <v>87</v>
      </c>
      <c r="I368" t="s">
        <v>209</v>
      </c>
      <c r="J368" t="s">
        <v>19</v>
      </c>
      <c r="K368">
        <v>141.30000000000001</v>
      </c>
      <c r="L368" t="s">
        <v>22</v>
      </c>
    </row>
    <row r="369" spans="1:12" x14ac:dyDescent="0.25">
      <c r="A369" t="s">
        <v>546</v>
      </c>
      <c r="B369">
        <v>2</v>
      </c>
      <c r="C369">
        <v>0</v>
      </c>
      <c r="D369">
        <v>1</v>
      </c>
      <c r="E369">
        <v>1</v>
      </c>
      <c r="F369" t="s">
        <v>13</v>
      </c>
      <c r="G369" t="s">
        <v>14</v>
      </c>
      <c r="H369">
        <v>159</v>
      </c>
      <c r="I369" s="1">
        <v>43347</v>
      </c>
      <c r="J369" t="s">
        <v>15</v>
      </c>
      <c r="K369">
        <v>70</v>
      </c>
      <c r="L369" t="s">
        <v>16</v>
      </c>
    </row>
    <row r="370" spans="1:12" x14ac:dyDescent="0.25">
      <c r="A370" t="s">
        <v>547</v>
      </c>
      <c r="B370">
        <v>2</v>
      </c>
      <c r="C370">
        <v>0</v>
      </c>
      <c r="D370">
        <v>2</v>
      </c>
      <c r="E370">
        <v>3</v>
      </c>
      <c r="F370" t="s">
        <v>27</v>
      </c>
      <c r="G370" t="s">
        <v>14</v>
      </c>
      <c r="H370">
        <v>39</v>
      </c>
      <c r="I370" t="s">
        <v>211</v>
      </c>
      <c r="J370" t="s">
        <v>19</v>
      </c>
      <c r="K370">
        <v>170.1</v>
      </c>
      <c r="L370" t="s">
        <v>16</v>
      </c>
    </row>
    <row r="371" spans="1:12" x14ac:dyDescent="0.25">
      <c r="A371" t="s">
        <v>548</v>
      </c>
      <c r="B371">
        <v>2</v>
      </c>
      <c r="C371">
        <v>0</v>
      </c>
      <c r="D371">
        <v>2</v>
      </c>
      <c r="E371">
        <v>0</v>
      </c>
      <c r="F371" t="s">
        <v>27</v>
      </c>
      <c r="G371" t="s">
        <v>14</v>
      </c>
      <c r="H371">
        <v>386</v>
      </c>
      <c r="I371" t="s">
        <v>187</v>
      </c>
      <c r="J371" t="s">
        <v>19</v>
      </c>
      <c r="K371">
        <v>115</v>
      </c>
      <c r="L371" t="s">
        <v>22</v>
      </c>
    </row>
    <row r="372" spans="1:12" x14ac:dyDescent="0.25">
      <c r="A372" t="s">
        <v>549</v>
      </c>
      <c r="B372">
        <v>2</v>
      </c>
      <c r="C372">
        <v>2</v>
      </c>
      <c r="D372">
        <v>0</v>
      </c>
      <c r="E372">
        <v>5</v>
      </c>
      <c r="F372" t="s">
        <v>13</v>
      </c>
      <c r="G372" t="s">
        <v>124</v>
      </c>
      <c r="H372">
        <v>22</v>
      </c>
      <c r="I372" t="s">
        <v>100</v>
      </c>
      <c r="J372" t="s">
        <v>19</v>
      </c>
      <c r="K372">
        <v>199</v>
      </c>
      <c r="L372" t="s">
        <v>16</v>
      </c>
    </row>
    <row r="373" spans="1:12" x14ac:dyDescent="0.25">
      <c r="A373" t="s">
        <v>550</v>
      </c>
      <c r="B373">
        <v>2</v>
      </c>
      <c r="C373">
        <v>0</v>
      </c>
      <c r="D373">
        <v>2</v>
      </c>
      <c r="E373">
        <v>2</v>
      </c>
      <c r="F373" t="s">
        <v>13</v>
      </c>
      <c r="G373" t="s">
        <v>32</v>
      </c>
      <c r="H373">
        <v>102</v>
      </c>
      <c r="I373" s="1">
        <v>43380</v>
      </c>
      <c r="J373" t="s">
        <v>15</v>
      </c>
      <c r="K373">
        <v>82.45</v>
      </c>
      <c r="L373" t="s">
        <v>16</v>
      </c>
    </row>
    <row r="374" spans="1:12" x14ac:dyDescent="0.25">
      <c r="A374" t="s">
        <v>551</v>
      </c>
      <c r="B374">
        <v>4</v>
      </c>
      <c r="C374">
        <v>0</v>
      </c>
      <c r="D374">
        <v>0</v>
      </c>
      <c r="E374">
        <v>3</v>
      </c>
      <c r="F374" t="s">
        <v>13</v>
      </c>
      <c r="G374" t="s">
        <v>280</v>
      </c>
      <c r="H374">
        <v>86</v>
      </c>
      <c r="I374" t="s">
        <v>234</v>
      </c>
      <c r="J374" t="s">
        <v>19</v>
      </c>
      <c r="K374">
        <v>192.86</v>
      </c>
      <c r="L374" t="s">
        <v>16</v>
      </c>
    </row>
    <row r="375" spans="1:12" x14ac:dyDescent="0.25">
      <c r="A375" t="s">
        <v>552</v>
      </c>
      <c r="B375">
        <v>2</v>
      </c>
      <c r="C375">
        <v>0</v>
      </c>
      <c r="D375">
        <v>2</v>
      </c>
      <c r="E375">
        <v>2</v>
      </c>
      <c r="F375" t="s">
        <v>13</v>
      </c>
      <c r="G375" t="s">
        <v>14</v>
      </c>
      <c r="H375">
        <v>56</v>
      </c>
      <c r="I375" t="s">
        <v>553</v>
      </c>
      <c r="J375" t="s">
        <v>15</v>
      </c>
      <c r="K375">
        <v>185</v>
      </c>
      <c r="L375" t="s">
        <v>16</v>
      </c>
    </row>
    <row r="376" spans="1:12" x14ac:dyDescent="0.25">
      <c r="A376" t="s">
        <v>554</v>
      </c>
      <c r="B376">
        <v>2</v>
      </c>
      <c r="C376">
        <v>0</v>
      </c>
      <c r="D376">
        <v>2</v>
      </c>
      <c r="E376">
        <v>6</v>
      </c>
      <c r="F376" t="s">
        <v>13</v>
      </c>
      <c r="G376" t="s">
        <v>14</v>
      </c>
      <c r="H376">
        <v>36</v>
      </c>
      <c r="I376" s="1">
        <v>43385</v>
      </c>
      <c r="J376" t="s">
        <v>19</v>
      </c>
      <c r="K376">
        <v>68.069999999999993</v>
      </c>
      <c r="L376" t="s">
        <v>16</v>
      </c>
    </row>
    <row r="377" spans="1:12" x14ac:dyDescent="0.25">
      <c r="A377" t="s">
        <v>555</v>
      </c>
      <c r="B377">
        <v>2</v>
      </c>
      <c r="C377">
        <v>0</v>
      </c>
      <c r="D377">
        <v>0</v>
      </c>
      <c r="E377">
        <v>3</v>
      </c>
      <c r="F377" t="s">
        <v>13</v>
      </c>
      <c r="G377" t="s">
        <v>14</v>
      </c>
      <c r="H377">
        <v>50</v>
      </c>
      <c r="I377" s="1">
        <v>43200</v>
      </c>
      <c r="J377" t="s">
        <v>19</v>
      </c>
      <c r="K377">
        <v>118.8</v>
      </c>
      <c r="L377" t="s">
        <v>16</v>
      </c>
    </row>
    <row r="378" spans="1:12" x14ac:dyDescent="0.25">
      <c r="A378" t="s">
        <v>556</v>
      </c>
      <c r="B378">
        <v>2</v>
      </c>
      <c r="C378">
        <v>0</v>
      </c>
      <c r="D378">
        <v>0</v>
      </c>
      <c r="E378">
        <v>2</v>
      </c>
      <c r="F378" t="s">
        <v>13</v>
      </c>
      <c r="G378" t="s">
        <v>32</v>
      </c>
      <c r="H378">
        <v>115</v>
      </c>
      <c r="I378" t="s">
        <v>557</v>
      </c>
      <c r="J378" t="s">
        <v>19</v>
      </c>
      <c r="K378">
        <v>104.4</v>
      </c>
      <c r="L378" t="s">
        <v>22</v>
      </c>
    </row>
    <row r="379" spans="1:12" x14ac:dyDescent="0.25">
      <c r="A379" t="s">
        <v>558</v>
      </c>
      <c r="B379">
        <v>1</v>
      </c>
      <c r="C379">
        <v>0</v>
      </c>
      <c r="D379">
        <v>0</v>
      </c>
      <c r="E379">
        <v>1</v>
      </c>
      <c r="F379" t="s">
        <v>13</v>
      </c>
      <c r="G379" t="s">
        <v>14</v>
      </c>
      <c r="H379">
        <v>0</v>
      </c>
      <c r="I379" t="s">
        <v>331</v>
      </c>
      <c r="J379" t="s">
        <v>56</v>
      </c>
      <c r="K379">
        <v>65</v>
      </c>
      <c r="L379" t="s">
        <v>16</v>
      </c>
    </row>
    <row r="380" spans="1:12" x14ac:dyDescent="0.25">
      <c r="A380" t="s">
        <v>559</v>
      </c>
      <c r="B380">
        <v>2</v>
      </c>
      <c r="C380">
        <v>0</v>
      </c>
      <c r="D380">
        <v>1</v>
      </c>
      <c r="E380">
        <v>3</v>
      </c>
      <c r="F380" t="s">
        <v>18</v>
      </c>
      <c r="G380" t="s">
        <v>14</v>
      </c>
      <c r="H380">
        <v>35</v>
      </c>
      <c r="I380" s="1">
        <v>43162</v>
      </c>
      <c r="J380" t="s">
        <v>19</v>
      </c>
      <c r="K380">
        <v>71.099999999999994</v>
      </c>
      <c r="L380" t="s">
        <v>22</v>
      </c>
    </row>
    <row r="381" spans="1:12" x14ac:dyDescent="0.25">
      <c r="A381" t="s">
        <v>560</v>
      </c>
      <c r="B381">
        <v>2</v>
      </c>
      <c r="C381">
        <v>0</v>
      </c>
      <c r="D381">
        <v>2</v>
      </c>
      <c r="E381">
        <v>1</v>
      </c>
      <c r="F381" t="s">
        <v>13</v>
      </c>
      <c r="G381" t="s">
        <v>14</v>
      </c>
      <c r="H381">
        <v>17</v>
      </c>
      <c r="I381" t="s">
        <v>403</v>
      </c>
      <c r="J381" t="s">
        <v>15</v>
      </c>
      <c r="K381">
        <v>95</v>
      </c>
      <c r="L381" t="s">
        <v>16</v>
      </c>
    </row>
    <row r="382" spans="1:12" x14ac:dyDescent="0.25">
      <c r="A382" t="s">
        <v>561</v>
      </c>
      <c r="B382">
        <v>2</v>
      </c>
      <c r="C382">
        <v>0</v>
      </c>
      <c r="D382">
        <v>4</v>
      </c>
      <c r="E382">
        <v>11</v>
      </c>
      <c r="F382" t="s">
        <v>13</v>
      </c>
      <c r="G382" t="s">
        <v>32</v>
      </c>
      <c r="H382">
        <v>237</v>
      </c>
      <c r="I382" t="s">
        <v>28</v>
      </c>
      <c r="J382" t="s">
        <v>19</v>
      </c>
      <c r="K382">
        <v>116.62</v>
      </c>
      <c r="L382" t="s">
        <v>22</v>
      </c>
    </row>
    <row r="383" spans="1:12" x14ac:dyDescent="0.25">
      <c r="A383" t="s">
        <v>562</v>
      </c>
      <c r="B383">
        <v>2</v>
      </c>
      <c r="C383">
        <v>0</v>
      </c>
      <c r="D383">
        <v>0</v>
      </c>
      <c r="E383">
        <v>4</v>
      </c>
      <c r="F383" t="s">
        <v>13</v>
      </c>
      <c r="G383" t="s">
        <v>14</v>
      </c>
      <c r="H383">
        <v>125</v>
      </c>
      <c r="I383" s="1">
        <v>43290</v>
      </c>
      <c r="J383" t="s">
        <v>19</v>
      </c>
      <c r="K383">
        <v>136</v>
      </c>
      <c r="L383" t="s">
        <v>16</v>
      </c>
    </row>
    <row r="384" spans="1:12" x14ac:dyDescent="0.25">
      <c r="A384" t="s">
        <v>563</v>
      </c>
      <c r="B384">
        <v>2</v>
      </c>
      <c r="C384">
        <v>2</v>
      </c>
      <c r="D384">
        <v>2</v>
      </c>
      <c r="E384">
        <v>2</v>
      </c>
      <c r="F384" t="s">
        <v>13</v>
      </c>
      <c r="G384" t="s">
        <v>124</v>
      </c>
      <c r="H384">
        <v>32</v>
      </c>
      <c r="I384" s="1">
        <v>43143</v>
      </c>
      <c r="J384" t="s">
        <v>19</v>
      </c>
      <c r="K384">
        <v>147.9</v>
      </c>
      <c r="L384" t="s">
        <v>22</v>
      </c>
    </row>
    <row r="385" spans="1:12" x14ac:dyDescent="0.25">
      <c r="A385" t="s">
        <v>564</v>
      </c>
      <c r="B385">
        <v>2</v>
      </c>
      <c r="C385">
        <v>0</v>
      </c>
      <c r="D385">
        <v>2</v>
      </c>
      <c r="E385">
        <v>0</v>
      </c>
      <c r="F385" t="s">
        <v>18</v>
      </c>
      <c r="G385" t="s">
        <v>14</v>
      </c>
      <c r="H385">
        <v>5</v>
      </c>
      <c r="I385" t="s">
        <v>536</v>
      </c>
      <c r="J385" t="s">
        <v>15</v>
      </c>
      <c r="K385">
        <v>123.7</v>
      </c>
      <c r="L385" t="s">
        <v>16</v>
      </c>
    </row>
    <row r="386" spans="1:12" x14ac:dyDescent="0.25">
      <c r="A386" t="s">
        <v>565</v>
      </c>
      <c r="B386">
        <v>2</v>
      </c>
      <c r="C386">
        <v>0</v>
      </c>
      <c r="D386">
        <v>2</v>
      </c>
      <c r="E386">
        <v>1</v>
      </c>
      <c r="F386" t="s">
        <v>13</v>
      </c>
      <c r="G386" t="s">
        <v>14</v>
      </c>
      <c r="H386">
        <v>91</v>
      </c>
      <c r="I386" t="s">
        <v>84</v>
      </c>
      <c r="J386" t="s">
        <v>19</v>
      </c>
      <c r="K386">
        <v>135.9</v>
      </c>
      <c r="L386" t="s">
        <v>22</v>
      </c>
    </row>
    <row r="387" spans="1:12" x14ac:dyDescent="0.25">
      <c r="A387" t="s">
        <v>566</v>
      </c>
      <c r="B387">
        <v>2</v>
      </c>
      <c r="C387">
        <v>0</v>
      </c>
      <c r="D387">
        <v>0</v>
      </c>
      <c r="E387">
        <v>2</v>
      </c>
      <c r="F387" t="s">
        <v>27</v>
      </c>
      <c r="G387" t="s">
        <v>14</v>
      </c>
      <c r="H387">
        <v>102</v>
      </c>
      <c r="I387" t="s">
        <v>410</v>
      </c>
      <c r="J387" t="s">
        <v>15</v>
      </c>
      <c r="K387">
        <v>109</v>
      </c>
      <c r="L387" t="s">
        <v>16</v>
      </c>
    </row>
    <row r="388" spans="1:12" x14ac:dyDescent="0.25">
      <c r="A388" t="s">
        <v>567</v>
      </c>
      <c r="B388">
        <v>3</v>
      </c>
      <c r="C388">
        <v>0</v>
      </c>
      <c r="D388">
        <v>2</v>
      </c>
      <c r="E388">
        <v>1</v>
      </c>
      <c r="F388" t="s">
        <v>13</v>
      </c>
      <c r="G388" t="s">
        <v>32</v>
      </c>
      <c r="H388">
        <v>9</v>
      </c>
      <c r="I388" t="s">
        <v>58</v>
      </c>
      <c r="J388" t="s">
        <v>19</v>
      </c>
      <c r="K388">
        <v>186</v>
      </c>
      <c r="L388" t="s">
        <v>16</v>
      </c>
    </row>
    <row r="389" spans="1:12" x14ac:dyDescent="0.25">
      <c r="A389" t="s">
        <v>568</v>
      </c>
      <c r="B389">
        <v>3</v>
      </c>
      <c r="C389">
        <v>0</v>
      </c>
      <c r="D389">
        <v>1</v>
      </c>
      <c r="E389">
        <v>3</v>
      </c>
      <c r="F389" t="s">
        <v>13</v>
      </c>
      <c r="G389" t="s">
        <v>32</v>
      </c>
      <c r="H389">
        <v>155</v>
      </c>
      <c r="I389" t="s">
        <v>33</v>
      </c>
      <c r="J389" t="s">
        <v>19</v>
      </c>
      <c r="K389">
        <v>115.6</v>
      </c>
      <c r="L389" t="s">
        <v>22</v>
      </c>
    </row>
    <row r="390" spans="1:12" x14ac:dyDescent="0.25">
      <c r="A390" t="s">
        <v>569</v>
      </c>
      <c r="B390">
        <v>2</v>
      </c>
      <c r="C390">
        <v>2</v>
      </c>
      <c r="D390">
        <v>0</v>
      </c>
      <c r="E390">
        <v>1</v>
      </c>
      <c r="F390" t="s">
        <v>13</v>
      </c>
      <c r="G390" t="s">
        <v>124</v>
      </c>
      <c r="H390">
        <v>0</v>
      </c>
      <c r="I390" t="s">
        <v>529</v>
      </c>
      <c r="J390" t="s">
        <v>19</v>
      </c>
      <c r="K390">
        <v>221</v>
      </c>
      <c r="L390" t="s">
        <v>22</v>
      </c>
    </row>
    <row r="391" spans="1:12" x14ac:dyDescent="0.25">
      <c r="A391" t="s">
        <v>570</v>
      </c>
      <c r="B391">
        <v>1</v>
      </c>
      <c r="C391">
        <v>0</v>
      </c>
      <c r="D391">
        <v>0</v>
      </c>
      <c r="E391">
        <v>3</v>
      </c>
      <c r="F391" t="s">
        <v>13</v>
      </c>
      <c r="G391" t="s">
        <v>14</v>
      </c>
      <c r="H391">
        <v>11</v>
      </c>
      <c r="I391" t="s">
        <v>571</v>
      </c>
      <c r="J391" t="s">
        <v>56</v>
      </c>
      <c r="K391">
        <v>65</v>
      </c>
      <c r="L391" t="s">
        <v>16</v>
      </c>
    </row>
    <row r="392" spans="1:12" x14ac:dyDescent="0.25">
      <c r="A392" t="s">
        <v>572</v>
      </c>
      <c r="B392">
        <v>1</v>
      </c>
      <c r="C392">
        <v>0</v>
      </c>
      <c r="D392">
        <v>0</v>
      </c>
      <c r="E392">
        <v>1</v>
      </c>
      <c r="F392" t="s">
        <v>13</v>
      </c>
      <c r="G392" t="s">
        <v>14</v>
      </c>
      <c r="H392">
        <v>0</v>
      </c>
      <c r="I392" t="s">
        <v>573</v>
      </c>
      <c r="J392" t="s">
        <v>56</v>
      </c>
      <c r="K392">
        <v>80</v>
      </c>
      <c r="L392" t="s">
        <v>16</v>
      </c>
    </row>
    <row r="393" spans="1:12" x14ac:dyDescent="0.25">
      <c r="A393" t="s">
        <v>574</v>
      </c>
      <c r="B393">
        <v>2</v>
      </c>
      <c r="C393">
        <v>1</v>
      </c>
      <c r="D393">
        <v>1</v>
      </c>
      <c r="E393">
        <v>4</v>
      </c>
      <c r="F393" t="s">
        <v>13</v>
      </c>
      <c r="G393" t="s">
        <v>14</v>
      </c>
      <c r="H393">
        <v>86</v>
      </c>
      <c r="I393" t="s">
        <v>331</v>
      </c>
      <c r="J393" t="s">
        <v>15</v>
      </c>
      <c r="K393">
        <v>73.83</v>
      </c>
      <c r="L393" t="s">
        <v>16</v>
      </c>
    </row>
    <row r="394" spans="1:12" x14ac:dyDescent="0.25">
      <c r="A394" t="s">
        <v>575</v>
      </c>
      <c r="B394">
        <v>1</v>
      </c>
      <c r="C394">
        <v>0</v>
      </c>
      <c r="D394">
        <v>0</v>
      </c>
      <c r="E394">
        <v>1</v>
      </c>
      <c r="F394" t="s">
        <v>13</v>
      </c>
      <c r="G394" t="s">
        <v>14</v>
      </c>
      <c r="H394">
        <v>18</v>
      </c>
      <c r="I394" t="s">
        <v>36</v>
      </c>
      <c r="J394" t="s">
        <v>56</v>
      </c>
      <c r="K394">
        <v>67</v>
      </c>
      <c r="L394" t="s">
        <v>16</v>
      </c>
    </row>
    <row r="395" spans="1:12" x14ac:dyDescent="0.25">
      <c r="A395" t="s">
        <v>576</v>
      </c>
      <c r="B395">
        <v>2</v>
      </c>
      <c r="C395">
        <v>0</v>
      </c>
      <c r="D395">
        <v>0</v>
      </c>
      <c r="E395">
        <v>2</v>
      </c>
      <c r="F395" t="s">
        <v>13</v>
      </c>
      <c r="G395" t="s">
        <v>14</v>
      </c>
      <c r="H395">
        <v>58</v>
      </c>
      <c r="I395" s="1">
        <v>43193</v>
      </c>
      <c r="J395" t="s">
        <v>19</v>
      </c>
      <c r="K395">
        <v>80.3</v>
      </c>
      <c r="L395" t="s">
        <v>16</v>
      </c>
    </row>
    <row r="396" spans="1:12" x14ac:dyDescent="0.25">
      <c r="A396" t="s">
        <v>577</v>
      </c>
      <c r="B396">
        <v>2</v>
      </c>
      <c r="C396">
        <v>0</v>
      </c>
      <c r="D396">
        <v>2</v>
      </c>
      <c r="E396">
        <v>1</v>
      </c>
      <c r="F396" t="s">
        <v>18</v>
      </c>
      <c r="G396" t="s">
        <v>14</v>
      </c>
      <c r="H396">
        <v>54</v>
      </c>
      <c r="I396" t="s">
        <v>39</v>
      </c>
      <c r="J396" t="s">
        <v>15</v>
      </c>
      <c r="K396">
        <v>85</v>
      </c>
      <c r="L396" t="s">
        <v>16</v>
      </c>
    </row>
    <row r="397" spans="1:12" x14ac:dyDescent="0.25">
      <c r="A397" t="s">
        <v>578</v>
      </c>
      <c r="B397">
        <v>2</v>
      </c>
      <c r="C397">
        <v>1</v>
      </c>
      <c r="D397">
        <v>2</v>
      </c>
      <c r="E397">
        <v>3</v>
      </c>
      <c r="F397" t="s">
        <v>13</v>
      </c>
      <c r="G397" t="s">
        <v>14</v>
      </c>
      <c r="H397">
        <v>25</v>
      </c>
      <c r="I397" t="s">
        <v>413</v>
      </c>
      <c r="J397" t="s">
        <v>19</v>
      </c>
      <c r="K397">
        <v>152.1</v>
      </c>
      <c r="L397" t="s">
        <v>22</v>
      </c>
    </row>
    <row r="398" spans="1:12" x14ac:dyDescent="0.25">
      <c r="A398" t="s">
        <v>579</v>
      </c>
      <c r="B398">
        <v>2</v>
      </c>
      <c r="C398">
        <v>0</v>
      </c>
      <c r="D398">
        <v>0</v>
      </c>
      <c r="E398">
        <v>2</v>
      </c>
      <c r="F398" t="s">
        <v>13</v>
      </c>
      <c r="G398" t="s">
        <v>14</v>
      </c>
      <c r="H398">
        <v>107</v>
      </c>
      <c r="I398" s="1">
        <v>42987</v>
      </c>
      <c r="J398" t="s">
        <v>19</v>
      </c>
      <c r="K398">
        <v>89.25</v>
      </c>
      <c r="L398" t="s">
        <v>16</v>
      </c>
    </row>
    <row r="399" spans="1:12" x14ac:dyDescent="0.25">
      <c r="A399" t="s">
        <v>580</v>
      </c>
      <c r="B399">
        <v>1</v>
      </c>
      <c r="C399">
        <v>0</v>
      </c>
      <c r="D399">
        <v>0</v>
      </c>
      <c r="E399">
        <v>4</v>
      </c>
      <c r="F399" t="s">
        <v>27</v>
      </c>
      <c r="G399" t="s">
        <v>14</v>
      </c>
      <c r="H399">
        <v>100</v>
      </c>
      <c r="I399" t="s">
        <v>581</v>
      </c>
      <c r="J399" t="s">
        <v>15</v>
      </c>
      <c r="K399">
        <v>110</v>
      </c>
      <c r="L399" t="s">
        <v>16</v>
      </c>
    </row>
    <row r="400" spans="1:12" x14ac:dyDescent="0.25">
      <c r="A400" t="s">
        <v>582</v>
      </c>
      <c r="B400">
        <v>2</v>
      </c>
      <c r="C400">
        <v>0</v>
      </c>
      <c r="D400">
        <v>1</v>
      </c>
      <c r="E400">
        <v>2</v>
      </c>
      <c r="F400" t="s">
        <v>13</v>
      </c>
      <c r="G400" t="s">
        <v>14</v>
      </c>
      <c r="H400">
        <v>273</v>
      </c>
      <c r="I400" t="s">
        <v>189</v>
      </c>
      <c r="J400" t="s">
        <v>19</v>
      </c>
      <c r="K400">
        <v>95</v>
      </c>
      <c r="L400" t="s">
        <v>22</v>
      </c>
    </row>
    <row r="401" spans="1:12" x14ac:dyDescent="0.25">
      <c r="A401" t="s">
        <v>583</v>
      </c>
      <c r="B401">
        <v>2</v>
      </c>
      <c r="C401">
        <v>0</v>
      </c>
      <c r="D401">
        <v>0</v>
      </c>
      <c r="E401">
        <v>1</v>
      </c>
      <c r="F401" t="s">
        <v>18</v>
      </c>
      <c r="G401" t="s">
        <v>14</v>
      </c>
      <c r="H401">
        <v>29</v>
      </c>
      <c r="I401" t="s">
        <v>172</v>
      </c>
      <c r="J401" t="s">
        <v>19</v>
      </c>
      <c r="K401">
        <v>79</v>
      </c>
      <c r="L401" t="s">
        <v>16</v>
      </c>
    </row>
    <row r="402" spans="1:12" x14ac:dyDescent="0.25">
      <c r="A402" t="s">
        <v>584</v>
      </c>
      <c r="B402">
        <v>2</v>
      </c>
      <c r="C402">
        <v>0</v>
      </c>
      <c r="D402">
        <v>0</v>
      </c>
      <c r="E402">
        <v>1</v>
      </c>
      <c r="F402" t="s">
        <v>13</v>
      </c>
      <c r="G402" t="s">
        <v>14</v>
      </c>
      <c r="H402">
        <v>221</v>
      </c>
      <c r="I402" s="1">
        <v>43442</v>
      </c>
      <c r="J402" t="s">
        <v>19</v>
      </c>
      <c r="K402">
        <v>80</v>
      </c>
      <c r="L402" t="s">
        <v>22</v>
      </c>
    </row>
    <row r="403" spans="1:12" x14ac:dyDescent="0.25">
      <c r="A403" t="s">
        <v>585</v>
      </c>
      <c r="B403">
        <v>2</v>
      </c>
      <c r="C403">
        <v>0</v>
      </c>
      <c r="D403">
        <v>2</v>
      </c>
      <c r="E403">
        <v>2</v>
      </c>
      <c r="F403" t="s">
        <v>13</v>
      </c>
      <c r="G403" t="s">
        <v>14</v>
      </c>
      <c r="H403">
        <v>213</v>
      </c>
      <c r="I403" s="1">
        <v>43110</v>
      </c>
      <c r="J403" t="s">
        <v>19</v>
      </c>
      <c r="K403">
        <v>102.85</v>
      </c>
      <c r="L403" t="s">
        <v>22</v>
      </c>
    </row>
    <row r="404" spans="1:12" x14ac:dyDescent="0.25">
      <c r="A404" t="s">
        <v>586</v>
      </c>
      <c r="B404">
        <v>2</v>
      </c>
      <c r="C404">
        <v>0</v>
      </c>
      <c r="D404">
        <v>1</v>
      </c>
      <c r="E404">
        <v>2</v>
      </c>
      <c r="F404" t="s">
        <v>13</v>
      </c>
      <c r="G404" t="s">
        <v>14</v>
      </c>
      <c r="H404">
        <v>198</v>
      </c>
      <c r="I404" s="1">
        <v>43352</v>
      </c>
      <c r="J404" t="s">
        <v>19</v>
      </c>
      <c r="K404">
        <v>90</v>
      </c>
      <c r="L404" t="s">
        <v>22</v>
      </c>
    </row>
    <row r="405" spans="1:12" x14ac:dyDescent="0.25">
      <c r="A405" t="s">
        <v>587</v>
      </c>
      <c r="B405">
        <v>2</v>
      </c>
      <c r="C405">
        <v>0</v>
      </c>
      <c r="D405">
        <v>1</v>
      </c>
      <c r="E405">
        <v>2</v>
      </c>
      <c r="F405" t="s">
        <v>13</v>
      </c>
      <c r="G405" t="s">
        <v>78</v>
      </c>
      <c r="H405">
        <v>81</v>
      </c>
      <c r="I405" t="s">
        <v>588</v>
      </c>
      <c r="J405" t="s">
        <v>19</v>
      </c>
      <c r="K405">
        <v>62.37</v>
      </c>
      <c r="L405" t="s">
        <v>16</v>
      </c>
    </row>
    <row r="406" spans="1:12" x14ac:dyDescent="0.25">
      <c r="A406" t="s">
        <v>589</v>
      </c>
      <c r="B406">
        <v>2</v>
      </c>
      <c r="C406">
        <v>0</v>
      </c>
      <c r="D406">
        <v>0</v>
      </c>
      <c r="E406">
        <v>1</v>
      </c>
      <c r="F406" t="s">
        <v>18</v>
      </c>
      <c r="G406" t="s">
        <v>14</v>
      </c>
      <c r="H406">
        <v>23</v>
      </c>
      <c r="I406" s="1">
        <v>43316</v>
      </c>
      <c r="J406" t="s">
        <v>19</v>
      </c>
      <c r="K406">
        <v>98</v>
      </c>
      <c r="L406" t="s">
        <v>16</v>
      </c>
    </row>
    <row r="407" spans="1:12" x14ac:dyDescent="0.25">
      <c r="A407" t="s">
        <v>590</v>
      </c>
      <c r="B407">
        <v>2</v>
      </c>
      <c r="C407">
        <v>0</v>
      </c>
      <c r="D407">
        <v>0</v>
      </c>
      <c r="E407">
        <v>3</v>
      </c>
      <c r="F407" t="s">
        <v>13</v>
      </c>
      <c r="G407" t="s">
        <v>14</v>
      </c>
      <c r="H407">
        <v>26</v>
      </c>
      <c r="I407" t="s">
        <v>72</v>
      </c>
      <c r="J407" t="s">
        <v>19</v>
      </c>
      <c r="K407">
        <v>117.67</v>
      </c>
      <c r="L407" t="s">
        <v>22</v>
      </c>
    </row>
    <row r="408" spans="1:12" x14ac:dyDescent="0.25">
      <c r="A408" t="s">
        <v>591</v>
      </c>
      <c r="B408">
        <v>2</v>
      </c>
      <c r="C408">
        <v>0</v>
      </c>
      <c r="D408">
        <v>2</v>
      </c>
      <c r="E408">
        <v>1</v>
      </c>
      <c r="F408" t="s">
        <v>13</v>
      </c>
      <c r="G408" t="s">
        <v>14</v>
      </c>
      <c r="H408">
        <v>20</v>
      </c>
      <c r="I408" t="s">
        <v>442</v>
      </c>
      <c r="J408" t="s">
        <v>19</v>
      </c>
      <c r="K408">
        <v>141</v>
      </c>
      <c r="L408" t="s">
        <v>16</v>
      </c>
    </row>
    <row r="409" spans="1:12" x14ac:dyDescent="0.25">
      <c r="A409" t="s">
        <v>592</v>
      </c>
      <c r="B409">
        <v>2</v>
      </c>
      <c r="C409">
        <v>1</v>
      </c>
      <c r="D409">
        <v>1</v>
      </c>
      <c r="E409">
        <v>3</v>
      </c>
      <c r="F409" t="s">
        <v>13</v>
      </c>
      <c r="G409" t="s">
        <v>124</v>
      </c>
      <c r="H409">
        <v>124</v>
      </c>
      <c r="I409" t="s">
        <v>33</v>
      </c>
      <c r="J409" t="s">
        <v>19</v>
      </c>
      <c r="K409">
        <v>156.61000000000001</v>
      </c>
      <c r="L409" t="s">
        <v>22</v>
      </c>
    </row>
    <row r="410" spans="1:12" x14ac:dyDescent="0.25">
      <c r="A410" t="s">
        <v>593</v>
      </c>
      <c r="B410">
        <v>3</v>
      </c>
      <c r="C410">
        <v>0</v>
      </c>
      <c r="D410">
        <v>0</v>
      </c>
      <c r="E410">
        <v>3</v>
      </c>
      <c r="F410" t="s">
        <v>13</v>
      </c>
      <c r="G410" t="s">
        <v>32</v>
      </c>
      <c r="H410">
        <v>85</v>
      </c>
      <c r="I410" s="1">
        <v>43167</v>
      </c>
      <c r="J410" t="s">
        <v>19</v>
      </c>
      <c r="K410">
        <v>152.1</v>
      </c>
      <c r="L410" t="s">
        <v>22</v>
      </c>
    </row>
    <row r="411" spans="1:12" x14ac:dyDescent="0.25">
      <c r="A411" t="s">
        <v>594</v>
      </c>
      <c r="B411">
        <v>2</v>
      </c>
      <c r="C411">
        <v>0</v>
      </c>
      <c r="D411">
        <v>0</v>
      </c>
      <c r="E411">
        <v>1</v>
      </c>
      <c r="F411" t="s">
        <v>13</v>
      </c>
      <c r="G411" t="s">
        <v>14</v>
      </c>
      <c r="H411">
        <v>167</v>
      </c>
      <c r="I411" s="1">
        <v>43259</v>
      </c>
      <c r="J411" t="s">
        <v>19</v>
      </c>
      <c r="K411">
        <v>105.3</v>
      </c>
      <c r="L411" t="s">
        <v>22</v>
      </c>
    </row>
    <row r="412" spans="1:12" x14ac:dyDescent="0.25">
      <c r="A412" t="s">
        <v>595</v>
      </c>
      <c r="B412">
        <v>2</v>
      </c>
      <c r="C412">
        <v>0</v>
      </c>
      <c r="D412">
        <v>1</v>
      </c>
      <c r="E412">
        <v>3</v>
      </c>
      <c r="F412" t="s">
        <v>13</v>
      </c>
      <c r="G412" t="s">
        <v>14</v>
      </c>
      <c r="H412">
        <v>71</v>
      </c>
      <c r="I412" t="s">
        <v>108</v>
      </c>
      <c r="J412" t="s">
        <v>19</v>
      </c>
      <c r="K412">
        <v>119.85</v>
      </c>
      <c r="L412" t="s">
        <v>16</v>
      </c>
    </row>
    <row r="413" spans="1:12" x14ac:dyDescent="0.25">
      <c r="A413" t="s">
        <v>596</v>
      </c>
      <c r="B413">
        <v>2</v>
      </c>
      <c r="C413">
        <v>0</v>
      </c>
      <c r="D413">
        <v>0</v>
      </c>
      <c r="E413">
        <v>2</v>
      </c>
      <c r="F413" t="s">
        <v>13</v>
      </c>
      <c r="G413" t="s">
        <v>14</v>
      </c>
      <c r="H413">
        <v>48</v>
      </c>
      <c r="I413" s="1">
        <v>43201</v>
      </c>
      <c r="J413" t="s">
        <v>19</v>
      </c>
      <c r="K413">
        <v>97.2</v>
      </c>
      <c r="L413" t="s">
        <v>16</v>
      </c>
    </row>
    <row r="414" spans="1:12" x14ac:dyDescent="0.25">
      <c r="A414" t="s">
        <v>597</v>
      </c>
      <c r="B414">
        <v>1</v>
      </c>
      <c r="C414">
        <v>0</v>
      </c>
      <c r="D414">
        <v>0</v>
      </c>
      <c r="E414">
        <v>1</v>
      </c>
      <c r="F414" t="s">
        <v>18</v>
      </c>
      <c r="G414" t="s">
        <v>14</v>
      </c>
      <c r="H414">
        <v>37</v>
      </c>
      <c r="I414" t="s">
        <v>189</v>
      </c>
      <c r="J414" t="s">
        <v>19</v>
      </c>
      <c r="K414">
        <v>116.1</v>
      </c>
      <c r="L414" t="s">
        <v>16</v>
      </c>
    </row>
    <row r="415" spans="1:12" x14ac:dyDescent="0.25">
      <c r="A415" t="s">
        <v>598</v>
      </c>
      <c r="B415">
        <v>3</v>
      </c>
      <c r="C415">
        <v>0</v>
      </c>
      <c r="D415">
        <v>2</v>
      </c>
      <c r="E415">
        <v>2</v>
      </c>
      <c r="F415" t="s">
        <v>13</v>
      </c>
      <c r="G415" t="s">
        <v>32</v>
      </c>
      <c r="H415">
        <v>76</v>
      </c>
      <c r="I415" t="s">
        <v>599</v>
      </c>
      <c r="J415" t="s">
        <v>19</v>
      </c>
      <c r="K415">
        <v>150.44999999999999</v>
      </c>
      <c r="L415" t="s">
        <v>22</v>
      </c>
    </row>
    <row r="416" spans="1:12" x14ac:dyDescent="0.25">
      <c r="A416" t="s">
        <v>600</v>
      </c>
      <c r="B416">
        <v>1</v>
      </c>
      <c r="C416">
        <v>0</v>
      </c>
      <c r="D416">
        <v>0</v>
      </c>
      <c r="E416">
        <v>1</v>
      </c>
      <c r="F416" t="s">
        <v>13</v>
      </c>
      <c r="G416" t="s">
        <v>14</v>
      </c>
      <c r="H416">
        <v>13</v>
      </c>
      <c r="I416" t="s">
        <v>601</v>
      </c>
      <c r="J416" t="s">
        <v>15</v>
      </c>
      <c r="K416">
        <v>71</v>
      </c>
      <c r="L416" t="s">
        <v>16</v>
      </c>
    </row>
    <row r="417" spans="1:12" x14ac:dyDescent="0.25">
      <c r="A417" t="s">
        <v>602</v>
      </c>
      <c r="B417">
        <v>1</v>
      </c>
      <c r="C417">
        <v>0</v>
      </c>
      <c r="D417">
        <v>1</v>
      </c>
      <c r="E417">
        <v>0</v>
      </c>
      <c r="F417" t="s">
        <v>13</v>
      </c>
      <c r="G417" t="s">
        <v>14</v>
      </c>
      <c r="H417">
        <v>3</v>
      </c>
      <c r="I417" t="s">
        <v>96</v>
      </c>
      <c r="J417" t="s">
        <v>129</v>
      </c>
      <c r="K417">
        <v>0</v>
      </c>
      <c r="L417" t="s">
        <v>16</v>
      </c>
    </row>
    <row r="418" spans="1:12" x14ac:dyDescent="0.25">
      <c r="A418" t="s">
        <v>603</v>
      </c>
      <c r="B418">
        <v>2</v>
      </c>
      <c r="C418">
        <v>0</v>
      </c>
      <c r="D418">
        <v>1</v>
      </c>
      <c r="E418">
        <v>2</v>
      </c>
      <c r="F418" t="s">
        <v>13</v>
      </c>
      <c r="G418" t="s">
        <v>32</v>
      </c>
      <c r="H418">
        <v>75</v>
      </c>
      <c r="I418" s="1">
        <v>42928</v>
      </c>
      <c r="J418" t="s">
        <v>15</v>
      </c>
      <c r="K418">
        <v>60</v>
      </c>
      <c r="L418" t="s">
        <v>16</v>
      </c>
    </row>
    <row r="419" spans="1:12" x14ac:dyDescent="0.25">
      <c r="A419" t="s">
        <v>604</v>
      </c>
      <c r="B419">
        <v>1</v>
      </c>
      <c r="C419">
        <v>0</v>
      </c>
      <c r="D419">
        <v>0</v>
      </c>
      <c r="E419">
        <v>1</v>
      </c>
      <c r="F419" t="s">
        <v>13</v>
      </c>
      <c r="G419" t="s">
        <v>14</v>
      </c>
      <c r="H419">
        <v>5</v>
      </c>
      <c r="I419" s="1">
        <v>43224</v>
      </c>
      <c r="J419" t="s">
        <v>56</v>
      </c>
      <c r="K419">
        <v>89</v>
      </c>
      <c r="L419" t="s">
        <v>16</v>
      </c>
    </row>
    <row r="420" spans="1:12" x14ac:dyDescent="0.25">
      <c r="A420" t="s">
        <v>605</v>
      </c>
      <c r="B420">
        <v>2</v>
      </c>
      <c r="C420">
        <v>0</v>
      </c>
      <c r="D420">
        <v>2</v>
      </c>
      <c r="E420">
        <v>0</v>
      </c>
      <c r="F420" t="s">
        <v>27</v>
      </c>
      <c r="G420" t="s">
        <v>14</v>
      </c>
      <c r="H420">
        <v>386</v>
      </c>
      <c r="I420" t="s">
        <v>187</v>
      </c>
      <c r="J420" t="s">
        <v>19</v>
      </c>
      <c r="K420">
        <v>115</v>
      </c>
      <c r="L420" t="s">
        <v>22</v>
      </c>
    </row>
    <row r="421" spans="1:12" x14ac:dyDescent="0.25">
      <c r="A421" t="s">
        <v>606</v>
      </c>
      <c r="B421">
        <v>2</v>
      </c>
      <c r="C421">
        <v>0</v>
      </c>
      <c r="D421">
        <v>1</v>
      </c>
      <c r="E421">
        <v>1</v>
      </c>
      <c r="F421" t="s">
        <v>13</v>
      </c>
      <c r="G421" t="s">
        <v>14</v>
      </c>
      <c r="H421">
        <v>180</v>
      </c>
      <c r="I421" s="1">
        <v>43136</v>
      </c>
      <c r="J421" t="s">
        <v>15</v>
      </c>
      <c r="K421">
        <v>100</v>
      </c>
      <c r="L421" t="s">
        <v>16</v>
      </c>
    </row>
    <row r="422" spans="1:12" x14ac:dyDescent="0.25">
      <c r="A422" t="s">
        <v>607</v>
      </c>
      <c r="B422">
        <v>2</v>
      </c>
      <c r="C422">
        <v>0</v>
      </c>
      <c r="D422">
        <v>1</v>
      </c>
      <c r="E422">
        <v>3</v>
      </c>
      <c r="F422" t="s">
        <v>18</v>
      </c>
      <c r="G422" t="s">
        <v>14</v>
      </c>
      <c r="H422">
        <v>122</v>
      </c>
      <c r="I422" t="s">
        <v>142</v>
      </c>
      <c r="J422" t="s">
        <v>19</v>
      </c>
      <c r="K422">
        <v>75.900000000000006</v>
      </c>
      <c r="L422" t="s">
        <v>22</v>
      </c>
    </row>
    <row r="423" spans="1:12" x14ac:dyDescent="0.25">
      <c r="A423" t="s">
        <v>608</v>
      </c>
      <c r="B423">
        <v>2</v>
      </c>
      <c r="C423">
        <v>0</v>
      </c>
      <c r="D423">
        <v>1</v>
      </c>
      <c r="E423">
        <v>2</v>
      </c>
      <c r="F423" t="s">
        <v>13</v>
      </c>
      <c r="G423" t="s">
        <v>14</v>
      </c>
      <c r="H423">
        <v>224</v>
      </c>
      <c r="I423" s="1">
        <v>42776</v>
      </c>
      <c r="J423" t="s">
        <v>15</v>
      </c>
      <c r="K423">
        <v>65</v>
      </c>
      <c r="L423" t="s">
        <v>16</v>
      </c>
    </row>
    <row r="424" spans="1:12" x14ac:dyDescent="0.25">
      <c r="A424" t="s">
        <v>609</v>
      </c>
      <c r="B424">
        <v>2</v>
      </c>
      <c r="C424">
        <v>0</v>
      </c>
      <c r="D424">
        <v>2</v>
      </c>
      <c r="E424">
        <v>2</v>
      </c>
      <c r="F424" t="s">
        <v>13</v>
      </c>
      <c r="G424" t="s">
        <v>14</v>
      </c>
      <c r="H424">
        <v>24</v>
      </c>
      <c r="I424" t="s">
        <v>599</v>
      </c>
      <c r="J424" t="s">
        <v>19</v>
      </c>
      <c r="K424">
        <v>104.55</v>
      </c>
      <c r="L424" t="s">
        <v>16</v>
      </c>
    </row>
    <row r="425" spans="1:12" x14ac:dyDescent="0.25">
      <c r="A425" t="s">
        <v>610</v>
      </c>
      <c r="B425">
        <v>1</v>
      </c>
      <c r="C425">
        <v>0</v>
      </c>
      <c r="D425">
        <v>2</v>
      </c>
      <c r="E425">
        <v>2</v>
      </c>
      <c r="F425" t="s">
        <v>13</v>
      </c>
      <c r="G425" t="s">
        <v>14</v>
      </c>
      <c r="H425">
        <v>162</v>
      </c>
      <c r="I425" t="s">
        <v>229</v>
      </c>
      <c r="J425" t="s">
        <v>19</v>
      </c>
      <c r="K425">
        <v>115</v>
      </c>
      <c r="L425" t="s">
        <v>22</v>
      </c>
    </row>
    <row r="426" spans="1:12" x14ac:dyDescent="0.25">
      <c r="A426" t="s">
        <v>611</v>
      </c>
      <c r="B426">
        <v>3</v>
      </c>
      <c r="C426">
        <v>0</v>
      </c>
      <c r="D426">
        <v>1</v>
      </c>
      <c r="E426">
        <v>1</v>
      </c>
      <c r="F426" t="s">
        <v>13</v>
      </c>
      <c r="G426" t="s">
        <v>32</v>
      </c>
      <c r="H426">
        <v>25</v>
      </c>
      <c r="I426" s="1">
        <v>43138</v>
      </c>
      <c r="J426" t="s">
        <v>19</v>
      </c>
      <c r="K426">
        <v>187</v>
      </c>
      <c r="L426" t="s">
        <v>22</v>
      </c>
    </row>
    <row r="427" spans="1:12" x14ac:dyDescent="0.25">
      <c r="A427" t="s">
        <v>612</v>
      </c>
      <c r="B427">
        <v>1</v>
      </c>
      <c r="C427">
        <v>0</v>
      </c>
      <c r="D427">
        <v>0</v>
      </c>
      <c r="E427">
        <v>1</v>
      </c>
      <c r="F427" t="s">
        <v>13</v>
      </c>
      <c r="G427" t="s">
        <v>14</v>
      </c>
      <c r="H427">
        <v>1</v>
      </c>
      <c r="I427" s="1">
        <v>43198</v>
      </c>
      <c r="J427" t="s">
        <v>19</v>
      </c>
      <c r="K427">
        <v>115</v>
      </c>
      <c r="L427" t="s">
        <v>16</v>
      </c>
    </row>
    <row r="428" spans="1:12" x14ac:dyDescent="0.25">
      <c r="A428" t="s">
        <v>613</v>
      </c>
      <c r="B428">
        <v>2</v>
      </c>
      <c r="C428">
        <v>0</v>
      </c>
      <c r="D428">
        <v>0</v>
      </c>
      <c r="E428">
        <v>4</v>
      </c>
      <c r="F428" t="s">
        <v>18</v>
      </c>
      <c r="G428" t="s">
        <v>14</v>
      </c>
      <c r="H428">
        <v>236</v>
      </c>
      <c r="I428" t="s">
        <v>614</v>
      </c>
      <c r="J428" t="s">
        <v>19</v>
      </c>
      <c r="K428">
        <v>84.43</v>
      </c>
      <c r="L428" t="s">
        <v>22</v>
      </c>
    </row>
    <row r="429" spans="1:12" x14ac:dyDescent="0.25">
      <c r="A429" t="s">
        <v>615</v>
      </c>
      <c r="B429">
        <v>2</v>
      </c>
      <c r="C429">
        <v>0</v>
      </c>
      <c r="D429">
        <v>2</v>
      </c>
      <c r="E429">
        <v>3</v>
      </c>
      <c r="F429" t="s">
        <v>13</v>
      </c>
      <c r="G429" t="s">
        <v>14</v>
      </c>
      <c r="H429">
        <v>120</v>
      </c>
      <c r="I429" s="1">
        <v>43316</v>
      </c>
      <c r="J429" t="s">
        <v>19</v>
      </c>
      <c r="K429">
        <v>90.95</v>
      </c>
      <c r="L429" t="s">
        <v>22</v>
      </c>
    </row>
    <row r="430" spans="1:12" x14ac:dyDescent="0.25">
      <c r="A430" t="s">
        <v>616</v>
      </c>
      <c r="B430">
        <v>2</v>
      </c>
      <c r="C430">
        <v>0</v>
      </c>
      <c r="D430">
        <v>1</v>
      </c>
      <c r="E430">
        <v>3</v>
      </c>
      <c r="F430" t="s">
        <v>27</v>
      </c>
      <c r="G430" t="s">
        <v>32</v>
      </c>
      <c r="H430">
        <v>12</v>
      </c>
      <c r="I430" t="s">
        <v>393</v>
      </c>
      <c r="J430" t="s">
        <v>19</v>
      </c>
      <c r="K430">
        <v>208</v>
      </c>
      <c r="L430" t="s">
        <v>16</v>
      </c>
    </row>
    <row r="431" spans="1:12" x14ac:dyDescent="0.25">
      <c r="A431" t="s">
        <v>617</v>
      </c>
      <c r="B431">
        <v>2</v>
      </c>
      <c r="C431">
        <v>0</v>
      </c>
      <c r="D431">
        <v>2</v>
      </c>
      <c r="E431">
        <v>4</v>
      </c>
      <c r="F431" t="s">
        <v>13</v>
      </c>
      <c r="G431" t="s">
        <v>14</v>
      </c>
      <c r="H431">
        <v>224</v>
      </c>
      <c r="I431" s="1">
        <v>43168</v>
      </c>
      <c r="J431" t="s">
        <v>19</v>
      </c>
      <c r="K431">
        <v>97.18</v>
      </c>
      <c r="L431" t="s">
        <v>22</v>
      </c>
    </row>
    <row r="432" spans="1:12" x14ac:dyDescent="0.25">
      <c r="A432" t="s">
        <v>618</v>
      </c>
      <c r="B432">
        <v>1</v>
      </c>
      <c r="C432">
        <v>0</v>
      </c>
      <c r="D432">
        <v>0</v>
      </c>
      <c r="E432">
        <v>4</v>
      </c>
      <c r="F432" t="s">
        <v>27</v>
      </c>
      <c r="G432" t="s">
        <v>14</v>
      </c>
      <c r="H432">
        <v>33</v>
      </c>
      <c r="I432" t="s">
        <v>619</v>
      </c>
      <c r="J432" t="s">
        <v>15</v>
      </c>
      <c r="K432">
        <v>79.11</v>
      </c>
      <c r="L432" t="s">
        <v>16</v>
      </c>
    </row>
    <row r="433" spans="1:12" x14ac:dyDescent="0.25">
      <c r="A433" t="s">
        <v>620</v>
      </c>
      <c r="B433">
        <v>2</v>
      </c>
      <c r="C433">
        <v>0</v>
      </c>
      <c r="D433">
        <v>0</v>
      </c>
      <c r="E433">
        <v>2</v>
      </c>
      <c r="F433" t="s">
        <v>13</v>
      </c>
      <c r="G433" t="s">
        <v>14</v>
      </c>
      <c r="H433">
        <v>24</v>
      </c>
      <c r="I433" t="s">
        <v>189</v>
      </c>
      <c r="J433" t="s">
        <v>129</v>
      </c>
      <c r="K433">
        <v>0</v>
      </c>
      <c r="L433" t="s">
        <v>16</v>
      </c>
    </row>
    <row r="434" spans="1:12" x14ac:dyDescent="0.25">
      <c r="A434" t="s">
        <v>621</v>
      </c>
      <c r="B434">
        <v>2</v>
      </c>
      <c r="C434">
        <v>0</v>
      </c>
      <c r="D434">
        <v>0</v>
      </c>
      <c r="E434">
        <v>1</v>
      </c>
      <c r="F434" t="s">
        <v>13</v>
      </c>
      <c r="G434" t="s">
        <v>32</v>
      </c>
      <c r="H434">
        <v>22</v>
      </c>
      <c r="I434" s="1">
        <v>42956</v>
      </c>
      <c r="J434" t="s">
        <v>19</v>
      </c>
      <c r="K434">
        <v>120</v>
      </c>
      <c r="L434" t="s">
        <v>16</v>
      </c>
    </row>
    <row r="435" spans="1:12" x14ac:dyDescent="0.25">
      <c r="A435" t="s">
        <v>622</v>
      </c>
      <c r="B435">
        <v>2</v>
      </c>
      <c r="C435">
        <v>0</v>
      </c>
      <c r="D435">
        <v>0</v>
      </c>
      <c r="E435">
        <v>3</v>
      </c>
      <c r="F435" t="s">
        <v>13</v>
      </c>
      <c r="G435" t="s">
        <v>14</v>
      </c>
      <c r="H435">
        <v>10</v>
      </c>
      <c r="I435" t="s">
        <v>45</v>
      </c>
      <c r="J435" t="s">
        <v>19</v>
      </c>
      <c r="K435">
        <v>126</v>
      </c>
      <c r="L435" t="s">
        <v>16</v>
      </c>
    </row>
    <row r="436" spans="1:12" x14ac:dyDescent="0.25">
      <c r="A436" t="s">
        <v>623</v>
      </c>
      <c r="B436">
        <v>2</v>
      </c>
      <c r="C436">
        <v>0</v>
      </c>
      <c r="D436">
        <v>0</v>
      </c>
      <c r="E436">
        <v>2</v>
      </c>
      <c r="F436" t="s">
        <v>13</v>
      </c>
      <c r="G436" t="s">
        <v>14</v>
      </c>
      <c r="H436">
        <v>15</v>
      </c>
      <c r="I436" t="s">
        <v>196</v>
      </c>
      <c r="J436" t="s">
        <v>19</v>
      </c>
      <c r="K436">
        <v>91</v>
      </c>
      <c r="L436" t="s">
        <v>22</v>
      </c>
    </row>
    <row r="437" spans="1:12" x14ac:dyDescent="0.25">
      <c r="A437" t="s">
        <v>624</v>
      </c>
      <c r="B437">
        <v>2</v>
      </c>
      <c r="C437">
        <v>0</v>
      </c>
      <c r="D437">
        <v>0</v>
      </c>
      <c r="E437">
        <v>5</v>
      </c>
      <c r="F437" t="s">
        <v>27</v>
      </c>
      <c r="G437" t="s">
        <v>14</v>
      </c>
      <c r="H437">
        <v>230</v>
      </c>
      <c r="I437" s="1">
        <v>43260</v>
      </c>
      <c r="J437" t="s">
        <v>19</v>
      </c>
      <c r="K437">
        <v>137</v>
      </c>
      <c r="L437" t="s">
        <v>22</v>
      </c>
    </row>
    <row r="438" spans="1:12" x14ac:dyDescent="0.25">
      <c r="A438" t="s">
        <v>625</v>
      </c>
      <c r="B438">
        <v>2</v>
      </c>
      <c r="C438">
        <v>0</v>
      </c>
      <c r="D438">
        <v>0</v>
      </c>
      <c r="E438">
        <v>4</v>
      </c>
      <c r="F438" t="s">
        <v>13</v>
      </c>
      <c r="G438" t="s">
        <v>14</v>
      </c>
      <c r="H438">
        <v>54</v>
      </c>
      <c r="I438" t="s">
        <v>626</v>
      </c>
      <c r="J438" t="s">
        <v>15</v>
      </c>
      <c r="K438">
        <v>67.319999999999993</v>
      </c>
      <c r="L438" t="s">
        <v>16</v>
      </c>
    </row>
    <row r="439" spans="1:12" x14ac:dyDescent="0.25">
      <c r="A439" t="s">
        <v>627</v>
      </c>
      <c r="B439">
        <v>2</v>
      </c>
      <c r="C439">
        <v>0</v>
      </c>
      <c r="D439">
        <v>0</v>
      </c>
      <c r="E439">
        <v>1</v>
      </c>
      <c r="F439" t="s">
        <v>13</v>
      </c>
      <c r="G439" t="s">
        <v>14</v>
      </c>
      <c r="H439">
        <v>45</v>
      </c>
      <c r="I439" t="s">
        <v>506</v>
      </c>
      <c r="J439" t="s">
        <v>19</v>
      </c>
      <c r="K439">
        <v>81.62</v>
      </c>
      <c r="L439" t="s">
        <v>16</v>
      </c>
    </row>
    <row r="440" spans="1:12" x14ac:dyDescent="0.25">
      <c r="A440" t="s">
        <v>628</v>
      </c>
      <c r="B440">
        <v>3</v>
      </c>
      <c r="C440">
        <v>0</v>
      </c>
      <c r="D440">
        <v>1</v>
      </c>
      <c r="E440">
        <v>3</v>
      </c>
      <c r="F440" t="s">
        <v>27</v>
      </c>
      <c r="G440" t="s">
        <v>32</v>
      </c>
      <c r="H440">
        <v>63</v>
      </c>
      <c r="I440" t="s">
        <v>629</v>
      </c>
      <c r="J440" t="s">
        <v>19</v>
      </c>
      <c r="K440">
        <v>123.66</v>
      </c>
      <c r="L440" t="s">
        <v>16</v>
      </c>
    </row>
    <row r="441" spans="1:12" x14ac:dyDescent="0.25">
      <c r="A441" t="s">
        <v>630</v>
      </c>
      <c r="B441">
        <v>2</v>
      </c>
      <c r="C441">
        <v>0</v>
      </c>
      <c r="D441">
        <v>2</v>
      </c>
      <c r="E441">
        <v>1</v>
      </c>
      <c r="F441" t="s">
        <v>18</v>
      </c>
      <c r="G441" t="s">
        <v>14</v>
      </c>
      <c r="H441">
        <v>166</v>
      </c>
      <c r="I441" s="1">
        <v>43259</v>
      </c>
      <c r="J441" t="s">
        <v>19</v>
      </c>
      <c r="K441">
        <v>94.5</v>
      </c>
      <c r="L441" t="s">
        <v>16</v>
      </c>
    </row>
    <row r="442" spans="1:12" x14ac:dyDescent="0.25">
      <c r="A442" t="s">
        <v>631</v>
      </c>
      <c r="B442">
        <v>2</v>
      </c>
      <c r="C442">
        <v>0</v>
      </c>
      <c r="D442">
        <v>1</v>
      </c>
      <c r="E442">
        <v>4</v>
      </c>
      <c r="F442" t="s">
        <v>13</v>
      </c>
      <c r="G442" t="s">
        <v>14</v>
      </c>
      <c r="H442">
        <v>148</v>
      </c>
      <c r="I442" t="s">
        <v>313</v>
      </c>
      <c r="J442" t="s">
        <v>19</v>
      </c>
      <c r="K442">
        <v>96.3</v>
      </c>
      <c r="L442" t="s">
        <v>22</v>
      </c>
    </row>
    <row r="443" spans="1:12" x14ac:dyDescent="0.25">
      <c r="A443" t="s">
        <v>632</v>
      </c>
      <c r="B443">
        <v>2</v>
      </c>
      <c r="C443">
        <v>0</v>
      </c>
      <c r="D443">
        <v>2</v>
      </c>
      <c r="E443">
        <v>1</v>
      </c>
      <c r="F443" t="s">
        <v>13</v>
      </c>
      <c r="G443" t="s">
        <v>14</v>
      </c>
      <c r="H443">
        <v>136</v>
      </c>
      <c r="I443" t="s">
        <v>211</v>
      </c>
      <c r="J443" t="s">
        <v>19</v>
      </c>
      <c r="K443">
        <v>88.01</v>
      </c>
      <c r="L443" t="s">
        <v>16</v>
      </c>
    </row>
    <row r="444" spans="1:12" x14ac:dyDescent="0.25">
      <c r="A444" t="s">
        <v>633</v>
      </c>
      <c r="B444">
        <v>2</v>
      </c>
      <c r="C444">
        <v>0</v>
      </c>
      <c r="D444">
        <v>1</v>
      </c>
      <c r="E444">
        <v>3</v>
      </c>
      <c r="F444" t="s">
        <v>13</v>
      </c>
      <c r="G444" t="s">
        <v>14</v>
      </c>
      <c r="H444">
        <v>37</v>
      </c>
      <c r="I444" s="1">
        <v>43376</v>
      </c>
      <c r="J444" t="s">
        <v>19</v>
      </c>
      <c r="K444">
        <v>81.900000000000006</v>
      </c>
      <c r="L444" t="s">
        <v>16</v>
      </c>
    </row>
    <row r="445" spans="1:12" x14ac:dyDescent="0.25">
      <c r="A445" t="s">
        <v>634</v>
      </c>
      <c r="B445">
        <v>2</v>
      </c>
      <c r="C445">
        <v>0</v>
      </c>
      <c r="D445">
        <v>0</v>
      </c>
      <c r="E445">
        <v>4</v>
      </c>
      <c r="F445" t="s">
        <v>13</v>
      </c>
      <c r="G445" t="s">
        <v>14</v>
      </c>
      <c r="H445">
        <v>66</v>
      </c>
      <c r="I445" s="1">
        <v>43409</v>
      </c>
      <c r="J445" t="s">
        <v>19</v>
      </c>
      <c r="K445">
        <v>119.85</v>
      </c>
      <c r="L445" t="s">
        <v>16</v>
      </c>
    </row>
    <row r="446" spans="1:12" x14ac:dyDescent="0.25">
      <c r="A446" t="s">
        <v>635</v>
      </c>
      <c r="B446">
        <v>1</v>
      </c>
      <c r="C446">
        <v>0</v>
      </c>
      <c r="D446">
        <v>0</v>
      </c>
      <c r="E446">
        <v>1</v>
      </c>
      <c r="F446" t="s">
        <v>13</v>
      </c>
      <c r="G446" t="s">
        <v>14</v>
      </c>
      <c r="H446">
        <v>11</v>
      </c>
      <c r="I446" t="s">
        <v>506</v>
      </c>
      <c r="J446" t="s">
        <v>15</v>
      </c>
      <c r="K446">
        <v>83.5</v>
      </c>
      <c r="L446" t="s">
        <v>16</v>
      </c>
    </row>
    <row r="447" spans="1:12" x14ac:dyDescent="0.25">
      <c r="A447" t="s">
        <v>636</v>
      </c>
      <c r="B447">
        <v>1</v>
      </c>
      <c r="C447">
        <v>0</v>
      </c>
      <c r="D447">
        <v>0</v>
      </c>
      <c r="E447">
        <v>1</v>
      </c>
      <c r="F447" t="s">
        <v>13</v>
      </c>
      <c r="G447" t="s">
        <v>14</v>
      </c>
      <c r="H447">
        <v>1</v>
      </c>
      <c r="I447" s="1">
        <v>43104</v>
      </c>
      <c r="J447" t="s">
        <v>56</v>
      </c>
      <c r="K447">
        <v>67</v>
      </c>
      <c r="L447" t="s">
        <v>16</v>
      </c>
    </row>
    <row r="448" spans="1:12" x14ac:dyDescent="0.25">
      <c r="A448" t="s">
        <v>637</v>
      </c>
      <c r="B448">
        <v>2</v>
      </c>
      <c r="C448">
        <v>0</v>
      </c>
      <c r="D448">
        <v>2</v>
      </c>
      <c r="E448">
        <v>2</v>
      </c>
      <c r="F448" t="s">
        <v>13</v>
      </c>
      <c r="G448" t="s">
        <v>32</v>
      </c>
      <c r="H448">
        <v>7</v>
      </c>
      <c r="I448" t="s">
        <v>84</v>
      </c>
      <c r="J448" t="s">
        <v>19</v>
      </c>
      <c r="K448">
        <v>156</v>
      </c>
      <c r="L448" t="s">
        <v>16</v>
      </c>
    </row>
    <row r="449" spans="1:12" x14ac:dyDescent="0.25">
      <c r="A449" t="s">
        <v>638</v>
      </c>
      <c r="B449">
        <v>2</v>
      </c>
      <c r="C449">
        <v>0</v>
      </c>
      <c r="D449">
        <v>0</v>
      </c>
      <c r="E449">
        <v>1</v>
      </c>
      <c r="F449" t="s">
        <v>13</v>
      </c>
      <c r="G449" t="s">
        <v>14</v>
      </c>
      <c r="H449">
        <v>43</v>
      </c>
      <c r="I449" t="s">
        <v>639</v>
      </c>
      <c r="J449" t="s">
        <v>15</v>
      </c>
      <c r="K449">
        <v>85</v>
      </c>
      <c r="L449" t="s">
        <v>16</v>
      </c>
    </row>
    <row r="450" spans="1:12" x14ac:dyDescent="0.25">
      <c r="A450" t="s">
        <v>640</v>
      </c>
      <c r="B450">
        <v>2</v>
      </c>
      <c r="C450">
        <v>0</v>
      </c>
      <c r="D450">
        <v>3</v>
      </c>
      <c r="E450">
        <v>5</v>
      </c>
      <c r="F450" t="s">
        <v>13</v>
      </c>
      <c r="G450" t="s">
        <v>32</v>
      </c>
      <c r="H450">
        <v>5</v>
      </c>
      <c r="I450" s="1">
        <v>43194</v>
      </c>
      <c r="J450" t="s">
        <v>19</v>
      </c>
      <c r="K450">
        <v>126.75</v>
      </c>
      <c r="L450" t="s">
        <v>22</v>
      </c>
    </row>
    <row r="451" spans="1:12" x14ac:dyDescent="0.25">
      <c r="A451" t="s">
        <v>641</v>
      </c>
      <c r="B451">
        <v>2</v>
      </c>
      <c r="C451">
        <v>0</v>
      </c>
      <c r="D451">
        <v>1</v>
      </c>
      <c r="E451">
        <v>1</v>
      </c>
      <c r="F451" t="s">
        <v>27</v>
      </c>
      <c r="G451" t="s">
        <v>14</v>
      </c>
      <c r="H451">
        <v>247</v>
      </c>
      <c r="I451" s="1">
        <v>43257</v>
      </c>
      <c r="J451" t="s">
        <v>19</v>
      </c>
      <c r="K451">
        <v>115</v>
      </c>
      <c r="L451" t="s">
        <v>22</v>
      </c>
    </row>
    <row r="452" spans="1:12" x14ac:dyDescent="0.25">
      <c r="A452" t="s">
        <v>642</v>
      </c>
      <c r="B452">
        <v>2</v>
      </c>
      <c r="C452">
        <v>0</v>
      </c>
      <c r="D452">
        <v>2</v>
      </c>
      <c r="E452">
        <v>1</v>
      </c>
      <c r="F452" t="s">
        <v>18</v>
      </c>
      <c r="G452" t="s">
        <v>14</v>
      </c>
      <c r="H452">
        <v>24</v>
      </c>
      <c r="I452" t="s">
        <v>643</v>
      </c>
      <c r="J452" t="s">
        <v>19</v>
      </c>
      <c r="K452">
        <v>107.1</v>
      </c>
      <c r="L452" t="s">
        <v>22</v>
      </c>
    </row>
    <row r="453" spans="1:12" x14ac:dyDescent="0.25">
      <c r="A453" t="s">
        <v>644</v>
      </c>
      <c r="B453">
        <v>1</v>
      </c>
      <c r="C453">
        <v>0</v>
      </c>
      <c r="D453">
        <v>0</v>
      </c>
      <c r="E453">
        <v>1</v>
      </c>
      <c r="F453" t="s">
        <v>13</v>
      </c>
      <c r="G453" t="s">
        <v>14</v>
      </c>
      <c r="H453">
        <v>53</v>
      </c>
      <c r="I453" t="s">
        <v>229</v>
      </c>
      <c r="J453" t="s">
        <v>15</v>
      </c>
      <c r="K453">
        <v>120</v>
      </c>
      <c r="L453" t="s">
        <v>16</v>
      </c>
    </row>
    <row r="454" spans="1:12" x14ac:dyDescent="0.25">
      <c r="A454" t="s">
        <v>645</v>
      </c>
      <c r="B454">
        <v>2</v>
      </c>
      <c r="C454">
        <v>0</v>
      </c>
      <c r="D454">
        <v>2</v>
      </c>
      <c r="E454">
        <v>1</v>
      </c>
      <c r="F454" t="s">
        <v>13</v>
      </c>
      <c r="G454" t="s">
        <v>14</v>
      </c>
      <c r="H454">
        <v>52</v>
      </c>
      <c r="I454" t="s">
        <v>88</v>
      </c>
      <c r="J454" t="s">
        <v>19</v>
      </c>
      <c r="K454">
        <v>93.6</v>
      </c>
      <c r="L454" t="s">
        <v>16</v>
      </c>
    </row>
    <row r="455" spans="1:12" x14ac:dyDescent="0.25">
      <c r="A455" t="s">
        <v>646</v>
      </c>
      <c r="B455">
        <v>2</v>
      </c>
      <c r="C455">
        <v>0</v>
      </c>
      <c r="D455">
        <v>0</v>
      </c>
      <c r="E455">
        <v>1</v>
      </c>
      <c r="F455" t="s">
        <v>13</v>
      </c>
      <c r="G455" t="s">
        <v>14</v>
      </c>
      <c r="H455">
        <v>56</v>
      </c>
      <c r="I455" s="1">
        <v>43318</v>
      </c>
      <c r="J455" t="s">
        <v>15</v>
      </c>
      <c r="K455">
        <v>120</v>
      </c>
      <c r="L455" t="s">
        <v>16</v>
      </c>
    </row>
    <row r="456" spans="1:12" x14ac:dyDescent="0.25">
      <c r="A456" t="s">
        <v>647</v>
      </c>
      <c r="B456">
        <v>1</v>
      </c>
      <c r="C456">
        <v>0</v>
      </c>
      <c r="D456">
        <v>0</v>
      </c>
      <c r="E456">
        <v>1</v>
      </c>
      <c r="F456" t="s">
        <v>13</v>
      </c>
      <c r="G456" t="s">
        <v>14</v>
      </c>
      <c r="H456">
        <v>12</v>
      </c>
      <c r="I456" s="1">
        <v>43318</v>
      </c>
      <c r="J456" t="s">
        <v>15</v>
      </c>
      <c r="K456">
        <v>90</v>
      </c>
      <c r="L456" t="s">
        <v>16</v>
      </c>
    </row>
    <row r="457" spans="1:12" x14ac:dyDescent="0.25">
      <c r="A457" t="s">
        <v>648</v>
      </c>
      <c r="B457">
        <v>2</v>
      </c>
      <c r="C457">
        <v>0</v>
      </c>
      <c r="D457">
        <v>0</v>
      </c>
      <c r="E457">
        <v>5</v>
      </c>
      <c r="F457" t="s">
        <v>13</v>
      </c>
      <c r="G457" t="s">
        <v>14</v>
      </c>
      <c r="H457">
        <v>230</v>
      </c>
      <c r="I457" s="1">
        <v>43260</v>
      </c>
      <c r="J457" t="s">
        <v>19</v>
      </c>
      <c r="K457">
        <v>137</v>
      </c>
      <c r="L457" t="s">
        <v>22</v>
      </c>
    </row>
    <row r="458" spans="1:12" x14ac:dyDescent="0.25">
      <c r="A458" t="s">
        <v>649</v>
      </c>
      <c r="B458">
        <v>2</v>
      </c>
      <c r="C458">
        <v>1</v>
      </c>
      <c r="D458">
        <v>1</v>
      </c>
      <c r="E458">
        <v>3</v>
      </c>
      <c r="F458" t="s">
        <v>13</v>
      </c>
      <c r="G458" t="s">
        <v>14</v>
      </c>
      <c r="H458">
        <v>92</v>
      </c>
      <c r="I458" t="s">
        <v>650</v>
      </c>
      <c r="J458" t="s">
        <v>19</v>
      </c>
      <c r="K458">
        <v>106.43</v>
      </c>
      <c r="L458" t="s">
        <v>22</v>
      </c>
    </row>
    <row r="459" spans="1:12" x14ac:dyDescent="0.25">
      <c r="A459" t="s">
        <v>651</v>
      </c>
      <c r="B459">
        <v>1</v>
      </c>
      <c r="C459">
        <v>0</v>
      </c>
      <c r="D459">
        <v>0</v>
      </c>
      <c r="E459">
        <v>3</v>
      </c>
      <c r="F459" t="s">
        <v>18</v>
      </c>
      <c r="G459" t="s">
        <v>14</v>
      </c>
      <c r="H459">
        <v>2</v>
      </c>
      <c r="I459" t="s">
        <v>395</v>
      </c>
      <c r="J459" t="s">
        <v>19</v>
      </c>
      <c r="K459">
        <v>87.78</v>
      </c>
      <c r="L459" t="s">
        <v>16</v>
      </c>
    </row>
    <row r="460" spans="1:12" x14ac:dyDescent="0.25">
      <c r="A460" t="s">
        <v>652</v>
      </c>
      <c r="B460">
        <v>2</v>
      </c>
      <c r="C460">
        <v>0</v>
      </c>
      <c r="D460">
        <v>0</v>
      </c>
      <c r="E460">
        <v>2</v>
      </c>
      <c r="F460" t="s">
        <v>27</v>
      </c>
      <c r="G460" t="s">
        <v>14</v>
      </c>
      <c r="H460">
        <v>74</v>
      </c>
      <c r="I460" t="s">
        <v>653</v>
      </c>
      <c r="J460" t="s">
        <v>15</v>
      </c>
      <c r="K460">
        <v>101.5</v>
      </c>
      <c r="L460" t="s">
        <v>16</v>
      </c>
    </row>
    <row r="461" spans="1:12" x14ac:dyDescent="0.25">
      <c r="A461" t="s">
        <v>654</v>
      </c>
      <c r="B461">
        <v>2</v>
      </c>
      <c r="C461">
        <v>0</v>
      </c>
      <c r="D461">
        <v>0</v>
      </c>
      <c r="E461">
        <v>1</v>
      </c>
      <c r="F461" t="s">
        <v>18</v>
      </c>
      <c r="G461" t="s">
        <v>14</v>
      </c>
      <c r="H461">
        <v>82</v>
      </c>
      <c r="I461" t="s">
        <v>655</v>
      </c>
      <c r="J461" t="s">
        <v>19</v>
      </c>
      <c r="K461">
        <v>85.5</v>
      </c>
      <c r="L461" t="s">
        <v>22</v>
      </c>
    </row>
    <row r="462" spans="1:12" x14ac:dyDescent="0.25">
      <c r="A462" t="s">
        <v>656</v>
      </c>
      <c r="B462">
        <v>1</v>
      </c>
      <c r="C462">
        <v>0</v>
      </c>
      <c r="D462">
        <v>0</v>
      </c>
      <c r="E462">
        <v>3</v>
      </c>
      <c r="F462" t="s">
        <v>13</v>
      </c>
      <c r="G462" t="s">
        <v>14</v>
      </c>
      <c r="H462">
        <v>37</v>
      </c>
      <c r="I462" t="s">
        <v>60</v>
      </c>
      <c r="J462" t="s">
        <v>15</v>
      </c>
      <c r="K462">
        <v>95</v>
      </c>
      <c r="L462" t="s">
        <v>16</v>
      </c>
    </row>
    <row r="463" spans="1:12" x14ac:dyDescent="0.25">
      <c r="A463" t="s">
        <v>657</v>
      </c>
      <c r="B463">
        <v>2</v>
      </c>
      <c r="C463">
        <v>0</v>
      </c>
      <c r="D463">
        <v>2</v>
      </c>
      <c r="E463">
        <v>2</v>
      </c>
      <c r="F463" t="s">
        <v>13</v>
      </c>
      <c r="G463" t="s">
        <v>32</v>
      </c>
      <c r="H463">
        <v>147</v>
      </c>
      <c r="I463" s="1">
        <v>43107</v>
      </c>
      <c r="J463" t="s">
        <v>19</v>
      </c>
      <c r="K463">
        <v>103.7</v>
      </c>
      <c r="L463" t="s">
        <v>16</v>
      </c>
    </row>
    <row r="464" spans="1:12" x14ac:dyDescent="0.25">
      <c r="A464" t="s">
        <v>658</v>
      </c>
      <c r="B464">
        <v>1</v>
      </c>
      <c r="C464">
        <v>0</v>
      </c>
      <c r="D464">
        <v>0</v>
      </c>
      <c r="E464">
        <v>1</v>
      </c>
      <c r="F464" t="s">
        <v>13</v>
      </c>
      <c r="G464" t="s">
        <v>14</v>
      </c>
      <c r="H464">
        <v>2</v>
      </c>
      <c r="I464" t="s">
        <v>659</v>
      </c>
      <c r="J464" t="s">
        <v>56</v>
      </c>
      <c r="K464">
        <v>65</v>
      </c>
      <c r="L464" t="s">
        <v>16</v>
      </c>
    </row>
    <row r="465" spans="1:12" x14ac:dyDescent="0.25">
      <c r="A465" t="s">
        <v>660</v>
      </c>
      <c r="B465">
        <v>2</v>
      </c>
      <c r="C465">
        <v>0</v>
      </c>
      <c r="D465">
        <v>2</v>
      </c>
      <c r="E465">
        <v>6</v>
      </c>
      <c r="F465" t="s">
        <v>13</v>
      </c>
      <c r="G465" t="s">
        <v>14</v>
      </c>
      <c r="H465">
        <v>166</v>
      </c>
      <c r="I465" t="s">
        <v>179</v>
      </c>
      <c r="J465" t="s">
        <v>19</v>
      </c>
      <c r="K465">
        <v>100.12</v>
      </c>
      <c r="L465" t="s">
        <v>22</v>
      </c>
    </row>
    <row r="466" spans="1:12" x14ac:dyDescent="0.25">
      <c r="A466" t="s">
        <v>661</v>
      </c>
      <c r="B466">
        <v>2</v>
      </c>
      <c r="C466">
        <v>0</v>
      </c>
      <c r="D466">
        <v>1</v>
      </c>
      <c r="E466">
        <v>3</v>
      </c>
      <c r="F466" t="s">
        <v>27</v>
      </c>
      <c r="G466" t="s">
        <v>14</v>
      </c>
      <c r="H466">
        <v>28</v>
      </c>
      <c r="I466" s="1">
        <v>43408</v>
      </c>
      <c r="J466" t="s">
        <v>19</v>
      </c>
      <c r="K466">
        <v>156.25</v>
      </c>
      <c r="L466" t="s">
        <v>16</v>
      </c>
    </row>
    <row r="467" spans="1:12" x14ac:dyDescent="0.25">
      <c r="A467" t="s">
        <v>662</v>
      </c>
      <c r="B467">
        <v>2</v>
      </c>
      <c r="C467">
        <v>0</v>
      </c>
      <c r="D467">
        <v>1</v>
      </c>
      <c r="E467">
        <v>2</v>
      </c>
      <c r="F467" t="s">
        <v>27</v>
      </c>
      <c r="G467" t="s">
        <v>14</v>
      </c>
      <c r="H467">
        <v>309</v>
      </c>
      <c r="I467" t="s">
        <v>189</v>
      </c>
      <c r="J467" t="s">
        <v>19</v>
      </c>
      <c r="K467">
        <v>101</v>
      </c>
      <c r="L467" t="s">
        <v>22</v>
      </c>
    </row>
    <row r="468" spans="1:12" x14ac:dyDescent="0.25">
      <c r="A468" t="s">
        <v>663</v>
      </c>
      <c r="B468">
        <v>2</v>
      </c>
      <c r="C468">
        <v>0</v>
      </c>
      <c r="D468">
        <v>1</v>
      </c>
      <c r="E468">
        <v>3</v>
      </c>
      <c r="F468" t="s">
        <v>27</v>
      </c>
      <c r="G468" t="s">
        <v>14</v>
      </c>
      <c r="H468">
        <v>54</v>
      </c>
      <c r="I468" s="1">
        <v>43197</v>
      </c>
      <c r="J468" t="s">
        <v>19</v>
      </c>
      <c r="K468">
        <v>161.1</v>
      </c>
      <c r="L468" t="s">
        <v>16</v>
      </c>
    </row>
    <row r="469" spans="1:12" x14ac:dyDescent="0.25">
      <c r="A469" t="s">
        <v>664</v>
      </c>
      <c r="B469">
        <v>2</v>
      </c>
      <c r="C469">
        <v>0</v>
      </c>
      <c r="D469">
        <v>1</v>
      </c>
      <c r="E469">
        <v>3</v>
      </c>
      <c r="F469" t="s">
        <v>18</v>
      </c>
      <c r="G469" t="s">
        <v>14</v>
      </c>
      <c r="H469">
        <v>49</v>
      </c>
      <c r="I469" s="1">
        <v>43324</v>
      </c>
      <c r="J469" t="s">
        <v>19</v>
      </c>
      <c r="K469">
        <v>83.8</v>
      </c>
      <c r="L469" t="s">
        <v>16</v>
      </c>
    </row>
    <row r="470" spans="1:12" x14ac:dyDescent="0.25">
      <c r="A470" t="s">
        <v>665</v>
      </c>
      <c r="B470">
        <v>2</v>
      </c>
      <c r="C470">
        <v>1</v>
      </c>
      <c r="D470">
        <v>0</v>
      </c>
      <c r="E470">
        <v>1</v>
      </c>
      <c r="F470" t="s">
        <v>13</v>
      </c>
      <c r="G470" t="s">
        <v>14</v>
      </c>
      <c r="H470">
        <v>1</v>
      </c>
      <c r="I470" t="s">
        <v>442</v>
      </c>
      <c r="J470" t="s">
        <v>19</v>
      </c>
      <c r="K470">
        <v>168</v>
      </c>
      <c r="L470" t="s">
        <v>16</v>
      </c>
    </row>
    <row r="471" spans="1:12" x14ac:dyDescent="0.25">
      <c r="A471" t="s">
        <v>666</v>
      </c>
      <c r="B471">
        <v>2</v>
      </c>
      <c r="C471">
        <v>0</v>
      </c>
      <c r="D471">
        <v>2</v>
      </c>
      <c r="E471">
        <v>1</v>
      </c>
      <c r="F471" t="s">
        <v>13</v>
      </c>
      <c r="G471" t="s">
        <v>14</v>
      </c>
      <c r="H471">
        <v>0</v>
      </c>
      <c r="I471" t="s">
        <v>462</v>
      </c>
      <c r="J471" t="s">
        <v>15</v>
      </c>
      <c r="K471">
        <v>58</v>
      </c>
      <c r="L471" t="s">
        <v>16</v>
      </c>
    </row>
    <row r="472" spans="1:12" x14ac:dyDescent="0.25">
      <c r="A472" t="s">
        <v>667</v>
      </c>
      <c r="B472">
        <v>2</v>
      </c>
      <c r="C472">
        <v>0</v>
      </c>
      <c r="D472">
        <v>2</v>
      </c>
      <c r="E472">
        <v>1</v>
      </c>
      <c r="F472" t="s">
        <v>27</v>
      </c>
      <c r="G472" t="s">
        <v>14</v>
      </c>
      <c r="H472">
        <v>4</v>
      </c>
      <c r="I472" s="1">
        <v>42955</v>
      </c>
      <c r="J472" t="s">
        <v>15</v>
      </c>
      <c r="K472">
        <v>94.5</v>
      </c>
      <c r="L472" t="s">
        <v>16</v>
      </c>
    </row>
    <row r="473" spans="1:12" x14ac:dyDescent="0.25">
      <c r="A473" t="s">
        <v>668</v>
      </c>
      <c r="B473">
        <v>2</v>
      </c>
      <c r="C473">
        <v>0</v>
      </c>
      <c r="D473">
        <v>0</v>
      </c>
      <c r="E473">
        <v>4</v>
      </c>
      <c r="F473" t="s">
        <v>13</v>
      </c>
      <c r="G473" t="s">
        <v>14</v>
      </c>
      <c r="H473">
        <v>60</v>
      </c>
      <c r="I473" s="1">
        <v>42990</v>
      </c>
      <c r="J473" t="s">
        <v>19</v>
      </c>
      <c r="K473">
        <v>96.3</v>
      </c>
      <c r="L473" t="s">
        <v>16</v>
      </c>
    </row>
    <row r="474" spans="1:12" x14ac:dyDescent="0.25">
      <c r="A474" t="s">
        <v>669</v>
      </c>
      <c r="B474">
        <v>2</v>
      </c>
      <c r="C474">
        <v>0</v>
      </c>
      <c r="D474">
        <v>0</v>
      </c>
      <c r="E474">
        <v>1</v>
      </c>
      <c r="F474" t="s">
        <v>13</v>
      </c>
      <c r="G474" t="s">
        <v>14</v>
      </c>
      <c r="H474">
        <v>157</v>
      </c>
      <c r="I474" t="s">
        <v>380</v>
      </c>
      <c r="J474" t="s">
        <v>19</v>
      </c>
      <c r="K474">
        <v>76.5</v>
      </c>
      <c r="L474" t="s">
        <v>16</v>
      </c>
    </row>
    <row r="475" spans="1:12" x14ac:dyDescent="0.25">
      <c r="A475" t="s">
        <v>670</v>
      </c>
      <c r="B475">
        <v>2</v>
      </c>
      <c r="C475">
        <v>0</v>
      </c>
      <c r="D475">
        <v>2</v>
      </c>
      <c r="E475">
        <v>3</v>
      </c>
      <c r="F475" t="s">
        <v>13</v>
      </c>
      <c r="G475" t="s">
        <v>14</v>
      </c>
      <c r="H475">
        <v>268</v>
      </c>
      <c r="I475" s="1">
        <v>43316</v>
      </c>
      <c r="J475" t="s">
        <v>15</v>
      </c>
      <c r="K475">
        <v>78</v>
      </c>
      <c r="L475" t="s">
        <v>16</v>
      </c>
    </row>
    <row r="476" spans="1:12" x14ac:dyDescent="0.25">
      <c r="A476" t="s">
        <v>671</v>
      </c>
      <c r="B476">
        <v>2</v>
      </c>
      <c r="C476">
        <v>0</v>
      </c>
      <c r="D476">
        <v>1</v>
      </c>
      <c r="E476">
        <v>1</v>
      </c>
      <c r="F476" t="s">
        <v>18</v>
      </c>
      <c r="G476" t="s">
        <v>14</v>
      </c>
      <c r="H476">
        <v>38</v>
      </c>
      <c r="I476" t="s">
        <v>333</v>
      </c>
      <c r="J476" t="s">
        <v>19</v>
      </c>
      <c r="K476">
        <v>112.59</v>
      </c>
      <c r="L476" t="s">
        <v>22</v>
      </c>
    </row>
    <row r="477" spans="1:12" x14ac:dyDescent="0.25">
      <c r="A477" t="s">
        <v>672</v>
      </c>
      <c r="B477">
        <v>2</v>
      </c>
      <c r="C477">
        <v>2</v>
      </c>
      <c r="D477">
        <v>2</v>
      </c>
      <c r="E477">
        <v>1</v>
      </c>
      <c r="F477" t="s">
        <v>13</v>
      </c>
      <c r="G477" t="s">
        <v>280</v>
      </c>
      <c r="H477">
        <v>30</v>
      </c>
      <c r="I477" s="1">
        <v>43440</v>
      </c>
      <c r="J477" t="s">
        <v>19</v>
      </c>
      <c r="K477">
        <v>187.04</v>
      </c>
      <c r="L477" t="s">
        <v>22</v>
      </c>
    </row>
    <row r="478" spans="1:12" x14ac:dyDescent="0.25">
      <c r="A478" t="s">
        <v>673</v>
      </c>
      <c r="B478">
        <v>2</v>
      </c>
      <c r="C478">
        <v>0</v>
      </c>
      <c r="D478">
        <v>0</v>
      </c>
      <c r="E478">
        <v>1</v>
      </c>
      <c r="F478" t="s">
        <v>13</v>
      </c>
      <c r="G478" t="s">
        <v>14</v>
      </c>
      <c r="H478">
        <v>2</v>
      </c>
      <c r="I478" s="1">
        <v>43414</v>
      </c>
      <c r="J478" t="s">
        <v>19</v>
      </c>
      <c r="K478">
        <v>169</v>
      </c>
      <c r="L478" t="s">
        <v>16</v>
      </c>
    </row>
    <row r="479" spans="1:12" x14ac:dyDescent="0.25">
      <c r="A479" t="s">
        <v>674</v>
      </c>
      <c r="B479">
        <v>2</v>
      </c>
      <c r="C479">
        <v>0</v>
      </c>
      <c r="D479">
        <v>3</v>
      </c>
      <c r="E479">
        <v>7</v>
      </c>
      <c r="F479" t="s">
        <v>18</v>
      </c>
      <c r="G479" t="s">
        <v>14</v>
      </c>
      <c r="H479">
        <v>217</v>
      </c>
      <c r="I479" s="1">
        <v>43232</v>
      </c>
      <c r="J479" t="s">
        <v>19</v>
      </c>
      <c r="K479">
        <v>46.63</v>
      </c>
      <c r="L479" t="s">
        <v>16</v>
      </c>
    </row>
    <row r="480" spans="1:12" x14ac:dyDescent="0.25">
      <c r="A480" t="s">
        <v>675</v>
      </c>
      <c r="B480">
        <v>2</v>
      </c>
      <c r="C480">
        <v>0</v>
      </c>
      <c r="D480">
        <v>0</v>
      </c>
      <c r="E480">
        <v>3</v>
      </c>
      <c r="F480" t="s">
        <v>13</v>
      </c>
      <c r="G480" t="s">
        <v>14</v>
      </c>
      <c r="H480">
        <v>143</v>
      </c>
      <c r="I480" t="s">
        <v>140</v>
      </c>
      <c r="J480" t="s">
        <v>15</v>
      </c>
      <c r="K480">
        <v>100</v>
      </c>
      <c r="L480" t="s">
        <v>16</v>
      </c>
    </row>
    <row r="481" spans="1:12" x14ac:dyDescent="0.25">
      <c r="A481" t="s">
        <v>676</v>
      </c>
      <c r="B481">
        <v>2</v>
      </c>
      <c r="C481">
        <v>0</v>
      </c>
      <c r="D481">
        <v>0</v>
      </c>
      <c r="E481">
        <v>3</v>
      </c>
      <c r="F481" t="s">
        <v>18</v>
      </c>
      <c r="G481" t="s">
        <v>14</v>
      </c>
      <c r="H481">
        <v>179</v>
      </c>
      <c r="I481" t="s">
        <v>677</v>
      </c>
      <c r="J481" t="s">
        <v>19</v>
      </c>
      <c r="K481">
        <v>85.5</v>
      </c>
      <c r="L481" t="s">
        <v>16</v>
      </c>
    </row>
    <row r="482" spans="1:12" x14ac:dyDescent="0.25">
      <c r="A482" t="s">
        <v>678</v>
      </c>
      <c r="B482">
        <v>1</v>
      </c>
      <c r="C482">
        <v>0</v>
      </c>
      <c r="D482">
        <v>0</v>
      </c>
      <c r="E482">
        <v>2</v>
      </c>
      <c r="F482" t="s">
        <v>13</v>
      </c>
      <c r="G482" t="s">
        <v>14</v>
      </c>
      <c r="H482">
        <v>188</v>
      </c>
      <c r="I482" t="s">
        <v>47</v>
      </c>
      <c r="J482" t="s">
        <v>19</v>
      </c>
      <c r="K482">
        <v>130</v>
      </c>
      <c r="L482" t="s">
        <v>22</v>
      </c>
    </row>
    <row r="483" spans="1:12" x14ac:dyDescent="0.25">
      <c r="A483" t="s">
        <v>679</v>
      </c>
      <c r="B483">
        <v>3</v>
      </c>
      <c r="C483">
        <v>0</v>
      </c>
      <c r="D483">
        <v>2</v>
      </c>
      <c r="E483">
        <v>2</v>
      </c>
      <c r="F483" t="s">
        <v>13</v>
      </c>
      <c r="G483" t="s">
        <v>32</v>
      </c>
      <c r="H483">
        <v>94</v>
      </c>
      <c r="I483" s="1">
        <v>43319</v>
      </c>
      <c r="J483" t="s">
        <v>19</v>
      </c>
      <c r="K483">
        <v>146.69999999999999</v>
      </c>
      <c r="L483" t="s">
        <v>16</v>
      </c>
    </row>
    <row r="484" spans="1:12" x14ac:dyDescent="0.25">
      <c r="A484" t="s">
        <v>680</v>
      </c>
      <c r="B484">
        <v>1</v>
      </c>
      <c r="C484">
        <v>0</v>
      </c>
      <c r="D484">
        <v>0</v>
      </c>
      <c r="E484">
        <v>2</v>
      </c>
      <c r="F484" t="s">
        <v>13</v>
      </c>
      <c r="G484" t="s">
        <v>14</v>
      </c>
      <c r="H484">
        <v>32</v>
      </c>
      <c r="I484" t="s">
        <v>102</v>
      </c>
      <c r="J484" t="s">
        <v>15</v>
      </c>
      <c r="K484">
        <v>73</v>
      </c>
      <c r="L484" t="s">
        <v>16</v>
      </c>
    </row>
    <row r="485" spans="1:12" x14ac:dyDescent="0.25">
      <c r="A485" t="s">
        <v>681</v>
      </c>
      <c r="B485">
        <v>3</v>
      </c>
      <c r="C485">
        <v>0</v>
      </c>
      <c r="D485">
        <v>2</v>
      </c>
      <c r="E485">
        <v>2</v>
      </c>
      <c r="F485" t="s">
        <v>13</v>
      </c>
      <c r="G485" t="s">
        <v>124</v>
      </c>
      <c r="H485">
        <v>2</v>
      </c>
      <c r="I485" s="1">
        <v>43104</v>
      </c>
      <c r="J485" t="s">
        <v>19</v>
      </c>
      <c r="K485">
        <v>143.22</v>
      </c>
      <c r="L485" t="s">
        <v>16</v>
      </c>
    </row>
    <row r="486" spans="1:12" x14ac:dyDescent="0.25">
      <c r="A486" t="s">
        <v>682</v>
      </c>
      <c r="B486">
        <v>2</v>
      </c>
      <c r="C486">
        <v>0</v>
      </c>
      <c r="D486">
        <v>0</v>
      </c>
      <c r="E486">
        <v>3</v>
      </c>
      <c r="F486" t="s">
        <v>13</v>
      </c>
      <c r="G486" t="s">
        <v>14</v>
      </c>
      <c r="H486">
        <v>70</v>
      </c>
      <c r="I486" t="s">
        <v>683</v>
      </c>
      <c r="J486" t="s">
        <v>19</v>
      </c>
      <c r="K486">
        <v>89.25</v>
      </c>
      <c r="L486" t="s">
        <v>16</v>
      </c>
    </row>
    <row r="487" spans="1:12" x14ac:dyDescent="0.25">
      <c r="A487" t="s">
        <v>684</v>
      </c>
      <c r="B487">
        <v>2</v>
      </c>
      <c r="C487">
        <v>0</v>
      </c>
      <c r="D487">
        <v>1</v>
      </c>
      <c r="E487">
        <v>0</v>
      </c>
      <c r="F487" t="s">
        <v>18</v>
      </c>
      <c r="G487" t="s">
        <v>14</v>
      </c>
      <c r="H487">
        <v>4</v>
      </c>
      <c r="I487" t="s">
        <v>288</v>
      </c>
      <c r="J487" t="s">
        <v>15</v>
      </c>
      <c r="K487">
        <v>85</v>
      </c>
      <c r="L487" t="s">
        <v>16</v>
      </c>
    </row>
    <row r="488" spans="1:12" x14ac:dyDescent="0.25">
      <c r="A488" t="s">
        <v>685</v>
      </c>
      <c r="B488">
        <v>2</v>
      </c>
      <c r="C488">
        <v>0</v>
      </c>
      <c r="D488">
        <v>2</v>
      </c>
      <c r="E488">
        <v>0</v>
      </c>
      <c r="F488" t="s">
        <v>13</v>
      </c>
      <c r="G488" t="s">
        <v>14</v>
      </c>
      <c r="H488">
        <v>34</v>
      </c>
      <c r="I488" t="s">
        <v>21</v>
      </c>
      <c r="J488" t="s">
        <v>129</v>
      </c>
      <c r="K488">
        <v>6.5</v>
      </c>
      <c r="L488" t="s">
        <v>16</v>
      </c>
    </row>
    <row r="489" spans="1:12" x14ac:dyDescent="0.25">
      <c r="A489" t="s">
        <v>686</v>
      </c>
      <c r="B489">
        <v>2</v>
      </c>
      <c r="C489">
        <v>2</v>
      </c>
      <c r="D489">
        <v>0</v>
      </c>
      <c r="E489">
        <v>1</v>
      </c>
      <c r="F489" t="s">
        <v>13</v>
      </c>
      <c r="G489" t="s">
        <v>78</v>
      </c>
      <c r="H489">
        <v>16</v>
      </c>
      <c r="I489" s="1">
        <v>43315</v>
      </c>
      <c r="J489" t="s">
        <v>19</v>
      </c>
      <c r="K489">
        <v>83.03</v>
      </c>
      <c r="L489" t="s">
        <v>22</v>
      </c>
    </row>
    <row r="490" spans="1:12" x14ac:dyDescent="0.25">
      <c r="A490" t="s">
        <v>687</v>
      </c>
      <c r="B490">
        <v>2</v>
      </c>
      <c r="C490">
        <v>0</v>
      </c>
      <c r="D490">
        <v>1</v>
      </c>
      <c r="E490">
        <v>3</v>
      </c>
      <c r="F490" t="s">
        <v>13</v>
      </c>
      <c r="G490" t="s">
        <v>14</v>
      </c>
      <c r="H490">
        <v>24</v>
      </c>
      <c r="I490" s="1">
        <v>43406</v>
      </c>
      <c r="J490" t="s">
        <v>19</v>
      </c>
      <c r="K490">
        <v>91</v>
      </c>
      <c r="L490" t="s">
        <v>22</v>
      </c>
    </row>
    <row r="491" spans="1:12" x14ac:dyDescent="0.25">
      <c r="A491" t="s">
        <v>688</v>
      </c>
      <c r="B491">
        <v>2</v>
      </c>
      <c r="C491">
        <v>0</v>
      </c>
      <c r="D491">
        <v>2</v>
      </c>
      <c r="E491">
        <v>2</v>
      </c>
      <c r="F491" t="s">
        <v>18</v>
      </c>
      <c r="G491" t="s">
        <v>14</v>
      </c>
      <c r="H491">
        <v>78</v>
      </c>
      <c r="I491" s="1">
        <v>43377</v>
      </c>
      <c r="J491" t="s">
        <v>19</v>
      </c>
      <c r="K491">
        <v>80.75</v>
      </c>
      <c r="L491" t="s">
        <v>16</v>
      </c>
    </row>
    <row r="492" spans="1:12" x14ac:dyDescent="0.25">
      <c r="A492" t="s">
        <v>689</v>
      </c>
      <c r="B492">
        <v>2</v>
      </c>
      <c r="C492">
        <v>0</v>
      </c>
      <c r="D492">
        <v>1</v>
      </c>
      <c r="E492">
        <v>2</v>
      </c>
      <c r="F492" t="s">
        <v>13</v>
      </c>
      <c r="G492" t="s">
        <v>14</v>
      </c>
      <c r="H492">
        <v>305</v>
      </c>
      <c r="I492" s="1">
        <v>43201</v>
      </c>
      <c r="J492" t="s">
        <v>19</v>
      </c>
      <c r="K492">
        <v>89</v>
      </c>
      <c r="L492" t="s">
        <v>22</v>
      </c>
    </row>
    <row r="493" spans="1:12" x14ac:dyDescent="0.25">
      <c r="A493" t="s">
        <v>690</v>
      </c>
      <c r="B493">
        <v>2</v>
      </c>
      <c r="C493">
        <v>0</v>
      </c>
      <c r="D493">
        <v>0</v>
      </c>
      <c r="E493">
        <v>3</v>
      </c>
      <c r="F493" t="s">
        <v>13</v>
      </c>
      <c r="G493" t="s">
        <v>14</v>
      </c>
      <c r="H493">
        <v>37</v>
      </c>
      <c r="I493" t="s">
        <v>60</v>
      </c>
      <c r="J493" t="s">
        <v>15</v>
      </c>
      <c r="K493">
        <v>105</v>
      </c>
      <c r="L493" t="s">
        <v>16</v>
      </c>
    </row>
    <row r="494" spans="1:12" x14ac:dyDescent="0.25">
      <c r="A494" t="s">
        <v>691</v>
      </c>
      <c r="B494">
        <v>2</v>
      </c>
      <c r="C494">
        <v>0</v>
      </c>
      <c r="D494">
        <v>2</v>
      </c>
      <c r="E494">
        <v>5</v>
      </c>
      <c r="F494" t="s">
        <v>13</v>
      </c>
      <c r="G494" t="s">
        <v>14</v>
      </c>
      <c r="H494">
        <v>98</v>
      </c>
      <c r="I494" t="s">
        <v>39</v>
      </c>
      <c r="J494" t="s">
        <v>19</v>
      </c>
      <c r="K494">
        <v>109.81</v>
      </c>
      <c r="L494" t="s">
        <v>16</v>
      </c>
    </row>
    <row r="495" spans="1:12" x14ac:dyDescent="0.25">
      <c r="A495" t="s">
        <v>692</v>
      </c>
      <c r="B495">
        <v>2</v>
      </c>
      <c r="C495">
        <v>0</v>
      </c>
      <c r="D495">
        <v>1</v>
      </c>
      <c r="E495">
        <v>3</v>
      </c>
      <c r="F495" t="s">
        <v>13</v>
      </c>
      <c r="G495" t="s">
        <v>32</v>
      </c>
      <c r="H495">
        <v>14</v>
      </c>
      <c r="I495" s="1">
        <v>43232</v>
      </c>
      <c r="J495" t="s">
        <v>19</v>
      </c>
      <c r="K495">
        <v>70.88</v>
      </c>
      <c r="L495" t="s">
        <v>16</v>
      </c>
    </row>
    <row r="496" spans="1:12" x14ac:dyDescent="0.25">
      <c r="A496" t="s">
        <v>693</v>
      </c>
      <c r="B496">
        <v>1</v>
      </c>
      <c r="C496">
        <v>0</v>
      </c>
      <c r="D496">
        <v>0</v>
      </c>
      <c r="E496">
        <v>2</v>
      </c>
      <c r="F496" t="s">
        <v>18</v>
      </c>
      <c r="G496" t="s">
        <v>14</v>
      </c>
      <c r="H496">
        <v>44</v>
      </c>
      <c r="I496" t="s">
        <v>694</v>
      </c>
      <c r="J496" t="s">
        <v>19</v>
      </c>
      <c r="K496">
        <v>83.6</v>
      </c>
      <c r="L496" t="s">
        <v>16</v>
      </c>
    </row>
    <row r="497" spans="1:12" x14ac:dyDescent="0.25">
      <c r="A497" t="s">
        <v>695</v>
      </c>
      <c r="B497">
        <v>1</v>
      </c>
      <c r="C497">
        <v>0</v>
      </c>
      <c r="D497">
        <v>2</v>
      </c>
      <c r="E497">
        <v>1</v>
      </c>
      <c r="F497" t="s">
        <v>13</v>
      </c>
      <c r="G497" t="s">
        <v>14</v>
      </c>
      <c r="H497">
        <v>1</v>
      </c>
      <c r="I497" t="s">
        <v>21</v>
      </c>
      <c r="J497" t="s">
        <v>19</v>
      </c>
      <c r="K497">
        <v>60</v>
      </c>
      <c r="L497" t="s">
        <v>22</v>
      </c>
    </row>
    <row r="498" spans="1:12" x14ac:dyDescent="0.25">
      <c r="A498" t="s">
        <v>696</v>
      </c>
      <c r="B498">
        <v>2</v>
      </c>
      <c r="C498">
        <v>0</v>
      </c>
      <c r="D498">
        <v>0</v>
      </c>
      <c r="E498">
        <v>3</v>
      </c>
      <c r="F498" t="s">
        <v>13</v>
      </c>
      <c r="G498" t="s">
        <v>14</v>
      </c>
      <c r="H498">
        <v>213</v>
      </c>
      <c r="I498" s="1">
        <v>43287</v>
      </c>
      <c r="J498" t="s">
        <v>19</v>
      </c>
      <c r="K498">
        <v>130</v>
      </c>
      <c r="L498" t="s">
        <v>22</v>
      </c>
    </row>
    <row r="499" spans="1:12" x14ac:dyDescent="0.25">
      <c r="A499" t="s">
        <v>697</v>
      </c>
      <c r="B499">
        <v>1</v>
      </c>
      <c r="C499">
        <v>0</v>
      </c>
      <c r="D499">
        <v>1</v>
      </c>
      <c r="E499">
        <v>1</v>
      </c>
      <c r="F499" t="s">
        <v>13</v>
      </c>
      <c r="G499" t="s">
        <v>14</v>
      </c>
      <c r="H499">
        <v>5</v>
      </c>
      <c r="I499" s="1">
        <v>43194</v>
      </c>
      <c r="J499" t="s">
        <v>19</v>
      </c>
      <c r="K499">
        <v>95</v>
      </c>
      <c r="L499" t="s">
        <v>16</v>
      </c>
    </row>
    <row r="500" spans="1:12" x14ac:dyDescent="0.25">
      <c r="A500" t="s">
        <v>698</v>
      </c>
      <c r="B500">
        <v>2</v>
      </c>
      <c r="C500">
        <v>0</v>
      </c>
      <c r="D500">
        <v>0</v>
      </c>
      <c r="E500">
        <v>1</v>
      </c>
      <c r="F500" t="s">
        <v>27</v>
      </c>
      <c r="G500" t="s">
        <v>14</v>
      </c>
      <c r="H500">
        <v>55</v>
      </c>
      <c r="I500" s="1">
        <v>43255</v>
      </c>
      <c r="J500" t="s">
        <v>15</v>
      </c>
      <c r="K500">
        <v>104</v>
      </c>
      <c r="L500" t="s">
        <v>16</v>
      </c>
    </row>
    <row r="501" spans="1:12" x14ac:dyDescent="0.25">
      <c r="A501" t="s">
        <v>699</v>
      </c>
      <c r="B501">
        <v>2</v>
      </c>
      <c r="C501">
        <v>0</v>
      </c>
      <c r="D501">
        <v>0</v>
      </c>
      <c r="E501">
        <v>3</v>
      </c>
      <c r="F501" t="s">
        <v>13</v>
      </c>
      <c r="G501" t="s">
        <v>32</v>
      </c>
      <c r="H501">
        <v>139</v>
      </c>
      <c r="I501" s="1">
        <v>43406</v>
      </c>
      <c r="J501" t="s">
        <v>15</v>
      </c>
      <c r="K501">
        <v>62</v>
      </c>
      <c r="L501" t="s">
        <v>16</v>
      </c>
    </row>
    <row r="502" spans="1:12" x14ac:dyDescent="0.25">
      <c r="A502" t="s">
        <v>700</v>
      </c>
      <c r="B502">
        <v>2</v>
      </c>
      <c r="C502">
        <v>0</v>
      </c>
      <c r="D502">
        <v>2</v>
      </c>
      <c r="E502">
        <v>1</v>
      </c>
      <c r="F502" t="s">
        <v>13</v>
      </c>
      <c r="G502" t="s">
        <v>78</v>
      </c>
      <c r="H502">
        <v>44</v>
      </c>
      <c r="I502" t="s">
        <v>701</v>
      </c>
      <c r="J502" t="s">
        <v>15</v>
      </c>
      <c r="K502">
        <v>95</v>
      </c>
      <c r="L502" t="s">
        <v>16</v>
      </c>
    </row>
    <row r="503" spans="1:12" x14ac:dyDescent="0.25">
      <c r="A503" t="s">
        <v>702</v>
      </c>
      <c r="B503">
        <v>1</v>
      </c>
      <c r="C503">
        <v>0</v>
      </c>
      <c r="D503">
        <v>2</v>
      </c>
      <c r="E503">
        <v>1</v>
      </c>
      <c r="F503" t="s">
        <v>27</v>
      </c>
      <c r="G503" t="s">
        <v>32</v>
      </c>
      <c r="H503">
        <v>18</v>
      </c>
      <c r="I503" t="s">
        <v>21</v>
      </c>
      <c r="J503" t="s">
        <v>19</v>
      </c>
      <c r="K503">
        <v>145</v>
      </c>
      <c r="L503" t="s">
        <v>16</v>
      </c>
    </row>
    <row r="504" spans="1:12" x14ac:dyDescent="0.25">
      <c r="A504" t="s">
        <v>703</v>
      </c>
      <c r="B504">
        <v>1</v>
      </c>
      <c r="C504">
        <v>0</v>
      </c>
      <c r="D504">
        <v>1</v>
      </c>
      <c r="E504">
        <v>0</v>
      </c>
      <c r="F504" t="s">
        <v>13</v>
      </c>
      <c r="G504" t="s">
        <v>14</v>
      </c>
      <c r="H504">
        <v>0</v>
      </c>
      <c r="I504" t="s">
        <v>164</v>
      </c>
      <c r="J504" t="s">
        <v>56</v>
      </c>
      <c r="K504">
        <v>95</v>
      </c>
      <c r="L504" t="s">
        <v>16</v>
      </c>
    </row>
    <row r="505" spans="1:12" x14ac:dyDescent="0.25">
      <c r="A505" t="s">
        <v>704</v>
      </c>
      <c r="B505">
        <v>1</v>
      </c>
      <c r="C505">
        <v>0</v>
      </c>
      <c r="D505">
        <v>0</v>
      </c>
      <c r="E505">
        <v>2</v>
      </c>
      <c r="F505" t="s">
        <v>13</v>
      </c>
      <c r="G505" t="s">
        <v>14</v>
      </c>
      <c r="H505">
        <v>192</v>
      </c>
      <c r="I505" t="s">
        <v>127</v>
      </c>
      <c r="J505" t="s">
        <v>15</v>
      </c>
      <c r="K505">
        <v>95</v>
      </c>
      <c r="L505" t="s">
        <v>16</v>
      </c>
    </row>
    <row r="506" spans="1:12" x14ac:dyDescent="0.25">
      <c r="A506" t="s">
        <v>705</v>
      </c>
      <c r="B506">
        <v>2</v>
      </c>
      <c r="C506">
        <v>0</v>
      </c>
      <c r="D506">
        <v>2</v>
      </c>
      <c r="E506">
        <v>4</v>
      </c>
      <c r="F506" t="s">
        <v>13</v>
      </c>
      <c r="G506" t="s">
        <v>14</v>
      </c>
      <c r="H506">
        <v>152</v>
      </c>
      <c r="I506" t="s">
        <v>442</v>
      </c>
      <c r="J506" t="s">
        <v>15</v>
      </c>
      <c r="K506">
        <v>80.75</v>
      </c>
      <c r="L506" t="s">
        <v>16</v>
      </c>
    </row>
    <row r="507" spans="1:12" x14ac:dyDescent="0.25">
      <c r="A507" t="s">
        <v>706</v>
      </c>
      <c r="B507">
        <v>3</v>
      </c>
      <c r="C507">
        <v>0</v>
      </c>
      <c r="D507">
        <v>0</v>
      </c>
      <c r="E507">
        <v>4</v>
      </c>
      <c r="F507" t="s">
        <v>13</v>
      </c>
      <c r="G507" t="s">
        <v>32</v>
      </c>
      <c r="H507">
        <v>42</v>
      </c>
      <c r="I507" t="s">
        <v>176</v>
      </c>
      <c r="J507" t="s">
        <v>19</v>
      </c>
      <c r="K507">
        <v>142.19999999999999</v>
      </c>
      <c r="L507" t="s">
        <v>16</v>
      </c>
    </row>
    <row r="508" spans="1:12" x14ac:dyDescent="0.25">
      <c r="A508" t="s">
        <v>707</v>
      </c>
      <c r="B508">
        <v>3</v>
      </c>
      <c r="C508">
        <v>0</v>
      </c>
      <c r="D508">
        <v>2</v>
      </c>
      <c r="E508">
        <v>3</v>
      </c>
      <c r="F508" t="s">
        <v>13</v>
      </c>
      <c r="G508" t="s">
        <v>32</v>
      </c>
      <c r="H508">
        <v>209</v>
      </c>
      <c r="I508" t="s">
        <v>708</v>
      </c>
      <c r="J508" t="s">
        <v>19</v>
      </c>
      <c r="K508">
        <v>128.69999999999999</v>
      </c>
      <c r="L508" t="s">
        <v>22</v>
      </c>
    </row>
    <row r="509" spans="1:12" x14ac:dyDescent="0.25">
      <c r="A509" t="s">
        <v>709</v>
      </c>
      <c r="B509">
        <v>2</v>
      </c>
      <c r="C509">
        <v>0</v>
      </c>
      <c r="D509">
        <v>2</v>
      </c>
      <c r="E509">
        <v>3</v>
      </c>
      <c r="F509" t="s">
        <v>13</v>
      </c>
      <c r="G509" t="s">
        <v>14</v>
      </c>
      <c r="H509">
        <v>69</v>
      </c>
      <c r="I509" t="s">
        <v>58</v>
      </c>
      <c r="J509" t="s">
        <v>19</v>
      </c>
      <c r="K509">
        <v>90.95</v>
      </c>
      <c r="L509" t="s">
        <v>16</v>
      </c>
    </row>
    <row r="510" spans="1:12" x14ac:dyDescent="0.25">
      <c r="A510" t="s">
        <v>710</v>
      </c>
      <c r="B510">
        <v>2</v>
      </c>
      <c r="C510">
        <v>0</v>
      </c>
      <c r="D510">
        <v>1</v>
      </c>
      <c r="E510">
        <v>2</v>
      </c>
      <c r="F510" t="s">
        <v>13</v>
      </c>
      <c r="G510" t="s">
        <v>14</v>
      </c>
      <c r="H510">
        <v>80</v>
      </c>
      <c r="I510" t="s">
        <v>251</v>
      </c>
      <c r="J510" t="s">
        <v>19</v>
      </c>
      <c r="K510">
        <v>93.6</v>
      </c>
      <c r="L510" t="s">
        <v>16</v>
      </c>
    </row>
    <row r="511" spans="1:12" x14ac:dyDescent="0.25">
      <c r="A511" t="s">
        <v>711</v>
      </c>
      <c r="B511">
        <v>2</v>
      </c>
      <c r="C511">
        <v>0</v>
      </c>
      <c r="D511">
        <v>1</v>
      </c>
      <c r="E511">
        <v>2</v>
      </c>
      <c r="F511" t="s">
        <v>13</v>
      </c>
      <c r="G511" t="s">
        <v>32</v>
      </c>
      <c r="H511">
        <v>49</v>
      </c>
      <c r="I511" s="1">
        <v>42989</v>
      </c>
      <c r="J511" t="s">
        <v>15</v>
      </c>
      <c r="K511">
        <v>60</v>
      </c>
      <c r="L511" t="s">
        <v>16</v>
      </c>
    </row>
    <row r="512" spans="1:12" x14ac:dyDescent="0.25">
      <c r="A512" t="s">
        <v>712</v>
      </c>
      <c r="B512">
        <v>1</v>
      </c>
      <c r="C512">
        <v>0</v>
      </c>
      <c r="D512">
        <v>0</v>
      </c>
      <c r="E512">
        <v>3</v>
      </c>
      <c r="F512" t="s">
        <v>13</v>
      </c>
      <c r="G512" t="s">
        <v>14</v>
      </c>
      <c r="H512">
        <v>143</v>
      </c>
      <c r="I512" t="s">
        <v>140</v>
      </c>
      <c r="J512" t="s">
        <v>15</v>
      </c>
      <c r="K512">
        <v>90</v>
      </c>
      <c r="L512" t="s">
        <v>16</v>
      </c>
    </row>
    <row r="513" spans="1:12" x14ac:dyDescent="0.25">
      <c r="A513" t="s">
        <v>713</v>
      </c>
      <c r="B513">
        <v>2</v>
      </c>
      <c r="C513">
        <v>0</v>
      </c>
      <c r="D513">
        <v>2</v>
      </c>
      <c r="E513">
        <v>1</v>
      </c>
      <c r="F513" t="s">
        <v>18</v>
      </c>
      <c r="G513" t="s">
        <v>14</v>
      </c>
      <c r="H513">
        <v>67</v>
      </c>
      <c r="I513" s="1">
        <v>42867</v>
      </c>
      <c r="J513" t="s">
        <v>19</v>
      </c>
      <c r="K513">
        <v>95.4</v>
      </c>
      <c r="L513" t="s">
        <v>16</v>
      </c>
    </row>
    <row r="514" spans="1:12" x14ac:dyDescent="0.25">
      <c r="A514" t="s">
        <v>714</v>
      </c>
      <c r="B514">
        <v>2</v>
      </c>
      <c r="C514">
        <v>0</v>
      </c>
      <c r="D514">
        <v>0</v>
      </c>
      <c r="E514">
        <v>2</v>
      </c>
      <c r="F514" t="s">
        <v>13</v>
      </c>
      <c r="G514" t="s">
        <v>14</v>
      </c>
      <c r="H514">
        <v>41</v>
      </c>
      <c r="I514" t="s">
        <v>708</v>
      </c>
      <c r="J514" t="s">
        <v>19</v>
      </c>
      <c r="K514">
        <v>160</v>
      </c>
      <c r="L514" t="s">
        <v>22</v>
      </c>
    </row>
    <row r="515" spans="1:12" x14ac:dyDescent="0.25">
      <c r="A515" t="s">
        <v>715</v>
      </c>
      <c r="B515">
        <v>2</v>
      </c>
      <c r="C515">
        <v>0</v>
      </c>
      <c r="D515">
        <v>2</v>
      </c>
      <c r="E515">
        <v>1</v>
      </c>
      <c r="F515" t="s">
        <v>13</v>
      </c>
      <c r="G515" t="s">
        <v>32</v>
      </c>
      <c r="H515">
        <v>154</v>
      </c>
      <c r="I515" t="s">
        <v>253</v>
      </c>
      <c r="J515" t="s">
        <v>19</v>
      </c>
      <c r="K515">
        <v>104.1</v>
      </c>
      <c r="L515" t="s">
        <v>22</v>
      </c>
    </row>
    <row r="516" spans="1:12" x14ac:dyDescent="0.25">
      <c r="A516" t="s">
        <v>716</v>
      </c>
      <c r="B516">
        <v>2</v>
      </c>
      <c r="C516">
        <v>0</v>
      </c>
      <c r="D516">
        <v>0</v>
      </c>
      <c r="E516">
        <v>1</v>
      </c>
      <c r="F516" t="s">
        <v>27</v>
      </c>
      <c r="G516" t="s">
        <v>14</v>
      </c>
      <c r="H516">
        <v>55</v>
      </c>
      <c r="I516" s="1">
        <v>43255</v>
      </c>
      <c r="J516" t="s">
        <v>15</v>
      </c>
      <c r="K516">
        <v>104</v>
      </c>
      <c r="L516" t="s">
        <v>16</v>
      </c>
    </row>
    <row r="517" spans="1:12" x14ac:dyDescent="0.25">
      <c r="A517" t="s">
        <v>717</v>
      </c>
      <c r="B517">
        <v>2</v>
      </c>
      <c r="C517">
        <v>0</v>
      </c>
      <c r="D517">
        <v>0</v>
      </c>
      <c r="E517">
        <v>4</v>
      </c>
      <c r="F517" t="s">
        <v>13</v>
      </c>
      <c r="G517" t="s">
        <v>14</v>
      </c>
      <c r="H517">
        <v>2</v>
      </c>
      <c r="I517" s="1">
        <v>43167</v>
      </c>
      <c r="J517" t="s">
        <v>15</v>
      </c>
      <c r="K517">
        <v>109</v>
      </c>
      <c r="L517" t="s">
        <v>16</v>
      </c>
    </row>
    <row r="518" spans="1:12" x14ac:dyDescent="0.25">
      <c r="A518" t="s">
        <v>718</v>
      </c>
      <c r="B518">
        <v>2</v>
      </c>
      <c r="C518">
        <v>0</v>
      </c>
      <c r="D518">
        <v>2</v>
      </c>
      <c r="E518">
        <v>4</v>
      </c>
      <c r="F518" t="s">
        <v>13</v>
      </c>
      <c r="G518" t="s">
        <v>32</v>
      </c>
      <c r="H518">
        <v>99</v>
      </c>
      <c r="I518" s="1">
        <v>43377</v>
      </c>
      <c r="J518" t="s">
        <v>19</v>
      </c>
      <c r="K518">
        <v>93.78</v>
      </c>
      <c r="L518" t="s">
        <v>22</v>
      </c>
    </row>
    <row r="519" spans="1:12" x14ac:dyDescent="0.25">
      <c r="A519" t="s">
        <v>719</v>
      </c>
      <c r="B519">
        <v>1</v>
      </c>
      <c r="C519">
        <v>0</v>
      </c>
      <c r="D519">
        <v>0</v>
      </c>
      <c r="E519">
        <v>2</v>
      </c>
      <c r="F519" t="s">
        <v>13</v>
      </c>
      <c r="G519" t="s">
        <v>14</v>
      </c>
      <c r="H519">
        <v>14</v>
      </c>
      <c r="I519" t="s">
        <v>720</v>
      </c>
      <c r="J519" t="s">
        <v>56</v>
      </c>
      <c r="K519">
        <v>95</v>
      </c>
      <c r="L519" t="s">
        <v>16</v>
      </c>
    </row>
    <row r="520" spans="1:12" x14ac:dyDescent="0.25">
      <c r="A520" t="s">
        <v>721</v>
      </c>
      <c r="B520">
        <v>1</v>
      </c>
      <c r="C520">
        <v>0</v>
      </c>
      <c r="D520">
        <v>0</v>
      </c>
      <c r="E520">
        <v>1</v>
      </c>
      <c r="F520" t="s">
        <v>18</v>
      </c>
      <c r="G520" t="s">
        <v>14</v>
      </c>
      <c r="H520">
        <v>0</v>
      </c>
      <c r="I520" t="s">
        <v>421</v>
      </c>
      <c r="J520" t="s">
        <v>19</v>
      </c>
      <c r="K520">
        <v>140</v>
      </c>
      <c r="L520" t="s">
        <v>16</v>
      </c>
    </row>
    <row r="521" spans="1:12" x14ac:dyDescent="0.25">
      <c r="A521" t="s">
        <v>722</v>
      </c>
      <c r="B521">
        <v>2</v>
      </c>
      <c r="C521">
        <v>0</v>
      </c>
      <c r="D521">
        <v>1</v>
      </c>
      <c r="E521">
        <v>3</v>
      </c>
      <c r="F521" t="s">
        <v>13</v>
      </c>
      <c r="G521" t="s">
        <v>14</v>
      </c>
      <c r="H521">
        <v>22</v>
      </c>
      <c r="I521" t="s">
        <v>723</v>
      </c>
      <c r="J521" t="s">
        <v>19</v>
      </c>
      <c r="K521">
        <v>87</v>
      </c>
      <c r="L521" t="s">
        <v>16</v>
      </c>
    </row>
    <row r="522" spans="1:12" x14ac:dyDescent="0.25">
      <c r="A522" t="s">
        <v>724</v>
      </c>
      <c r="B522">
        <v>1</v>
      </c>
      <c r="C522">
        <v>0</v>
      </c>
      <c r="D522">
        <v>2</v>
      </c>
      <c r="E522">
        <v>1</v>
      </c>
      <c r="F522" t="s">
        <v>13</v>
      </c>
      <c r="G522" t="s">
        <v>32</v>
      </c>
      <c r="H522">
        <v>7</v>
      </c>
      <c r="I522" s="1">
        <v>43223</v>
      </c>
      <c r="J522" t="s">
        <v>19</v>
      </c>
      <c r="K522">
        <v>85.85</v>
      </c>
      <c r="L522" t="s">
        <v>16</v>
      </c>
    </row>
    <row r="523" spans="1:12" x14ac:dyDescent="0.25">
      <c r="A523" t="s">
        <v>725</v>
      </c>
      <c r="B523">
        <v>2</v>
      </c>
      <c r="C523">
        <v>0</v>
      </c>
      <c r="D523">
        <v>1</v>
      </c>
      <c r="E523">
        <v>3</v>
      </c>
      <c r="F523" t="s">
        <v>13</v>
      </c>
      <c r="G523" t="s">
        <v>32</v>
      </c>
      <c r="H523">
        <v>84</v>
      </c>
      <c r="I523" t="s">
        <v>393</v>
      </c>
      <c r="J523" t="s">
        <v>19</v>
      </c>
      <c r="K523">
        <v>99.45</v>
      </c>
      <c r="L523" t="s">
        <v>16</v>
      </c>
    </row>
    <row r="524" spans="1:12" x14ac:dyDescent="0.25">
      <c r="A524" t="s">
        <v>726</v>
      </c>
      <c r="B524">
        <v>2</v>
      </c>
      <c r="C524">
        <v>0</v>
      </c>
      <c r="D524">
        <v>0</v>
      </c>
      <c r="E524">
        <v>4</v>
      </c>
      <c r="F524" t="s">
        <v>13</v>
      </c>
      <c r="G524" t="s">
        <v>32</v>
      </c>
      <c r="H524">
        <v>109</v>
      </c>
      <c r="I524" s="1">
        <v>43195</v>
      </c>
      <c r="J524" t="s">
        <v>19</v>
      </c>
      <c r="K524">
        <v>120.28</v>
      </c>
      <c r="L524" t="s">
        <v>16</v>
      </c>
    </row>
    <row r="525" spans="1:12" x14ac:dyDescent="0.25">
      <c r="A525" t="s">
        <v>727</v>
      </c>
      <c r="B525">
        <v>1</v>
      </c>
      <c r="C525">
        <v>0</v>
      </c>
      <c r="D525">
        <v>0</v>
      </c>
      <c r="E525">
        <v>3</v>
      </c>
      <c r="F525" t="s">
        <v>13</v>
      </c>
      <c r="G525" t="s">
        <v>14</v>
      </c>
      <c r="H525">
        <v>71</v>
      </c>
      <c r="I525" t="s">
        <v>728</v>
      </c>
      <c r="J525" t="s">
        <v>15</v>
      </c>
      <c r="K525">
        <v>120</v>
      </c>
      <c r="L525" t="s">
        <v>16</v>
      </c>
    </row>
    <row r="526" spans="1:12" x14ac:dyDescent="0.25">
      <c r="A526" t="s">
        <v>729</v>
      </c>
      <c r="B526">
        <v>2</v>
      </c>
      <c r="C526">
        <v>0</v>
      </c>
      <c r="D526">
        <v>2</v>
      </c>
      <c r="E526">
        <v>0</v>
      </c>
      <c r="F526" t="s">
        <v>13</v>
      </c>
      <c r="G526" t="s">
        <v>14</v>
      </c>
      <c r="H526">
        <v>4</v>
      </c>
      <c r="I526" s="1">
        <v>43163</v>
      </c>
      <c r="J526" t="s">
        <v>19</v>
      </c>
      <c r="K526">
        <v>77.77</v>
      </c>
      <c r="L526" t="s">
        <v>16</v>
      </c>
    </row>
    <row r="527" spans="1:12" x14ac:dyDescent="0.25">
      <c r="A527" t="s">
        <v>730</v>
      </c>
      <c r="B527">
        <v>1</v>
      </c>
      <c r="C527">
        <v>0</v>
      </c>
      <c r="D527">
        <v>0</v>
      </c>
      <c r="E527">
        <v>3</v>
      </c>
      <c r="F527" t="s">
        <v>13</v>
      </c>
      <c r="G527" t="s">
        <v>14</v>
      </c>
      <c r="H527">
        <v>71</v>
      </c>
      <c r="I527" t="s">
        <v>728</v>
      </c>
      <c r="J527" t="s">
        <v>15</v>
      </c>
      <c r="K527">
        <v>120</v>
      </c>
      <c r="L527" t="s">
        <v>16</v>
      </c>
    </row>
    <row r="528" spans="1:12" x14ac:dyDescent="0.25">
      <c r="A528" t="s">
        <v>731</v>
      </c>
      <c r="B528">
        <v>2</v>
      </c>
      <c r="C528">
        <v>0</v>
      </c>
      <c r="D528">
        <v>0</v>
      </c>
      <c r="E528">
        <v>1</v>
      </c>
      <c r="F528" t="s">
        <v>18</v>
      </c>
      <c r="G528" t="s">
        <v>14</v>
      </c>
      <c r="H528">
        <v>58</v>
      </c>
      <c r="I528" s="1">
        <v>43379</v>
      </c>
      <c r="J528" t="s">
        <v>19</v>
      </c>
      <c r="K528">
        <v>116.1</v>
      </c>
      <c r="L528" t="s">
        <v>16</v>
      </c>
    </row>
    <row r="529" spans="1:12" x14ac:dyDescent="0.25">
      <c r="A529" t="s">
        <v>732</v>
      </c>
      <c r="B529">
        <v>3</v>
      </c>
      <c r="C529">
        <v>0</v>
      </c>
      <c r="D529">
        <v>0</v>
      </c>
      <c r="E529">
        <v>1</v>
      </c>
      <c r="F529" t="s">
        <v>27</v>
      </c>
      <c r="G529" t="s">
        <v>32</v>
      </c>
      <c r="H529">
        <v>133</v>
      </c>
      <c r="I529" t="s">
        <v>413</v>
      </c>
      <c r="J529" t="s">
        <v>19</v>
      </c>
      <c r="K529">
        <v>189</v>
      </c>
      <c r="L529" t="s">
        <v>22</v>
      </c>
    </row>
    <row r="530" spans="1:12" x14ac:dyDescent="0.25">
      <c r="A530" t="s">
        <v>733</v>
      </c>
      <c r="B530">
        <v>2</v>
      </c>
      <c r="C530">
        <v>0</v>
      </c>
      <c r="D530">
        <v>2</v>
      </c>
      <c r="E530">
        <v>1</v>
      </c>
      <c r="F530" t="s">
        <v>13</v>
      </c>
      <c r="G530" t="s">
        <v>32</v>
      </c>
      <c r="H530">
        <v>27</v>
      </c>
      <c r="I530" t="s">
        <v>209</v>
      </c>
      <c r="J530" t="s">
        <v>19</v>
      </c>
      <c r="K530">
        <v>152.66999999999999</v>
      </c>
      <c r="L530" t="s">
        <v>22</v>
      </c>
    </row>
    <row r="531" spans="1:12" x14ac:dyDescent="0.25">
      <c r="A531" t="s">
        <v>734</v>
      </c>
      <c r="B531">
        <v>2</v>
      </c>
      <c r="C531">
        <v>0</v>
      </c>
      <c r="D531">
        <v>2</v>
      </c>
      <c r="E531">
        <v>3</v>
      </c>
      <c r="F531" t="s">
        <v>13</v>
      </c>
      <c r="G531" t="s">
        <v>14</v>
      </c>
      <c r="H531">
        <v>27</v>
      </c>
      <c r="I531" s="1">
        <v>43192</v>
      </c>
      <c r="J531" t="s">
        <v>19</v>
      </c>
      <c r="K531">
        <v>66.31</v>
      </c>
      <c r="L531" t="s">
        <v>16</v>
      </c>
    </row>
    <row r="532" spans="1:12" x14ac:dyDescent="0.25">
      <c r="A532" t="s">
        <v>735</v>
      </c>
      <c r="B532">
        <v>1</v>
      </c>
      <c r="C532">
        <v>0</v>
      </c>
      <c r="D532">
        <v>0</v>
      </c>
      <c r="E532">
        <v>1</v>
      </c>
      <c r="F532" t="s">
        <v>13</v>
      </c>
      <c r="G532" t="s">
        <v>14</v>
      </c>
      <c r="H532">
        <v>9</v>
      </c>
      <c r="I532" s="1">
        <v>43017</v>
      </c>
      <c r="J532" t="s">
        <v>19</v>
      </c>
      <c r="K532">
        <v>95</v>
      </c>
      <c r="L532" t="s">
        <v>16</v>
      </c>
    </row>
    <row r="533" spans="1:12" x14ac:dyDescent="0.25">
      <c r="A533" t="s">
        <v>736</v>
      </c>
      <c r="B533">
        <v>2</v>
      </c>
      <c r="C533">
        <v>1</v>
      </c>
      <c r="D533">
        <v>0</v>
      </c>
      <c r="E533">
        <v>3</v>
      </c>
      <c r="F533" t="s">
        <v>13</v>
      </c>
      <c r="G533" t="s">
        <v>14</v>
      </c>
      <c r="H533">
        <v>86</v>
      </c>
      <c r="I533" s="1">
        <v>43324</v>
      </c>
      <c r="J533" t="s">
        <v>19</v>
      </c>
      <c r="K533">
        <v>122</v>
      </c>
      <c r="L533" t="s">
        <v>22</v>
      </c>
    </row>
    <row r="534" spans="1:12" x14ac:dyDescent="0.25">
      <c r="A534" t="s">
        <v>737</v>
      </c>
      <c r="B534">
        <v>2</v>
      </c>
      <c r="C534">
        <v>0</v>
      </c>
      <c r="D534">
        <v>0</v>
      </c>
      <c r="E534">
        <v>3</v>
      </c>
      <c r="F534" t="s">
        <v>13</v>
      </c>
      <c r="G534" t="s">
        <v>14</v>
      </c>
      <c r="H534">
        <v>13</v>
      </c>
      <c r="I534" t="s">
        <v>738</v>
      </c>
      <c r="J534" t="s">
        <v>15</v>
      </c>
      <c r="K534">
        <v>58</v>
      </c>
      <c r="L534" t="s">
        <v>16</v>
      </c>
    </row>
    <row r="535" spans="1:12" x14ac:dyDescent="0.25">
      <c r="A535" t="s">
        <v>739</v>
      </c>
      <c r="B535">
        <v>2</v>
      </c>
      <c r="C535">
        <v>0</v>
      </c>
      <c r="D535">
        <v>1</v>
      </c>
      <c r="E535">
        <v>3</v>
      </c>
      <c r="F535" t="s">
        <v>13</v>
      </c>
      <c r="G535" t="s">
        <v>14</v>
      </c>
      <c r="H535">
        <v>0</v>
      </c>
      <c r="I535" s="1">
        <v>43232</v>
      </c>
      <c r="J535" t="s">
        <v>19</v>
      </c>
      <c r="K535">
        <v>89.89</v>
      </c>
      <c r="L535" t="s">
        <v>16</v>
      </c>
    </row>
    <row r="536" spans="1:12" x14ac:dyDescent="0.25">
      <c r="A536" t="s">
        <v>740</v>
      </c>
      <c r="B536">
        <v>2</v>
      </c>
      <c r="C536">
        <v>0</v>
      </c>
      <c r="D536">
        <v>0</v>
      </c>
      <c r="E536">
        <v>2</v>
      </c>
      <c r="F536" t="s">
        <v>13</v>
      </c>
      <c r="G536" t="s">
        <v>32</v>
      </c>
      <c r="H536">
        <v>5</v>
      </c>
      <c r="I536" t="s">
        <v>93</v>
      </c>
      <c r="J536" t="s">
        <v>19</v>
      </c>
      <c r="K536">
        <v>156</v>
      </c>
      <c r="L536" t="s">
        <v>16</v>
      </c>
    </row>
    <row r="537" spans="1:12" x14ac:dyDescent="0.25">
      <c r="A537" t="s">
        <v>741</v>
      </c>
      <c r="B537">
        <v>2</v>
      </c>
      <c r="C537">
        <v>0</v>
      </c>
      <c r="D537">
        <v>1</v>
      </c>
      <c r="E537">
        <v>3</v>
      </c>
      <c r="F537" t="s">
        <v>13</v>
      </c>
      <c r="G537" t="s">
        <v>32</v>
      </c>
      <c r="H537">
        <v>82</v>
      </c>
      <c r="I537" t="s">
        <v>393</v>
      </c>
      <c r="J537" t="s">
        <v>19</v>
      </c>
      <c r="K537">
        <v>99.45</v>
      </c>
      <c r="L537" t="s">
        <v>16</v>
      </c>
    </row>
    <row r="538" spans="1:12" x14ac:dyDescent="0.25">
      <c r="A538" t="s">
        <v>742</v>
      </c>
      <c r="B538">
        <v>2</v>
      </c>
      <c r="C538">
        <v>1</v>
      </c>
      <c r="D538">
        <v>0</v>
      </c>
      <c r="E538">
        <v>2</v>
      </c>
      <c r="F538" t="s">
        <v>13</v>
      </c>
      <c r="G538" t="s">
        <v>124</v>
      </c>
      <c r="H538">
        <v>330</v>
      </c>
      <c r="I538" t="s">
        <v>743</v>
      </c>
      <c r="J538" t="s">
        <v>19</v>
      </c>
      <c r="K538">
        <v>172.8</v>
      </c>
      <c r="L538" t="s">
        <v>22</v>
      </c>
    </row>
    <row r="539" spans="1:12" x14ac:dyDescent="0.25">
      <c r="A539" t="s">
        <v>744</v>
      </c>
      <c r="B539">
        <v>2</v>
      </c>
      <c r="C539">
        <v>0</v>
      </c>
      <c r="D539">
        <v>1</v>
      </c>
      <c r="E539">
        <v>3</v>
      </c>
      <c r="F539" t="s">
        <v>18</v>
      </c>
      <c r="G539" t="s">
        <v>14</v>
      </c>
      <c r="H539">
        <v>3</v>
      </c>
      <c r="I539" t="s">
        <v>313</v>
      </c>
      <c r="J539" t="s">
        <v>19</v>
      </c>
      <c r="K539">
        <v>98.56</v>
      </c>
      <c r="L539" t="s">
        <v>16</v>
      </c>
    </row>
    <row r="540" spans="1:12" x14ac:dyDescent="0.25">
      <c r="A540" t="s">
        <v>745</v>
      </c>
      <c r="B540">
        <v>1</v>
      </c>
      <c r="C540">
        <v>0</v>
      </c>
      <c r="D540">
        <v>0</v>
      </c>
      <c r="E540">
        <v>1</v>
      </c>
      <c r="F540" t="s">
        <v>13</v>
      </c>
      <c r="G540" t="s">
        <v>14</v>
      </c>
      <c r="H540">
        <v>35</v>
      </c>
      <c r="I540" s="1">
        <v>43376</v>
      </c>
      <c r="J540" t="s">
        <v>19</v>
      </c>
      <c r="K540">
        <v>71.099999999999994</v>
      </c>
      <c r="L540" t="s">
        <v>22</v>
      </c>
    </row>
    <row r="541" spans="1:12" x14ac:dyDescent="0.25">
      <c r="A541" t="s">
        <v>746</v>
      </c>
      <c r="B541">
        <v>1</v>
      </c>
      <c r="C541">
        <v>0</v>
      </c>
      <c r="D541">
        <v>6</v>
      </c>
      <c r="E541">
        <v>15</v>
      </c>
      <c r="F541" t="s">
        <v>13</v>
      </c>
      <c r="G541" t="s">
        <v>32</v>
      </c>
      <c r="H541">
        <v>12</v>
      </c>
      <c r="I541" t="s">
        <v>226</v>
      </c>
      <c r="J541" t="s">
        <v>19</v>
      </c>
      <c r="K541">
        <v>128.06</v>
      </c>
      <c r="L541" t="s">
        <v>22</v>
      </c>
    </row>
    <row r="542" spans="1:12" x14ac:dyDescent="0.25">
      <c r="A542" t="s">
        <v>747</v>
      </c>
      <c r="B542">
        <v>1</v>
      </c>
      <c r="C542">
        <v>0</v>
      </c>
      <c r="D542">
        <v>0</v>
      </c>
      <c r="E542">
        <v>1</v>
      </c>
      <c r="F542" t="s">
        <v>13</v>
      </c>
      <c r="G542" t="s">
        <v>14</v>
      </c>
      <c r="H542">
        <v>0</v>
      </c>
      <c r="I542" t="s">
        <v>88</v>
      </c>
      <c r="J542" t="s">
        <v>129</v>
      </c>
      <c r="K542">
        <v>0</v>
      </c>
      <c r="L542" t="s">
        <v>16</v>
      </c>
    </row>
    <row r="543" spans="1:12" x14ac:dyDescent="0.25">
      <c r="A543" t="s">
        <v>748</v>
      </c>
      <c r="B543">
        <v>2</v>
      </c>
      <c r="C543">
        <v>1</v>
      </c>
      <c r="D543">
        <v>0</v>
      </c>
      <c r="E543">
        <v>1</v>
      </c>
      <c r="F543" t="s">
        <v>13</v>
      </c>
      <c r="G543" t="s">
        <v>14</v>
      </c>
      <c r="H543">
        <v>7</v>
      </c>
      <c r="I543" s="1">
        <v>43285</v>
      </c>
      <c r="J543" t="s">
        <v>19</v>
      </c>
      <c r="K543">
        <v>106</v>
      </c>
      <c r="L543" t="s">
        <v>16</v>
      </c>
    </row>
    <row r="544" spans="1:12" x14ac:dyDescent="0.25">
      <c r="A544" t="s">
        <v>749</v>
      </c>
      <c r="B544">
        <v>2</v>
      </c>
      <c r="C544">
        <v>0</v>
      </c>
      <c r="D544">
        <v>0</v>
      </c>
      <c r="E544">
        <v>4</v>
      </c>
      <c r="F544" t="s">
        <v>13</v>
      </c>
      <c r="G544" t="s">
        <v>32</v>
      </c>
      <c r="H544">
        <v>47</v>
      </c>
      <c r="I544" t="s">
        <v>614</v>
      </c>
      <c r="J544" t="s">
        <v>19</v>
      </c>
      <c r="K544">
        <v>130.61000000000001</v>
      </c>
      <c r="L544" t="s">
        <v>22</v>
      </c>
    </row>
    <row r="545" spans="1:12" x14ac:dyDescent="0.25">
      <c r="A545" t="s">
        <v>750</v>
      </c>
      <c r="B545">
        <v>2</v>
      </c>
      <c r="C545">
        <v>0</v>
      </c>
      <c r="D545">
        <v>2</v>
      </c>
      <c r="E545">
        <v>3</v>
      </c>
      <c r="F545" t="s">
        <v>18</v>
      </c>
      <c r="G545" t="s">
        <v>14</v>
      </c>
      <c r="H545">
        <v>117</v>
      </c>
      <c r="I545" t="s">
        <v>249</v>
      </c>
      <c r="J545" t="s">
        <v>19</v>
      </c>
      <c r="K545">
        <v>105.74</v>
      </c>
      <c r="L545" t="s">
        <v>16</v>
      </c>
    </row>
    <row r="546" spans="1:12" x14ac:dyDescent="0.25">
      <c r="A546" t="s">
        <v>751</v>
      </c>
      <c r="B546">
        <v>2</v>
      </c>
      <c r="C546">
        <v>0</v>
      </c>
      <c r="D546">
        <v>0</v>
      </c>
      <c r="E546">
        <v>2</v>
      </c>
      <c r="F546" t="s">
        <v>13</v>
      </c>
      <c r="G546" t="s">
        <v>32</v>
      </c>
      <c r="H546">
        <v>2</v>
      </c>
      <c r="I546" s="1">
        <v>43379</v>
      </c>
      <c r="J546" t="s">
        <v>19</v>
      </c>
      <c r="K546">
        <v>136</v>
      </c>
      <c r="L546" t="s">
        <v>16</v>
      </c>
    </row>
    <row r="547" spans="1:12" x14ac:dyDescent="0.25">
      <c r="A547" t="s">
        <v>752</v>
      </c>
      <c r="B547">
        <v>2</v>
      </c>
      <c r="C547">
        <v>0</v>
      </c>
      <c r="D547">
        <v>0</v>
      </c>
      <c r="E547">
        <v>1</v>
      </c>
      <c r="F547" t="s">
        <v>13</v>
      </c>
      <c r="G547" t="s">
        <v>14</v>
      </c>
      <c r="H547">
        <v>26</v>
      </c>
      <c r="I547" s="1">
        <v>43318</v>
      </c>
      <c r="J547" t="s">
        <v>15</v>
      </c>
      <c r="K547">
        <v>120</v>
      </c>
      <c r="L547" t="s">
        <v>16</v>
      </c>
    </row>
    <row r="548" spans="1:12" x14ac:dyDescent="0.25">
      <c r="A548" t="s">
        <v>753</v>
      </c>
      <c r="B548">
        <v>2</v>
      </c>
      <c r="C548">
        <v>0</v>
      </c>
      <c r="D548">
        <v>2</v>
      </c>
      <c r="E548">
        <v>2</v>
      </c>
      <c r="F548" t="s">
        <v>18</v>
      </c>
      <c r="G548" t="s">
        <v>14</v>
      </c>
      <c r="H548">
        <v>75</v>
      </c>
      <c r="I548" s="1">
        <v>43143</v>
      </c>
      <c r="J548" t="s">
        <v>19</v>
      </c>
      <c r="K548">
        <v>74.8</v>
      </c>
      <c r="L548" t="s">
        <v>16</v>
      </c>
    </row>
    <row r="549" spans="1:12" x14ac:dyDescent="0.25">
      <c r="A549" t="s">
        <v>754</v>
      </c>
      <c r="B549">
        <v>2</v>
      </c>
      <c r="C549">
        <v>0</v>
      </c>
      <c r="D549">
        <v>0</v>
      </c>
      <c r="E549">
        <v>2</v>
      </c>
      <c r="F549" t="s">
        <v>27</v>
      </c>
      <c r="G549" t="s">
        <v>14</v>
      </c>
      <c r="H549">
        <v>256</v>
      </c>
      <c r="I549" t="s">
        <v>47</v>
      </c>
      <c r="J549" t="s">
        <v>19</v>
      </c>
      <c r="K549">
        <v>112</v>
      </c>
      <c r="L549" t="s">
        <v>22</v>
      </c>
    </row>
    <row r="550" spans="1:12" x14ac:dyDescent="0.25">
      <c r="A550" t="s">
        <v>755</v>
      </c>
      <c r="B550">
        <v>2</v>
      </c>
      <c r="C550">
        <v>1</v>
      </c>
      <c r="D550">
        <v>1</v>
      </c>
      <c r="E550">
        <v>0</v>
      </c>
      <c r="F550" t="s">
        <v>13</v>
      </c>
      <c r="G550" t="s">
        <v>14</v>
      </c>
      <c r="H550">
        <v>137</v>
      </c>
      <c r="I550" t="s">
        <v>344</v>
      </c>
      <c r="J550" t="s">
        <v>19</v>
      </c>
      <c r="K550">
        <v>121.5</v>
      </c>
      <c r="L550" t="s">
        <v>16</v>
      </c>
    </row>
    <row r="551" spans="1:12" x14ac:dyDescent="0.25">
      <c r="A551" t="s">
        <v>756</v>
      </c>
      <c r="B551">
        <v>2</v>
      </c>
      <c r="C551">
        <v>0</v>
      </c>
      <c r="D551">
        <v>0</v>
      </c>
      <c r="E551">
        <v>4</v>
      </c>
      <c r="F551" t="s">
        <v>13</v>
      </c>
      <c r="G551" t="s">
        <v>14</v>
      </c>
      <c r="H551">
        <v>92</v>
      </c>
      <c r="I551" s="1">
        <v>42926</v>
      </c>
      <c r="J551" t="s">
        <v>15</v>
      </c>
      <c r="K551">
        <v>70</v>
      </c>
      <c r="L551" t="s">
        <v>16</v>
      </c>
    </row>
    <row r="552" spans="1:12" x14ac:dyDescent="0.25">
      <c r="A552" t="s">
        <v>757</v>
      </c>
      <c r="B552">
        <v>1</v>
      </c>
      <c r="C552">
        <v>0</v>
      </c>
      <c r="D552">
        <v>0</v>
      </c>
      <c r="E552">
        <v>1</v>
      </c>
      <c r="F552" t="s">
        <v>13</v>
      </c>
      <c r="G552" t="s">
        <v>14</v>
      </c>
      <c r="H552">
        <v>1</v>
      </c>
      <c r="I552" t="s">
        <v>758</v>
      </c>
      <c r="J552" t="s">
        <v>15</v>
      </c>
      <c r="K552">
        <v>75</v>
      </c>
      <c r="L552" t="s">
        <v>16</v>
      </c>
    </row>
    <row r="553" spans="1:12" x14ac:dyDescent="0.25">
      <c r="A553" t="s">
        <v>759</v>
      </c>
      <c r="B553">
        <v>2</v>
      </c>
      <c r="C553">
        <v>0</v>
      </c>
      <c r="D553">
        <v>0</v>
      </c>
      <c r="E553">
        <v>1</v>
      </c>
      <c r="F553" t="s">
        <v>13</v>
      </c>
      <c r="G553" t="s">
        <v>14</v>
      </c>
      <c r="H553">
        <v>18</v>
      </c>
      <c r="I553" s="1">
        <v>43132</v>
      </c>
      <c r="J553" t="s">
        <v>15</v>
      </c>
      <c r="K553">
        <v>54</v>
      </c>
      <c r="L553" t="s">
        <v>16</v>
      </c>
    </row>
    <row r="554" spans="1:12" x14ac:dyDescent="0.25">
      <c r="A554" t="s">
        <v>760</v>
      </c>
      <c r="B554">
        <v>2</v>
      </c>
      <c r="C554">
        <v>0</v>
      </c>
      <c r="D554">
        <v>1</v>
      </c>
      <c r="E554">
        <v>2</v>
      </c>
      <c r="F554" t="s">
        <v>13</v>
      </c>
      <c r="G554" t="s">
        <v>14</v>
      </c>
      <c r="H554">
        <v>78</v>
      </c>
      <c r="I554" t="s">
        <v>325</v>
      </c>
      <c r="J554" t="s">
        <v>19</v>
      </c>
      <c r="K554">
        <v>100</v>
      </c>
      <c r="L554" t="s">
        <v>22</v>
      </c>
    </row>
    <row r="555" spans="1:12" x14ac:dyDescent="0.25">
      <c r="A555" t="s">
        <v>761</v>
      </c>
      <c r="B555">
        <v>1</v>
      </c>
      <c r="C555">
        <v>0</v>
      </c>
      <c r="D555">
        <v>0</v>
      </c>
      <c r="E555">
        <v>1</v>
      </c>
      <c r="F555" t="s">
        <v>13</v>
      </c>
      <c r="G555" t="s">
        <v>32</v>
      </c>
      <c r="H555">
        <v>8</v>
      </c>
      <c r="I555" t="s">
        <v>701</v>
      </c>
      <c r="J555" t="s">
        <v>129</v>
      </c>
      <c r="K555">
        <v>0</v>
      </c>
      <c r="L555" t="s">
        <v>16</v>
      </c>
    </row>
    <row r="556" spans="1:12" x14ac:dyDescent="0.25">
      <c r="A556" t="s">
        <v>762</v>
      </c>
      <c r="B556">
        <v>1</v>
      </c>
      <c r="C556">
        <v>2</v>
      </c>
      <c r="D556">
        <v>4</v>
      </c>
      <c r="E556">
        <v>9</v>
      </c>
      <c r="F556" t="s">
        <v>13</v>
      </c>
      <c r="G556" t="s">
        <v>124</v>
      </c>
      <c r="H556">
        <v>30</v>
      </c>
      <c r="I556" s="1">
        <v>43142</v>
      </c>
      <c r="J556" t="s">
        <v>19</v>
      </c>
      <c r="K556">
        <v>186.22</v>
      </c>
      <c r="L556" t="s">
        <v>22</v>
      </c>
    </row>
    <row r="557" spans="1:12" x14ac:dyDescent="0.25">
      <c r="A557" t="s">
        <v>763</v>
      </c>
      <c r="B557">
        <v>2</v>
      </c>
      <c r="C557">
        <v>0</v>
      </c>
      <c r="D557">
        <v>2</v>
      </c>
      <c r="E557">
        <v>0</v>
      </c>
      <c r="F557" t="s">
        <v>18</v>
      </c>
      <c r="G557" t="s">
        <v>14</v>
      </c>
      <c r="H557">
        <v>117</v>
      </c>
      <c r="I557" t="s">
        <v>76</v>
      </c>
      <c r="J557" t="s">
        <v>19</v>
      </c>
      <c r="K557">
        <v>79.2</v>
      </c>
      <c r="L557" t="s">
        <v>16</v>
      </c>
    </row>
    <row r="558" spans="1:12" x14ac:dyDescent="0.25">
      <c r="A558" t="s">
        <v>764</v>
      </c>
      <c r="B558">
        <v>2</v>
      </c>
      <c r="C558">
        <v>0</v>
      </c>
      <c r="D558">
        <v>1</v>
      </c>
      <c r="E558">
        <v>1</v>
      </c>
      <c r="F558" t="s">
        <v>13</v>
      </c>
      <c r="G558" t="s">
        <v>14</v>
      </c>
      <c r="H558">
        <v>10</v>
      </c>
      <c r="I558" t="s">
        <v>765</v>
      </c>
      <c r="J558" t="s">
        <v>19</v>
      </c>
      <c r="K558">
        <v>103</v>
      </c>
      <c r="L558" t="s">
        <v>16</v>
      </c>
    </row>
    <row r="559" spans="1:12" x14ac:dyDescent="0.25">
      <c r="A559" t="s">
        <v>766</v>
      </c>
      <c r="B559">
        <v>2</v>
      </c>
      <c r="C559">
        <v>0</v>
      </c>
      <c r="D559">
        <v>2</v>
      </c>
      <c r="E559">
        <v>2</v>
      </c>
      <c r="F559" t="s">
        <v>13</v>
      </c>
      <c r="G559" t="s">
        <v>14</v>
      </c>
      <c r="H559">
        <v>56</v>
      </c>
      <c r="I559" t="s">
        <v>553</v>
      </c>
      <c r="J559" t="s">
        <v>15</v>
      </c>
      <c r="K559">
        <v>185</v>
      </c>
      <c r="L559" t="s">
        <v>16</v>
      </c>
    </row>
    <row r="560" spans="1:12" x14ac:dyDescent="0.25">
      <c r="A560" t="s">
        <v>767</v>
      </c>
      <c r="B560">
        <v>2</v>
      </c>
      <c r="C560">
        <v>0</v>
      </c>
      <c r="D560">
        <v>0</v>
      </c>
      <c r="E560">
        <v>2</v>
      </c>
      <c r="F560" t="s">
        <v>13</v>
      </c>
      <c r="G560" t="s">
        <v>14</v>
      </c>
      <c r="H560">
        <v>8</v>
      </c>
      <c r="I560" t="s">
        <v>45</v>
      </c>
      <c r="J560" t="s">
        <v>19</v>
      </c>
      <c r="K560">
        <v>135</v>
      </c>
      <c r="L560" t="s">
        <v>16</v>
      </c>
    </row>
    <row r="561" spans="1:12" x14ac:dyDescent="0.25">
      <c r="A561" t="s">
        <v>768</v>
      </c>
      <c r="B561">
        <v>2</v>
      </c>
      <c r="C561">
        <v>0</v>
      </c>
      <c r="D561">
        <v>2</v>
      </c>
      <c r="E561">
        <v>0</v>
      </c>
      <c r="F561" t="s">
        <v>27</v>
      </c>
      <c r="G561" t="s">
        <v>14</v>
      </c>
      <c r="H561">
        <v>386</v>
      </c>
      <c r="I561" t="s">
        <v>187</v>
      </c>
      <c r="J561" t="s">
        <v>19</v>
      </c>
      <c r="K561">
        <v>115</v>
      </c>
      <c r="L561" t="s">
        <v>22</v>
      </c>
    </row>
    <row r="562" spans="1:12" x14ac:dyDescent="0.25">
      <c r="A562" t="s">
        <v>769</v>
      </c>
      <c r="B562">
        <v>2</v>
      </c>
      <c r="C562">
        <v>0</v>
      </c>
      <c r="D562">
        <v>0</v>
      </c>
      <c r="E562">
        <v>2</v>
      </c>
      <c r="F562" t="s">
        <v>27</v>
      </c>
      <c r="G562" t="s">
        <v>14</v>
      </c>
      <c r="H562">
        <v>273</v>
      </c>
      <c r="I562" t="s">
        <v>266</v>
      </c>
      <c r="J562" t="s">
        <v>19</v>
      </c>
      <c r="K562">
        <v>109</v>
      </c>
      <c r="L562" t="s">
        <v>22</v>
      </c>
    </row>
    <row r="563" spans="1:12" x14ac:dyDescent="0.25">
      <c r="A563" t="s">
        <v>770</v>
      </c>
      <c r="B563">
        <v>2</v>
      </c>
      <c r="C563">
        <v>0</v>
      </c>
      <c r="D563">
        <v>0</v>
      </c>
      <c r="E563">
        <v>1</v>
      </c>
      <c r="F563" t="s">
        <v>13</v>
      </c>
      <c r="G563" t="s">
        <v>14</v>
      </c>
      <c r="H563">
        <v>33</v>
      </c>
      <c r="I563" t="s">
        <v>41</v>
      </c>
      <c r="J563" t="s">
        <v>19</v>
      </c>
      <c r="K563">
        <v>104</v>
      </c>
      <c r="L563" t="s">
        <v>22</v>
      </c>
    </row>
    <row r="564" spans="1:12" x14ac:dyDescent="0.25">
      <c r="A564" t="s">
        <v>771</v>
      </c>
      <c r="B564">
        <v>3</v>
      </c>
      <c r="C564">
        <v>0</v>
      </c>
      <c r="D564">
        <v>2</v>
      </c>
      <c r="E564">
        <v>5</v>
      </c>
      <c r="F564" t="s">
        <v>13</v>
      </c>
      <c r="G564" t="s">
        <v>32</v>
      </c>
      <c r="H564">
        <v>184</v>
      </c>
      <c r="I564" s="1">
        <v>43167</v>
      </c>
      <c r="J564" t="s">
        <v>19</v>
      </c>
      <c r="K564">
        <v>130.05000000000001</v>
      </c>
      <c r="L564" t="s">
        <v>16</v>
      </c>
    </row>
    <row r="565" spans="1:12" x14ac:dyDescent="0.25">
      <c r="A565" t="s">
        <v>772</v>
      </c>
      <c r="B565">
        <v>2</v>
      </c>
      <c r="C565">
        <v>0</v>
      </c>
      <c r="D565">
        <v>1</v>
      </c>
      <c r="E565">
        <v>3</v>
      </c>
      <c r="F565" t="s">
        <v>13</v>
      </c>
      <c r="G565" t="s">
        <v>14</v>
      </c>
      <c r="H565">
        <v>232</v>
      </c>
      <c r="I565" s="1">
        <v>43229</v>
      </c>
      <c r="J565" t="s">
        <v>19</v>
      </c>
      <c r="K565">
        <v>100.3</v>
      </c>
      <c r="L565" t="s">
        <v>22</v>
      </c>
    </row>
    <row r="566" spans="1:12" x14ac:dyDescent="0.25">
      <c r="A566" t="s">
        <v>773</v>
      </c>
      <c r="B566">
        <v>1</v>
      </c>
      <c r="C566">
        <v>0</v>
      </c>
      <c r="D566">
        <v>0</v>
      </c>
      <c r="E566">
        <v>2</v>
      </c>
      <c r="F566" t="s">
        <v>13</v>
      </c>
      <c r="G566" t="s">
        <v>14</v>
      </c>
      <c r="H566">
        <v>188</v>
      </c>
      <c r="I566" t="s">
        <v>47</v>
      </c>
      <c r="J566" t="s">
        <v>19</v>
      </c>
      <c r="K566">
        <v>130</v>
      </c>
      <c r="L566" t="s">
        <v>22</v>
      </c>
    </row>
    <row r="567" spans="1:12" x14ac:dyDescent="0.25">
      <c r="A567" t="s">
        <v>774</v>
      </c>
      <c r="B567">
        <v>2</v>
      </c>
      <c r="C567">
        <v>0</v>
      </c>
      <c r="D567">
        <v>0</v>
      </c>
      <c r="E567">
        <v>2</v>
      </c>
      <c r="F567" t="s">
        <v>27</v>
      </c>
      <c r="G567" t="s">
        <v>14</v>
      </c>
      <c r="H567">
        <v>102</v>
      </c>
      <c r="I567" t="s">
        <v>410</v>
      </c>
      <c r="J567" t="s">
        <v>15</v>
      </c>
      <c r="K567">
        <v>109</v>
      </c>
      <c r="L567" t="s">
        <v>16</v>
      </c>
    </row>
    <row r="568" spans="1:12" x14ac:dyDescent="0.25">
      <c r="A568" t="s">
        <v>775</v>
      </c>
      <c r="B568">
        <v>2</v>
      </c>
      <c r="C568">
        <v>0</v>
      </c>
      <c r="D568">
        <v>2</v>
      </c>
      <c r="E568">
        <v>2</v>
      </c>
      <c r="F568" t="s">
        <v>13</v>
      </c>
      <c r="G568" t="s">
        <v>32</v>
      </c>
      <c r="H568">
        <v>45</v>
      </c>
      <c r="I568" s="1">
        <v>43291</v>
      </c>
      <c r="J568" t="s">
        <v>19</v>
      </c>
      <c r="K568">
        <v>139.5</v>
      </c>
      <c r="L568" t="s">
        <v>22</v>
      </c>
    </row>
    <row r="569" spans="1:12" x14ac:dyDescent="0.25">
      <c r="A569" t="s">
        <v>776</v>
      </c>
      <c r="B569">
        <v>1</v>
      </c>
      <c r="C569">
        <v>0</v>
      </c>
      <c r="D569">
        <v>0</v>
      </c>
      <c r="E569">
        <v>1</v>
      </c>
      <c r="F569" t="s">
        <v>13</v>
      </c>
      <c r="G569" t="s">
        <v>14</v>
      </c>
      <c r="H569">
        <v>1</v>
      </c>
      <c r="I569" s="1">
        <v>43161</v>
      </c>
      <c r="J569" t="s">
        <v>56</v>
      </c>
      <c r="K569">
        <v>66</v>
      </c>
      <c r="L569" t="s">
        <v>16</v>
      </c>
    </row>
    <row r="570" spans="1:12" x14ac:dyDescent="0.25">
      <c r="A570" t="s">
        <v>777</v>
      </c>
      <c r="B570">
        <v>2</v>
      </c>
      <c r="C570">
        <v>0</v>
      </c>
      <c r="D570">
        <v>2</v>
      </c>
      <c r="E570">
        <v>2</v>
      </c>
      <c r="F570" t="s">
        <v>13</v>
      </c>
      <c r="G570" t="s">
        <v>14</v>
      </c>
      <c r="H570">
        <v>63</v>
      </c>
      <c r="I570" s="1">
        <v>43168</v>
      </c>
      <c r="J570" t="s">
        <v>19</v>
      </c>
      <c r="K570">
        <v>106.88</v>
      </c>
      <c r="L570" t="s">
        <v>16</v>
      </c>
    </row>
    <row r="571" spans="1:12" x14ac:dyDescent="0.25">
      <c r="A571" t="s">
        <v>778</v>
      </c>
      <c r="B571">
        <v>2</v>
      </c>
      <c r="C571">
        <v>0</v>
      </c>
      <c r="D571">
        <v>2</v>
      </c>
      <c r="E571">
        <v>2</v>
      </c>
      <c r="F571" t="s">
        <v>13</v>
      </c>
      <c r="G571" t="s">
        <v>32</v>
      </c>
      <c r="H571">
        <v>89</v>
      </c>
      <c r="I571" t="s">
        <v>220</v>
      </c>
      <c r="J571" t="s">
        <v>19</v>
      </c>
      <c r="K571">
        <v>149.4</v>
      </c>
      <c r="L571" t="s">
        <v>16</v>
      </c>
    </row>
    <row r="572" spans="1:12" x14ac:dyDescent="0.25">
      <c r="A572" t="s">
        <v>779</v>
      </c>
      <c r="B572">
        <v>1</v>
      </c>
      <c r="C572">
        <v>0</v>
      </c>
      <c r="D572">
        <v>0</v>
      </c>
      <c r="E572">
        <v>2</v>
      </c>
      <c r="F572" t="s">
        <v>13</v>
      </c>
      <c r="G572" t="s">
        <v>14</v>
      </c>
      <c r="H572">
        <v>63</v>
      </c>
      <c r="I572" t="s">
        <v>780</v>
      </c>
      <c r="J572" t="s">
        <v>19</v>
      </c>
      <c r="K572">
        <v>109.35</v>
      </c>
      <c r="L572" t="s">
        <v>16</v>
      </c>
    </row>
    <row r="573" spans="1:12" x14ac:dyDescent="0.25">
      <c r="A573" t="s">
        <v>781</v>
      </c>
      <c r="B573">
        <v>2</v>
      </c>
      <c r="C573">
        <v>0</v>
      </c>
      <c r="D573">
        <v>0</v>
      </c>
      <c r="E573">
        <v>3</v>
      </c>
      <c r="F573" t="s">
        <v>13</v>
      </c>
      <c r="G573" t="s">
        <v>14</v>
      </c>
      <c r="H573">
        <v>304</v>
      </c>
      <c r="I573" s="1">
        <v>43170</v>
      </c>
      <c r="J573" t="s">
        <v>19</v>
      </c>
      <c r="K573">
        <v>89</v>
      </c>
      <c r="L573" t="s">
        <v>22</v>
      </c>
    </row>
    <row r="574" spans="1:12" x14ac:dyDescent="0.25">
      <c r="A574" t="s">
        <v>782</v>
      </c>
      <c r="B574">
        <v>1</v>
      </c>
      <c r="C574">
        <v>0</v>
      </c>
      <c r="D574">
        <v>2</v>
      </c>
      <c r="E574">
        <v>1</v>
      </c>
      <c r="F574" t="s">
        <v>13</v>
      </c>
      <c r="G574" t="s">
        <v>14</v>
      </c>
      <c r="H574">
        <v>1</v>
      </c>
      <c r="I574" s="1">
        <v>43347</v>
      </c>
      <c r="J574" t="s">
        <v>19</v>
      </c>
      <c r="K574">
        <v>115</v>
      </c>
      <c r="L574" t="s">
        <v>16</v>
      </c>
    </row>
    <row r="575" spans="1:12" x14ac:dyDescent="0.25">
      <c r="A575" t="s">
        <v>783</v>
      </c>
      <c r="B575">
        <v>1</v>
      </c>
      <c r="C575">
        <v>0</v>
      </c>
      <c r="D575">
        <v>0</v>
      </c>
      <c r="E575">
        <v>1</v>
      </c>
      <c r="F575" t="s">
        <v>13</v>
      </c>
      <c r="G575" t="s">
        <v>14</v>
      </c>
      <c r="H575">
        <v>51</v>
      </c>
      <c r="I575" t="s">
        <v>626</v>
      </c>
      <c r="J575" t="s">
        <v>56</v>
      </c>
      <c r="K575">
        <v>85.5</v>
      </c>
      <c r="L575" t="s">
        <v>16</v>
      </c>
    </row>
    <row r="576" spans="1:12" x14ac:dyDescent="0.25">
      <c r="A576" t="s">
        <v>784</v>
      </c>
      <c r="B576">
        <v>2</v>
      </c>
      <c r="C576">
        <v>0</v>
      </c>
      <c r="D576">
        <v>0</v>
      </c>
      <c r="E576">
        <v>2</v>
      </c>
      <c r="F576" t="s">
        <v>13</v>
      </c>
      <c r="G576" t="s">
        <v>32</v>
      </c>
      <c r="H576">
        <v>110</v>
      </c>
      <c r="I576" t="s">
        <v>121</v>
      </c>
      <c r="J576" t="s">
        <v>19</v>
      </c>
      <c r="K576">
        <v>90.95</v>
      </c>
      <c r="L576" t="s">
        <v>16</v>
      </c>
    </row>
    <row r="577" spans="1:12" x14ac:dyDescent="0.25">
      <c r="A577" t="s">
        <v>785</v>
      </c>
      <c r="B577">
        <v>2</v>
      </c>
      <c r="C577">
        <v>0</v>
      </c>
      <c r="D577">
        <v>2</v>
      </c>
      <c r="E577">
        <v>1</v>
      </c>
      <c r="F577" t="s">
        <v>13</v>
      </c>
      <c r="G577" t="s">
        <v>32</v>
      </c>
      <c r="H577">
        <v>20</v>
      </c>
      <c r="I577" t="s">
        <v>90</v>
      </c>
      <c r="J577" t="s">
        <v>19</v>
      </c>
      <c r="K577">
        <v>117.55</v>
      </c>
      <c r="L577" t="s">
        <v>16</v>
      </c>
    </row>
    <row r="578" spans="1:12" x14ac:dyDescent="0.25">
      <c r="A578" t="s">
        <v>786</v>
      </c>
      <c r="B578">
        <v>2</v>
      </c>
      <c r="C578">
        <v>0</v>
      </c>
      <c r="D578">
        <v>0</v>
      </c>
      <c r="E578">
        <v>1</v>
      </c>
      <c r="F578" t="s">
        <v>18</v>
      </c>
      <c r="G578" t="s">
        <v>14</v>
      </c>
      <c r="H578">
        <v>50</v>
      </c>
      <c r="I578" t="s">
        <v>677</v>
      </c>
      <c r="J578" t="s">
        <v>19</v>
      </c>
      <c r="K578">
        <v>108</v>
      </c>
      <c r="L578" t="s">
        <v>22</v>
      </c>
    </row>
    <row r="579" spans="1:12" x14ac:dyDescent="0.25">
      <c r="A579" t="s">
        <v>787</v>
      </c>
      <c r="B579">
        <v>2</v>
      </c>
      <c r="C579">
        <v>0</v>
      </c>
      <c r="D579">
        <v>0</v>
      </c>
      <c r="E579">
        <v>3</v>
      </c>
      <c r="F579" t="s">
        <v>13</v>
      </c>
      <c r="G579" t="s">
        <v>32</v>
      </c>
      <c r="H579">
        <v>48</v>
      </c>
      <c r="I579" s="1">
        <v>43414</v>
      </c>
      <c r="J579" t="s">
        <v>19</v>
      </c>
      <c r="K579">
        <v>139.5</v>
      </c>
      <c r="L579" t="s">
        <v>16</v>
      </c>
    </row>
    <row r="580" spans="1:12" x14ac:dyDescent="0.25">
      <c r="A580" t="s">
        <v>788</v>
      </c>
      <c r="B580">
        <v>2</v>
      </c>
      <c r="C580">
        <v>0</v>
      </c>
      <c r="D580">
        <v>0</v>
      </c>
      <c r="E580">
        <v>3</v>
      </c>
      <c r="F580" t="s">
        <v>13</v>
      </c>
      <c r="G580" t="s">
        <v>169</v>
      </c>
      <c r="H580">
        <v>96</v>
      </c>
      <c r="I580" t="s">
        <v>28</v>
      </c>
      <c r="J580" t="s">
        <v>19</v>
      </c>
      <c r="K580">
        <v>129.88</v>
      </c>
      <c r="L580" t="s">
        <v>22</v>
      </c>
    </row>
    <row r="581" spans="1:12" x14ac:dyDescent="0.25">
      <c r="A581" t="s">
        <v>789</v>
      </c>
      <c r="B581">
        <v>2</v>
      </c>
      <c r="C581">
        <v>0</v>
      </c>
      <c r="D581">
        <v>1</v>
      </c>
      <c r="E581">
        <v>4</v>
      </c>
      <c r="F581" t="s">
        <v>13</v>
      </c>
      <c r="G581" t="s">
        <v>14</v>
      </c>
      <c r="H581">
        <v>148</v>
      </c>
      <c r="I581" t="s">
        <v>790</v>
      </c>
      <c r="J581" t="s">
        <v>15</v>
      </c>
      <c r="K581">
        <v>67</v>
      </c>
      <c r="L581" t="s">
        <v>16</v>
      </c>
    </row>
    <row r="582" spans="1:12" x14ac:dyDescent="0.25">
      <c r="A582" t="s">
        <v>791</v>
      </c>
      <c r="B582">
        <v>2</v>
      </c>
      <c r="C582">
        <v>0</v>
      </c>
      <c r="D582">
        <v>1</v>
      </c>
      <c r="E582">
        <v>1</v>
      </c>
      <c r="F582" t="s">
        <v>18</v>
      </c>
      <c r="G582" t="s">
        <v>14</v>
      </c>
      <c r="H582">
        <v>25</v>
      </c>
      <c r="I582" s="1">
        <v>43169</v>
      </c>
      <c r="J582" t="s">
        <v>19</v>
      </c>
      <c r="K582">
        <v>129</v>
      </c>
      <c r="L582" t="s">
        <v>22</v>
      </c>
    </row>
    <row r="583" spans="1:12" x14ac:dyDescent="0.25">
      <c r="A583" t="s">
        <v>792</v>
      </c>
      <c r="B583">
        <v>2</v>
      </c>
      <c r="C583">
        <v>0</v>
      </c>
      <c r="D583">
        <v>2</v>
      </c>
      <c r="E583">
        <v>5</v>
      </c>
      <c r="F583" t="s">
        <v>13</v>
      </c>
      <c r="G583" t="s">
        <v>14</v>
      </c>
      <c r="H583">
        <v>148</v>
      </c>
      <c r="I583" t="s">
        <v>793</v>
      </c>
      <c r="J583" t="s">
        <v>19</v>
      </c>
      <c r="K583">
        <v>79.53</v>
      </c>
      <c r="L583" t="s">
        <v>22</v>
      </c>
    </row>
    <row r="584" spans="1:12" x14ac:dyDescent="0.25">
      <c r="A584" t="s">
        <v>794</v>
      </c>
      <c r="B584">
        <v>2</v>
      </c>
      <c r="C584">
        <v>0</v>
      </c>
      <c r="D584">
        <v>1</v>
      </c>
      <c r="E584">
        <v>3</v>
      </c>
      <c r="F584" t="s">
        <v>13</v>
      </c>
      <c r="G584" t="s">
        <v>14</v>
      </c>
      <c r="H584">
        <v>114</v>
      </c>
      <c r="I584" t="s">
        <v>313</v>
      </c>
      <c r="J584" t="s">
        <v>15</v>
      </c>
      <c r="K584">
        <v>72.25</v>
      </c>
      <c r="L584" t="s">
        <v>16</v>
      </c>
    </row>
    <row r="585" spans="1:12" x14ac:dyDescent="0.25">
      <c r="A585" t="s">
        <v>795</v>
      </c>
      <c r="B585">
        <v>1</v>
      </c>
      <c r="C585">
        <v>0</v>
      </c>
      <c r="D585">
        <v>0</v>
      </c>
      <c r="E585">
        <v>2</v>
      </c>
      <c r="F585" t="s">
        <v>27</v>
      </c>
      <c r="G585" t="s">
        <v>14</v>
      </c>
      <c r="H585">
        <v>257</v>
      </c>
      <c r="I585" s="1">
        <v>42742</v>
      </c>
      <c r="J585" t="s">
        <v>15</v>
      </c>
      <c r="K585">
        <v>80</v>
      </c>
      <c r="L585" t="s">
        <v>16</v>
      </c>
    </row>
    <row r="586" spans="1:12" x14ac:dyDescent="0.25">
      <c r="A586" t="s">
        <v>796</v>
      </c>
      <c r="B586">
        <v>2</v>
      </c>
      <c r="C586">
        <v>0</v>
      </c>
      <c r="D586">
        <v>2</v>
      </c>
      <c r="E586">
        <v>5</v>
      </c>
      <c r="F586" t="s">
        <v>13</v>
      </c>
      <c r="G586" t="s">
        <v>14</v>
      </c>
      <c r="H586">
        <v>105</v>
      </c>
      <c r="I586" s="1">
        <v>43410</v>
      </c>
      <c r="J586" t="s">
        <v>19</v>
      </c>
      <c r="K586">
        <v>119.85</v>
      </c>
      <c r="L586" t="s">
        <v>16</v>
      </c>
    </row>
    <row r="587" spans="1:12" x14ac:dyDescent="0.25">
      <c r="A587" t="s">
        <v>797</v>
      </c>
      <c r="B587">
        <v>1</v>
      </c>
      <c r="C587">
        <v>0</v>
      </c>
      <c r="D587">
        <v>1</v>
      </c>
      <c r="E587">
        <v>2</v>
      </c>
      <c r="F587" t="s">
        <v>13</v>
      </c>
      <c r="G587" t="s">
        <v>14</v>
      </c>
      <c r="H587">
        <v>4</v>
      </c>
      <c r="I587" s="1">
        <v>42777</v>
      </c>
      <c r="J587" t="s">
        <v>19</v>
      </c>
      <c r="K587">
        <v>117</v>
      </c>
      <c r="L587" t="s">
        <v>16</v>
      </c>
    </row>
    <row r="588" spans="1:12" x14ac:dyDescent="0.25">
      <c r="A588" t="s">
        <v>798</v>
      </c>
      <c r="B588">
        <v>2</v>
      </c>
      <c r="C588">
        <v>0</v>
      </c>
      <c r="D588">
        <v>2</v>
      </c>
      <c r="E588">
        <v>2</v>
      </c>
      <c r="F588" t="s">
        <v>27</v>
      </c>
      <c r="G588" t="s">
        <v>32</v>
      </c>
      <c r="H588">
        <v>67</v>
      </c>
      <c r="I588" s="1">
        <v>42895</v>
      </c>
      <c r="J588" t="s">
        <v>129</v>
      </c>
      <c r="K588">
        <v>29</v>
      </c>
      <c r="L588" t="s">
        <v>16</v>
      </c>
    </row>
    <row r="589" spans="1:12" x14ac:dyDescent="0.25">
      <c r="A589" t="s">
        <v>799</v>
      </c>
      <c r="B589">
        <v>2</v>
      </c>
      <c r="C589">
        <v>0</v>
      </c>
      <c r="D589">
        <v>2</v>
      </c>
      <c r="E589">
        <v>2</v>
      </c>
      <c r="F589" t="s">
        <v>13</v>
      </c>
      <c r="G589" t="s">
        <v>14</v>
      </c>
      <c r="H589">
        <v>61</v>
      </c>
      <c r="I589" s="1">
        <v>43140</v>
      </c>
      <c r="J589" t="s">
        <v>19</v>
      </c>
      <c r="K589">
        <v>118.8</v>
      </c>
      <c r="L589" t="s">
        <v>16</v>
      </c>
    </row>
    <row r="590" spans="1:12" x14ac:dyDescent="0.25">
      <c r="A590" t="s">
        <v>800</v>
      </c>
      <c r="B590">
        <v>2</v>
      </c>
      <c r="C590">
        <v>0</v>
      </c>
      <c r="D590">
        <v>0</v>
      </c>
      <c r="E590">
        <v>2</v>
      </c>
      <c r="F590" t="s">
        <v>13</v>
      </c>
      <c r="G590" t="s">
        <v>14</v>
      </c>
      <c r="H590">
        <v>79</v>
      </c>
      <c r="I590" t="s">
        <v>801</v>
      </c>
      <c r="J590" t="s">
        <v>15</v>
      </c>
      <c r="K590">
        <v>192.03</v>
      </c>
      <c r="L590" t="s">
        <v>16</v>
      </c>
    </row>
    <row r="591" spans="1:12" x14ac:dyDescent="0.25">
      <c r="A591" t="s">
        <v>802</v>
      </c>
      <c r="B591">
        <v>3</v>
      </c>
      <c r="C591">
        <v>0</v>
      </c>
      <c r="D591">
        <v>0</v>
      </c>
      <c r="E591">
        <v>1</v>
      </c>
      <c r="F591" t="s">
        <v>13</v>
      </c>
      <c r="G591" t="s">
        <v>14</v>
      </c>
      <c r="H591">
        <v>74</v>
      </c>
      <c r="I591" t="s">
        <v>403</v>
      </c>
      <c r="J591" t="s">
        <v>19</v>
      </c>
      <c r="K591">
        <v>168.3</v>
      </c>
      <c r="L591" t="s">
        <v>16</v>
      </c>
    </row>
    <row r="592" spans="1:12" x14ac:dyDescent="0.25">
      <c r="A592" t="s">
        <v>803</v>
      </c>
      <c r="B592">
        <v>2</v>
      </c>
      <c r="C592">
        <v>0</v>
      </c>
      <c r="D592">
        <v>0</v>
      </c>
      <c r="E592">
        <v>1</v>
      </c>
      <c r="F592" t="s">
        <v>18</v>
      </c>
      <c r="G592" t="s">
        <v>14</v>
      </c>
      <c r="H592">
        <v>120</v>
      </c>
      <c r="I592" s="1">
        <v>43439</v>
      </c>
      <c r="J592" t="s">
        <v>19</v>
      </c>
      <c r="K592">
        <v>72.760000000000005</v>
      </c>
      <c r="L592" t="s">
        <v>16</v>
      </c>
    </row>
    <row r="593" spans="1:12" x14ac:dyDescent="0.25">
      <c r="A593" t="s">
        <v>804</v>
      </c>
      <c r="B593">
        <v>2</v>
      </c>
      <c r="C593">
        <v>0</v>
      </c>
      <c r="D593">
        <v>0</v>
      </c>
      <c r="E593">
        <v>3</v>
      </c>
      <c r="F593" t="s">
        <v>13</v>
      </c>
      <c r="G593" t="s">
        <v>14</v>
      </c>
      <c r="H593">
        <v>157</v>
      </c>
      <c r="I593" s="1">
        <v>43324</v>
      </c>
      <c r="J593" t="s">
        <v>15</v>
      </c>
      <c r="K593">
        <v>68</v>
      </c>
      <c r="L593" t="s">
        <v>16</v>
      </c>
    </row>
    <row r="594" spans="1:12" x14ac:dyDescent="0.25">
      <c r="A594" t="s">
        <v>805</v>
      </c>
      <c r="B594">
        <v>2</v>
      </c>
      <c r="C594">
        <v>0</v>
      </c>
      <c r="D594">
        <v>0</v>
      </c>
      <c r="E594">
        <v>4</v>
      </c>
      <c r="F594" t="s">
        <v>13</v>
      </c>
      <c r="G594" t="s">
        <v>14</v>
      </c>
      <c r="H594">
        <v>4</v>
      </c>
      <c r="I594" s="1">
        <v>43252</v>
      </c>
      <c r="J594" t="s">
        <v>19</v>
      </c>
      <c r="K594">
        <v>89</v>
      </c>
      <c r="L594" t="s">
        <v>16</v>
      </c>
    </row>
    <row r="595" spans="1:12" x14ac:dyDescent="0.25">
      <c r="A595" t="s">
        <v>806</v>
      </c>
      <c r="B595">
        <v>2</v>
      </c>
      <c r="C595">
        <v>0</v>
      </c>
      <c r="D595">
        <v>2</v>
      </c>
      <c r="E595">
        <v>5</v>
      </c>
      <c r="F595" t="s">
        <v>13</v>
      </c>
      <c r="G595" t="s">
        <v>32</v>
      </c>
      <c r="H595">
        <v>46</v>
      </c>
      <c r="I595" t="s">
        <v>430</v>
      </c>
      <c r="J595" t="s">
        <v>19</v>
      </c>
      <c r="K595">
        <v>124.46</v>
      </c>
      <c r="L595" t="s">
        <v>16</v>
      </c>
    </row>
    <row r="596" spans="1:12" x14ac:dyDescent="0.25">
      <c r="A596" t="s">
        <v>807</v>
      </c>
      <c r="B596">
        <v>1</v>
      </c>
      <c r="C596">
        <v>0</v>
      </c>
      <c r="D596">
        <v>2</v>
      </c>
      <c r="E596">
        <v>1</v>
      </c>
      <c r="F596" t="s">
        <v>13</v>
      </c>
      <c r="G596" t="s">
        <v>14</v>
      </c>
      <c r="H596">
        <v>41</v>
      </c>
      <c r="I596" t="s">
        <v>808</v>
      </c>
      <c r="J596" t="s">
        <v>56</v>
      </c>
      <c r="K596">
        <v>70.33</v>
      </c>
      <c r="L596" t="s">
        <v>16</v>
      </c>
    </row>
    <row r="597" spans="1:12" x14ac:dyDescent="0.25">
      <c r="A597" t="s">
        <v>809</v>
      </c>
      <c r="B597">
        <v>3</v>
      </c>
      <c r="C597">
        <v>0</v>
      </c>
      <c r="D597">
        <v>1</v>
      </c>
      <c r="E597">
        <v>4</v>
      </c>
      <c r="F597" t="s">
        <v>13</v>
      </c>
      <c r="G597" t="s">
        <v>32</v>
      </c>
      <c r="H597">
        <v>84</v>
      </c>
      <c r="I597" t="s">
        <v>47</v>
      </c>
      <c r="J597" t="s">
        <v>19</v>
      </c>
      <c r="K597">
        <v>170.1</v>
      </c>
      <c r="L597" t="s">
        <v>16</v>
      </c>
    </row>
    <row r="598" spans="1:12" x14ac:dyDescent="0.25">
      <c r="A598" t="s">
        <v>810</v>
      </c>
      <c r="B598">
        <v>2</v>
      </c>
      <c r="C598">
        <v>0</v>
      </c>
      <c r="D598">
        <v>0</v>
      </c>
      <c r="E598">
        <v>2</v>
      </c>
      <c r="F598" t="s">
        <v>13</v>
      </c>
      <c r="G598" t="s">
        <v>14</v>
      </c>
      <c r="H598">
        <v>245</v>
      </c>
      <c r="I598" t="s">
        <v>249</v>
      </c>
      <c r="J598" t="s">
        <v>19</v>
      </c>
      <c r="K598">
        <v>75</v>
      </c>
      <c r="L598" t="s">
        <v>22</v>
      </c>
    </row>
    <row r="599" spans="1:12" x14ac:dyDescent="0.25">
      <c r="A599" t="s">
        <v>811</v>
      </c>
      <c r="B599">
        <v>2</v>
      </c>
      <c r="C599">
        <v>0</v>
      </c>
      <c r="D599">
        <v>0</v>
      </c>
      <c r="E599">
        <v>3</v>
      </c>
      <c r="F599" t="s">
        <v>13</v>
      </c>
      <c r="G599" t="s">
        <v>32</v>
      </c>
      <c r="H599">
        <v>27</v>
      </c>
      <c r="I599" t="s">
        <v>812</v>
      </c>
      <c r="J599" t="s">
        <v>19</v>
      </c>
      <c r="K599">
        <v>125.25</v>
      </c>
      <c r="L599" t="s">
        <v>16</v>
      </c>
    </row>
    <row r="600" spans="1:12" x14ac:dyDescent="0.25">
      <c r="A600" t="s">
        <v>813</v>
      </c>
      <c r="B600">
        <v>2</v>
      </c>
      <c r="C600">
        <v>0</v>
      </c>
      <c r="D600">
        <v>3</v>
      </c>
      <c r="E600">
        <v>7</v>
      </c>
      <c r="F600" t="s">
        <v>13</v>
      </c>
      <c r="G600" t="s">
        <v>14</v>
      </c>
      <c r="H600">
        <v>74</v>
      </c>
      <c r="I600" t="s">
        <v>814</v>
      </c>
      <c r="J600" t="s">
        <v>19</v>
      </c>
      <c r="K600">
        <v>55.9</v>
      </c>
      <c r="L600" t="s">
        <v>16</v>
      </c>
    </row>
    <row r="601" spans="1:12" x14ac:dyDescent="0.25">
      <c r="A601" t="s">
        <v>815</v>
      </c>
      <c r="B601">
        <v>2</v>
      </c>
      <c r="C601">
        <v>0</v>
      </c>
      <c r="D601">
        <v>1</v>
      </c>
      <c r="E601">
        <v>2</v>
      </c>
      <c r="F601" t="s">
        <v>13</v>
      </c>
      <c r="G601" t="s">
        <v>14</v>
      </c>
      <c r="H601">
        <v>85</v>
      </c>
      <c r="I601" t="s">
        <v>816</v>
      </c>
      <c r="J601" t="s">
        <v>19</v>
      </c>
      <c r="K601">
        <v>126.9</v>
      </c>
      <c r="L601" t="s">
        <v>22</v>
      </c>
    </row>
    <row r="602" spans="1:12" x14ac:dyDescent="0.25">
      <c r="A602" t="s">
        <v>817</v>
      </c>
      <c r="B602">
        <v>2</v>
      </c>
      <c r="C602">
        <v>0</v>
      </c>
      <c r="D602">
        <v>0</v>
      </c>
      <c r="E602">
        <v>2</v>
      </c>
      <c r="F602" t="s">
        <v>18</v>
      </c>
      <c r="G602" t="s">
        <v>14</v>
      </c>
      <c r="H602">
        <v>6</v>
      </c>
      <c r="I602" t="s">
        <v>818</v>
      </c>
      <c r="J602" t="s">
        <v>19</v>
      </c>
      <c r="K602">
        <v>79</v>
      </c>
      <c r="L602" t="s">
        <v>22</v>
      </c>
    </row>
    <row r="603" spans="1:12" x14ac:dyDescent="0.25">
      <c r="A603" t="s">
        <v>819</v>
      </c>
      <c r="B603">
        <v>2</v>
      </c>
      <c r="C603">
        <v>0</v>
      </c>
      <c r="D603">
        <v>2</v>
      </c>
      <c r="E603">
        <v>3</v>
      </c>
      <c r="F603" t="s">
        <v>13</v>
      </c>
      <c r="G603" t="s">
        <v>14</v>
      </c>
      <c r="H603">
        <v>256</v>
      </c>
      <c r="I603" t="s">
        <v>187</v>
      </c>
      <c r="J603" t="s">
        <v>19</v>
      </c>
      <c r="K603">
        <v>94.35</v>
      </c>
      <c r="L603" t="s">
        <v>22</v>
      </c>
    </row>
    <row r="604" spans="1:12" x14ac:dyDescent="0.25">
      <c r="A604" t="s">
        <v>820</v>
      </c>
      <c r="B604">
        <v>2</v>
      </c>
      <c r="C604">
        <v>0</v>
      </c>
      <c r="D604">
        <v>0</v>
      </c>
      <c r="E604">
        <v>2</v>
      </c>
      <c r="F604" t="s">
        <v>27</v>
      </c>
      <c r="G604" t="s">
        <v>14</v>
      </c>
      <c r="H604">
        <v>265</v>
      </c>
      <c r="I604" t="s">
        <v>127</v>
      </c>
      <c r="J604" t="s">
        <v>19</v>
      </c>
      <c r="K604">
        <v>109</v>
      </c>
      <c r="L604" t="s">
        <v>22</v>
      </c>
    </row>
    <row r="605" spans="1:12" x14ac:dyDescent="0.25">
      <c r="A605" t="s">
        <v>821</v>
      </c>
      <c r="B605">
        <v>2</v>
      </c>
      <c r="C605">
        <v>0</v>
      </c>
      <c r="D605">
        <v>2</v>
      </c>
      <c r="E605">
        <v>3</v>
      </c>
      <c r="F605" t="s">
        <v>13</v>
      </c>
      <c r="G605" t="s">
        <v>32</v>
      </c>
      <c r="H605">
        <v>64</v>
      </c>
      <c r="I605" t="s">
        <v>135</v>
      </c>
      <c r="J605" t="s">
        <v>19</v>
      </c>
      <c r="K605">
        <v>112.2</v>
      </c>
      <c r="L605" t="s">
        <v>16</v>
      </c>
    </row>
    <row r="606" spans="1:12" x14ac:dyDescent="0.25">
      <c r="A606" t="s">
        <v>822</v>
      </c>
      <c r="B606">
        <v>1</v>
      </c>
      <c r="C606">
        <v>0</v>
      </c>
      <c r="D606">
        <v>0</v>
      </c>
      <c r="E606">
        <v>1</v>
      </c>
      <c r="F606" t="s">
        <v>13</v>
      </c>
      <c r="G606" t="s">
        <v>14</v>
      </c>
      <c r="H606">
        <v>0</v>
      </c>
      <c r="I606" s="1">
        <v>42745</v>
      </c>
      <c r="J606" t="s">
        <v>56</v>
      </c>
      <c r="K606">
        <v>109</v>
      </c>
      <c r="L606" t="s">
        <v>16</v>
      </c>
    </row>
    <row r="607" spans="1:12" x14ac:dyDescent="0.25">
      <c r="A607" t="s">
        <v>823</v>
      </c>
      <c r="B607">
        <v>1</v>
      </c>
      <c r="C607">
        <v>0</v>
      </c>
      <c r="D607">
        <v>0</v>
      </c>
      <c r="E607">
        <v>2</v>
      </c>
      <c r="F607" t="s">
        <v>13</v>
      </c>
      <c r="G607" t="s">
        <v>14</v>
      </c>
      <c r="H607">
        <v>91</v>
      </c>
      <c r="I607" t="s">
        <v>389</v>
      </c>
      <c r="J607" t="s">
        <v>56</v>
      </c>
      <c r="K607">
        <v>65</v>
      </c>
      <c r="L607" t="s">
        <v>16</v>
      </c>
    </row>
    <row r="608" spans="1:12" x14ac:dyDescent="0.25">
      <c r="A608" t="s">
        <v>824</v>
      </c>
      <c r="B608">
        <v>2</v>
      </c>
      <c r="C608">
        <v>0</v>
      </c>
      <c r="D608">
        <v>1</v>
      </c>
      <c r="E608">
        <v>3</v>
      </c>
      <c r="F608" t="s">
        <v>13</v>
      </c>
      <c r="G608" t="s">
        <v>14</v>
      </c>
      <c r="H608">
        <v>127</v>
      </c>
      <c r="I608" t="s">
        <v>64</v>
      </c>
      <c r="J608" t="s">
        <v>15</v>
      </c>
      <c r="K608">
        <v>90</v>
      </c>
      <c r="L608" t="s">
        <v>16</v>
      </c>
    </row>
    <row r="609" spans="1:12" x14ac:dyDescent="0.25">
      <c r="A609" t="s">
        <v>825</v>
      </c>
      <c r="B609">
        <v>2</v>
      </c>
      <c r="C609">
        <v>0</v>
      </c>
      <c r="D609">
        <v>0</v>
      </c>
      <c r="E609">
        <v>3</v>
      </c>
      <c r="F609" t="s">
        <v>13</v>
      </c>
      <c r="G609" t="s">
        <v>14</v>
      </c>
      <c r="H609">
        <v>73</v>
      </c>
      <c r="I609" t="s">
        <v>826</v>
      </c>
      <c r="J609" t="s">
        <v>15</v>
      </c>
      <c r="K609">
        <v>85</v>
      </c>
      <c r="L609" t="s">
        <v>16</v>
      </c>
    </row>
    <row r="610" spans="1:12" x14ac:dyDescent="0.25">
      <c r="A610" t="s">
        <v>827</v>
      </c>
      <c r="B610">
        <v>2</v>
      </c>
      <c r="C610">
        <v>0</v>
      </c>
      <c r="D610">
        <v>0</v>
      </c>
      <c r="E610">
        <v>4</v>
      </c>
      <c r="F610" t="s">
        <v>13</v>
      </c>
      <c r="G610" t="s">
        <v>14</v>
      </c>
      <c r="H610">
        <v>36</v>
      </c>
      <c r="I610" t="s">
        <v>237</v>
      </c>
      <c r="J610" t="s">
        <v>19</v>
      </c>
      <c r="K610">
        <v>168.73</v>
      </c>
      <c r="L610" t="s">
        <v>16</v>
      </c>
    </row>
    <row r="611" spans="1:12" x14ac:dyDescent="0.25">
      <c r="A611" t="s">
        <v>828</v>
      </c>
      <c r="B611">
        <v>2</v>
      </c>
      <c r="C611">
        <v>0</v>
      </c>
      <c r="D611">
        <v>1</v>
      </c>
      <c r="E611">
        <v>3</v>
      </c>
      <c r="F611" t="s">
        <v>13</v>
      </c>
      <c r="G611" t="s">
        <v>14</v>
      </c>
      <c r="H611">
        <v>17</v>
      </c>
      <c r="I611" s="1">
        <v>43324</v>
      </c>
      <c r="J611" t="s">
        <v>19</v>
      </c>
      <c r="K611">
        <v>100.38</v>
      </c>
      <c r="L611" t="s">
        <v>16</v>
      </c>
    </row>
    <row r="612" spans="1:12" x14ac:dyDescent="0.25">
      <c r="A612" t="s">
        <v>829</v>
      </c>
      <c r="B612">
        <v>2</v>
      </c>
      <c r="C612">
        <v>0</v>
      </c>
      <c r="D612">
        <v>2</v>
      </c>
      <c r="E612">
        <v>5</v>
      </c>
      <c r="F612" t="s">
        <v>13</v>
      </c>
      <c r="G612" t="s">
        <v>14</v>
      </c>
      <c r="H612">
        <v>164</v>
      </c>
      <c r="I612" t="s">
        <v>830</v>
      </c>
      <c r="J612" t="s">
        <v>19</v>
      </c>
      <c r="K612">
        <v>99.45</v>
      </c>
      <c r="L612" t="s">
        <v>22</v>
      </c>
    </row>
    <row r="613" spans="1:12" x14ac:dyDescent="0.25">
      <c r="A613" t="s">
        <v>831</v>
      </c>
      <c r="B613">
        <v>2</v>
      </c>
      <c r="C613">
        <v>0</v>
      </c>
      <c r="D613">
        <v>0</v>
      </c>
      <c r="E613">
        <v>1</v>
      </c>
      <c r="F613" t="s">
        <v>13</v>
      </c>
      <c r="G613" t="s">
        <v>14</v>
      </c>
      <c r="H613">
        <v>0</v>
      </c>
      <c r="I613" t="s">
        <v>614</v>
      </c>
      <c r="J613" t="s">
        <v>56</v>
      </c>
      <c r="K613">
        <v>160</v>
      </c>
      <c r="L613" t="s">
        <v>16</v>
      </c>
    </row>
    <row r="614" spans="1:12" x14ac:dyDescent="0.25">
      <c r="A614" t="s">
        <v>832</v>
      </c>
      <c r="B614">
        <v>2</v>
      </c>
      <c r="C614">
        <v>0</v>
      </c>
      <c r="D614">
        <v>2</v>
      </c>
      <c r="E614">
        <v>1</v>
      </c>
      <c r="F614" t="s">
        <v>13</v>
      </c>
      <c r="G614" t="s">
        <v>14</v>
      </c>
      <c r="H614">
        <v>37</v>
      </c>
      <c r="I614" s="1">
        <v>43141</v>
      </c>
      <c r="J614" t="s">
        <v>19</v>
      </c>
      <c r="K614">
        <v>126</v>
      </c>
      <c r="L614" t="s">
        <v>16</v>
      </c>
    </row>
    <row r="615" spans="1:12" x14ac:dyDescent="0.25">
      <c r="A615" t="s">
        <v>833</v>
      </c>
      <c r="B615">
        <v>3</v>
      </c>
      <c r="C615">
        <v>0</v>
      </c>
      <c r="D615">
        <v>1</v>
      </c>
      <c r="E615">
        <v>2</v>
      </c>
      <c r="F615" t="s">
        <v>13</v>
      </c>
      <c r="G615" t="s">
        <v>14</v>
      </c>
      <c r="H615">
        <v>191</v>
      </c>
      <c r="I615" s="1">
        <v>43108</v>
      </c>
      <c r="J615" t="s">
        <v>15</v>
      </c>
      <c r="K615">
        <v>96.9</v>
      </c>
      <c r="L615" t="s">
        <v>16</v>
      </c>
    </row>
    <row r="616" spans="1:12" x14ac:dyDescent="0.25">
      <c r="A616" t="s">
        <v>834</v>
      </c>
      <c r="B616">
        <v>2</v>
      </c>
      <c r="C616">
        <v>2</v>
      </c>
      <c r="D616">
        <v>2</v>
      </c>
      <c r="E616">
        <v>4</v>
      </c>
      <c r="F616" t="s">
        <v>13</v>
      </c>
      <c r="G616" t="s">
        <v>78</v>
      </c>
      <c r="H616">
        <v>33</v>
      </c>
      <c r="I616" t="s">
        <v>86</v>
      </c>
      <c r="J616" t="s">
        <v>19</v>
      </c>
      <c r="K616">
        <v>95</v>
      </c>
      <c r="L616" t="s">
        <v>16</v>
      </c>
    </row>
    <row r="617" spans="1:12" x14ac:dyDescent="0.25">
      <c r="A617" t="s">
        <v>835</v>
      </c>
      <c r="B617">
        <v>2</v>
      </c>
      <c r="C617">
        <v>0</v>
      </c>
      <c r="D617">
        <v>2</v>
      </c>
      <c r="E617">
        <v>1</v>
      </c>
      <c r="F617" t="s">
        <v>13</v>
      </c>
      <c r="G617" t="s">
        <v>14</v>
      </c>
      <c r="H617">
        <v>32</v>
      </c>
      <c r="I617" s="1">
        <v>42864</v>
      </c>
      <c r="J617" t="s">
        <v>19</v>
      </c>
      <c r="K617">
        <v>94.5</v>
      </c>
      <c r="L617" t="s">
        <v>16</v>
      </c>
    </row>
    <row r="618" spans="1:12" x14ac:dyDescent="0.25">
      <c r="A618" t="s">
        <v>836</v>
      </c>
      <c r="B618">
        <v>1</v>
      </c>
      <c r="C618">
        <v>0</v>
      </c>
      <c r="D618">
        <v>1</v>
      </c>
      <c r="E618">
        <v>1</v>
      </c>
      <c r="F618" t="s">
        <v>13</v>
      </c>
      <c r="G618" t="s">
        <v>14</v>
      </c>
      <c r="H618">
        <v>3</v>
      </c>
      <c r="I618" s="1">
        <v>42925</v>
      </c>
      <c r="J618" t="s">
        <v>15</v>
      </c>
      <c r="K618">
        <v>98.8</v>
      </c>
      <c r="L618" t="s">
        <v>16</v>
      </c>
    </row>
    <row r="619" spans="1:12" x14ac:dyDescent="0.25">
      <c r="A619" t="s">
        <v>837</v>
      </c>
      <c r="B619">
        <v>2</v>
      </c>
      <c r="C619">
        <v>0</v>
      </c>
      <c r="D619">
        <v>2</v>
      </c>
      <c r="E619">
        <v>1</v>
      </c>
      <c r="F619" t="s">
        <v>18</v>
      </c>
      <c r="G619" t="s">
        <v>14</v>
      </c>
      <c r="H619">
        <v>53</v>
      </c>
      <c r="I619" s="1">
        <v>43380</v>
      </c>
      <c r="J619" t="s">
        <v>19</v>
      </c>
      <c r="K619">
        <v>100.5</v>
      </c>
      <c r="L619" t="s">
        <v>16</v>
      </c>
    </row>
    <row r="620" spans="1:12" x14ac:dyDescent="0.25">
      <c r="A620" t="s">
        <v>838</v>
      </c>
      <c r="B620">
        <v>2</v>
      </c>
      <c r="C620">
        <v>0</v>
      </c>
      <c r="D620">
        <v>1</v>
      </c>
      <c r="E620">
        <v>0</v>
      </c>
      <c r="F620" t="s">
        <v>27</v>
      </c>
      <c r="G620" t="s">
        <v>280</v>
      </c>
      <c r="H620">
        <v>8</v>
      </c>
      <c r="I620" t="s">
        <v>84</v>
      </c>
      <c r="J620" t="s">
        <v>129</v>
      </c>
      <c r="K620">
        <v>0</v>
      </c>
      <c r="L620" t="s">
        <v>16</v>
      </c>
    </row>
    <row r="621" spans="1:12" x14ac:dyDescent="0.25">
      <c r="A621" t="s">
        <v>839</v>
      </c>
      <c r="B621">
        <v>2</v>
      </c>
      <c r="C621">
        <v>0</v>
      </c>
      <c r="D621">
        <v>2</v>
      </c>
      <c r="E621">
        <v>1</v>
      </c>
      <c r="F621" t="s">
        <v>13</v>
      </c>
      <c r="G621" t="s">
        <v>14</v>
      </c>
      <c r="H621">
        <v>107</v>
      </c>
      <c r="I621" t="s">
        <v>599</v>
      </c>
      <c r="J621" t="s">
        <v>19</v>
      </c>
      <c r="K621">
        <v>80.75</v>
      </c>
      <c r="L621" t="s">
        <v>22</v>
      </c>
    </row>
    <row r="622" spans="1:12" x14ac:dyDescent="0.25">
      <c r="A622" t="s">
        <v>840</v>
      </c>
      <c r="B622">
        <v>2</v>
      </c>
      <c r="C622">
        <v>0</v>
      </c>
      <c r="D622">
        <v>0</v>
      </c>
      <c r="E622">
        <v>1</v>
      </c>
      <c r="F622" t="s">
        <v>27</v>
      </c>
      <c r="G622" t="s">
        <v>14</v>
      </c>
      <c r="H622">
        <v>55</v>
      </c>
      <c r="I622" s="1">
        <v>43255</v>
      </c>
      <c r="J622" t="s">
        <v>15</v>
      </c>
      <c r="K622">
        <v>104</v>
      </c>
      <c r="L622" t="s">
        <v>16</v>
      </c>
    </row>
    <row r="623" spans="1:12" x14ac:dyDescent="0.25">
      <c r="A623" t="s">
        <v>841</v>
      </c>
      <c r="B623">
        <v>2</v>
      </c>
      <c r="C623">
        <v>0</v>
      </c>
      <c r="D623">
        <v>1</v>
      </c>
      <c r="E623">
        <v>2</v>
      </c>
      <c r="F623" t="s">
        <v>13</v>
      </c>
      <c r="G623" t="s">
        <v>14</v>
      </c>
      <c r="H623">
        <v>84</v>
      </c>
      <c r="I623" t="s">
        <v>215</v>
      </c>
      <c r="J623" t="s">
        <v>15</v>
      </c>
      <c r="K623">
        <v>89.75</v>
      </c>
      <c r="L623" t="s">
        <v>16</v>
      </c>
    </row>
    <row r="624" spans="1:12" x14ac:dyDescent="0.25">
      <c r="A624" t="s">
        <v>842</v>
      </c>
      <c r="B624">
        <v>2</v>
      </c>
      <c r="C624">
        <v>2</v>
      </c>
      <c r="D624">
        <v>0</v>
      </c>
      <c r="E624">
        <v>2</v>
      </c>
      <c r="F624" t="s">
        <v>13</v>
      </c>
      <c r="G624" t="s">
        <v>124</v>
      </c>
      <c r="H624">
        <v>0</v>
      </c>
      <c r="I624" t="s">
        <v>843</v>
      </c>
      <c r="J624" t="s">
        <v>19</v>
      </c>
      <c r="K624">
        <v>156</v>
      </c>
      <c r="L624" t="s">
        <v>16</v>
      </c>
    </row>
    <row r="625" spans="1:12" x14ac:dyDescent="0.25">
      <c r="A625" t="s">
        <v>844</v>
      </c>
      <c r="B625">
        <v>2</v>
      </c>
      <c r="C625">
        <v>0</v>
      </c>
      <c r="D625">
        <v>1</v>
      </c>
      <c r="E625">
        <v>1</v>
      </c>
      <c r="F625" t="s">
        <v>13</v>
      </c>
      <c r="G625" t="s">
        <v>32</v>
      </c>
      <c r="H625">
        <v>1</v>
      </c>
      <c r="I625" s="1">
        <v>43410</v>
      </c>
      <c r="J625" t="s">
        <v>19</v>
      </c>
      <c r="K625">
        <v>136</v>
      </c>
      <c r="L625" t="s">
        <v>16</v>
      </c>
    </row>
    <row r="626" spans="1:12" x14ac:dyDescent="0.25">
      <c r="A626" t="s">
        <v>845</v>
      </c>
      <c r="B626">
        <v>2</v>
      </c>
      <c r="C626">
        <v>0</v>
      </c>
      <c r="D626">
        <v>0</v>
      </c>
      <c r="E626">
        <v>2</v>
      </c>
      <c r="F626" t="s">
        <v>13</v>
      </c>
      <c r="G626" t="s">
        <v>14</v>
      </c>
      <c r="H626">
        <v>29</v>
      </c>
      <c r="I626" s="1">
        <v>43143</v>
      </c>
      <c r="J626" t="s">
        <v>56</v>
      </c>
      <c r="K626">
        <v>85</v>
      </c>
      <c r="L626" t="s">
        <v>16</v>
      </c>
    </row>
    <row r="627" spans="1:12" x14ac:dyDescent="0.25">
      <c r="A627" t="s">
        <v>846</v>
      </c>
      <c r="B627">
        <v>2</v>
      </c>
      <c r="C627">
        <v>0</v>
      </c>
      <c r="D627">
        <v>0</v>
      </c>
      <c r="E627">
        <v>4</v>
      </c>
      <c r="F627" t="s">
        <v>13</v>
      </c>
      <c r="G627" t="s">
        <v>32</v>
      </c>
      <c r="H627">
        <v>41</v>
      </c>
      <c r="I627" t="s">
        <v>720</v>
      </c>
      <c r="J627" t="s">
        <v>19</v>
      </c>
      <c r="K627">
        <v>87.54</v>
      </c>
      <c r="L627" t="s">
        <v>16</v>
      </c>
    </row>
    <row r="628" spans="1:12" x14ac:dyDescent="0.25">
      <c r="A628" t="s">
        <v>847</v>
      </c>
      <c r="B628">
        <v>2</v>
      </c>
      <c r="C628">
        <v>0</v>
      </c>
      <c r="D628">
        <v>0</v>
      </c>
      <c r="E628">
        <v>2</v>
      </c>
      <c r="F628" t="s">
        <v>13</v>
      </c>
      <c r="G628" t="s">
        <v>14</v>
      </c>
      <c r="H628">
        <v>86</v>
      </c>
      <c r="I628" s="1">
        <v>42987</v>
      </c>
      <c r="J628" t="s">
        <v>56</v>
      </c>
      <c r="K628">
        <v>100</v>
      </c>
      <c r="L628" t="s">
        <v>16</v>
      </c>
    </row>
    <row r="629" spans="1:12" x14ac:dyDescent="0.25">
      <c r="A629" t="s">
        <v>848</v>
      </c>
      <c r="B629">
        <v>2</v>
      </c>
      <c r="C629">
        <v>0</v>
      </c>
      <c r="D629">
        <v>2</v>
      </c>
      <c r="E629">
        <v>2</v>
      </c>
      <c r="F629" t="s">
        <v>13</v>
      </c>
      <c r="G629" t="s">
        <v>14</v>
      </c>
      <c r="H629">
        <v>167</v>
      </c>
      <c r="I629" s="1">
        <v>43110</v>
      </c>
      <c r="J629" t="s">
        <v>19</v>
      </c>
      <c r="K629">
        <v>108.9</v>
      </c>
      <c r="L629" t="s">
        <v>22</v>
      </c>
    </row>
    <row r="630" spans="1:12" x14ac:dyDescent="0.25">
      <c r="A630" t="s">
        <v>849</v>
      </c>
      <c r="B630">
        <v>2</v>
      </c>
      <c r="C630">
        <v>0</v>
      </c>
      <c r="D630">
        <v>0</v>
      </c>
      <c r="E630">
        <v>3</v>
      </c>
      <c r="F630" t="s">
        <v>18</v>
      </c>
      <c r="G630" t="s">
        <v>14</v>
      </c>
      <c r="H630">
        <v>34</v>
      </c>
      <c r="I630" t="s">
        <v>728</v>
      </c>
      <c r="J630" t="s">
        <v>19</v>
      </c>
      <c r="K630">
        <v>107.1</v>
      </c>
      <c r="L630" t="s">
        <v>16</v>
      </c>
    </row>
    <row r="631" spans="1:12" x14ac:dyDescent="0.25">
      <c r="A631" t="s">
        <v>850</v>
      </c>
      <c r="B631">
        <v>2</v>
      </c>
      <c r="C631">
        <v>0</v>
      </c>
      <c r="D631">
        <v>1</v>
      </c>
      <c r="E631">
        <v>2</v>
      </c>
      <c r="F631" t="s">
        <v>13</v>
      </c>
      <c r="G631" t="s">
        <v>14</v>
      </c>
      <c r="H631">
        <v>101</v>
      </c>
      <c r="I631" s="1">
        <v>43194</v>
      </c>
      <c r="J631" t="s">
        <v>19</v>
      </c>
      <c r="K631">
        <v>80</v>
      </c>
      <c r="L631" t="s">
        <v>22</v>
      </c>
    </row>
    <row r="632" spans="1:12" x14ac:dyDescent="0.25">
      <c r="A632" t="s">
        <v>851</v>
      </c>
      <c r="B632">
        <v>2</v>
      </c>
      <c r="C632">
        <v>0</v>
      </c>
      <c r="D632">
        <v>0</v>
      </c>
      <c r="E632">
        <v>3</v>
      </c>
      <c r="F632" t="s">
        <v>13</v>
      </c>
      <c r="G632" t="s">
        <v>14</v>
      </c>
      <c r="H632">
        <v>259</v>
      </c>
      <c r="I632" s="1">
        <v>43225</v>
      </c>
      <c r="J632" t="s">
        <v>19</v>
      </c>
      <c r="K632">
        <v>90</v>
      </c>
      <c r="L632" t="s">
        <v>22</v>
      </c>
    </row>
    <row r="633" spans="1:12" x14ac:dyDescent="0.25">
      <c r="A633" t="s">
        <v>852</v>
      </c>
      <c r="B633">
        <v>2</v>
      </c>
      <c r="C633">
        <v>0</v>
      </c>
      <c r="D633">
        <v>0</v>
      </c>
      <c r="E633">
        <v>2</v>
      </c>
      <c r="F633" t="s">
        <v>13</v>
      </c>
      <c r="G633" t="s">
        <v>14</v>
      </c>
      <c r="H633">
        <v>122</v>
      </c>
      <c r="I633" s="1">
        <v>43439</v>
      </c>
      <c r="J633" t="s">
        <v>19</v>
      </c>
      <c r="K633">
        <v>105.3</v>
      </c>
      <c r="L633" t="s">
        <v>16</v>
      </c>
    </row>
    <row r="634" spans="1:12" x14ac:dyDescent="0.25">
      <c r="A634" t="s">
        <v>853</v>
      </c>
      <c r="B634">
        <v>2</v>
      </c>
      <c r="C634">
        <v>0</v>
      </c>
      <c r="D634">
        <v>0</v>
      </c>
      <c r="E634">
        <v>1</v>
      </c>
      <c r="F634" t="s">
        <v>18</v>
      </c>
      <c r="G634" t="s">
        <v>14</v>
      </c>
      <c r="H634">
        <v>1</v>
      </c>
      <c r="I634" s="1">
        <v>43406</v>
      </c>
      <c r="J634" t="s">
        <v>19</v>
      </c>
      <c r="K634">
        <v>80</v>
      </c>
      <c r="L634" t="s">
        <v>16</v>
      </c>
    </row>
    <row r="635" spans="1:12" x14ac:dyDescent="0.25">
      <c r="A635" t="s">
        <v>854</v>
      </c>
      <c r="B635">
        <v>2</v>
      </c>
      <c r="C635">
        <v>0</v>
      </c>
      <c r="D635">
        <v>0</v>
      </c>
      <c r="E635">
        <v>2</v>
      </c>
      <c r="F635" t="s">
        <v>13</v>
      </c>
      <c r="G635" t="s">
        <v>32</v>
      </c>
      <c r="H635">
        <v>107</v>
      </c>
      <c r="I635" t="s">
        <v>140</v>
      </c>
      <c r="J635" t="s">
        <v>19</v>
      </c>
      <c r="K635">
        <v>142.19999999999999</v>
      </c>
      <c r="L635" t="s">
        <v>16</v>
      </c>
    </row>
    <row r="636" spans="1:12" x14ac:dyDescent="0.25">
      <c r="A636" t="s">
        <v>855</v>
      </c>
      <c r="B636">
        <v>2</v>
      </c>
      <c r="C636">
        <v>0</v>
      </c>
      <c r="D636">
        <v>0</v>
      </c>
      <c r="E636">
        <v>3</v>
      </c>
      <c r="F636" t="s">
        <v>13</v>
      </c>
      <c r="G636" t="s">
        <v>32</v>
      </c>
      <c r="H636">
        <v>35</v>
      </c>
      <c r="I636" s="1">
        <v>43224</v>
      </c>
      <c r="J636" t="s">
        <v>19</v>
      </c>
      <c r="K636">
        <v>131.4</v>
      </c>
      <c r="L636" t="s">
        <v>16</v>
      </c>
    </row>
    <row r="637" spans="1:12" x14ac:dyDescent="0.25">
      <c r="A637" t="s">
        <v>856</v>
      </c>
      <c r="B637">
        <v>1</v>
      </c>
      <c r="C637">
        <v>0</v>
      </c>
      <c r="D637">
        <v>0</v>
      </c>
      <c r="E637">
        <v>2</v>
      </c>
      <c r="F637" t="s">
        <v>13</v>
      </c>
      <c r="G637" t="s">
        <v>14</v>
      </c>
      <c r="H637">
        <v>192</v>
      </c>
      <c r="I637" t="s">
        <v>127</v>
      </c>
      <c r="J637" t="s">
        <v>15</v>
      </c>
      <c r="K637">
        <v>95</v>
      </c>
      <c r="L637" t="s">
        <v>16</v>
      </c>
    </row>
    <row r="638" spans="1:12" x14ac:dyDescent="0.25">
      <c r="A638" t="s">
        <v>857</v>
      </c>
      <c r="B638">
        <v>2</v>
      </c>
      <c r="C638">
        <v>0</v>
      </c>
      <c r="D638">
        <v>0</v>
      </c>
      <c r="E638">
        <v>2</v>
      </c>
      <c r="F638" t="s">
        <v>13</v>
      </c>
      <c r="G638" t="s">
        <v>14</v>
      </c>
      <c r="H638">
        <v>4</v>
      </c>
      <c r="I638" s="1">
        <v>43104</v>
      </c>
      <c r="J638" t="s">
        <v>19</v>
      </c>
      <c r="K638">
        <v>111</v>
      </c>
      <c r="L638" t="s">
        <v>22</v>
      </c>
    </row>
    <row r="639" spans="1:12" x14ac:dyDescent="0.25">
      <c r="A639" t="s">
        <v>858</v>
      </c>
      <c r="B639">
        <v>2</v>
      </c>
      <c r="C639">
        <v>0</v>
      </c>
      <c r="D639">
        <v>1</v>
      </c>
      <c r="E639">
        <v>3</v>
      </c>
      <c r="F639" t="s">
        <v>13</v>
      </c>
      <c r="G639" t="s">
        <v>14</v>
      </c>
      <c r="H639">
        <v>85</v>
      </c>
      <c r="I639" s="1">
        <v>43261</v>
      </c>
      <c r="J639" t="s">
        <v>15</v>
      </c>
      <c r="K639">
        <v>85</v>
      </c>
      <c r="L639" t="s">
        <v>16</v>
      </c>
    </row>
    <row r="640" spans="1:12" x14ac:dyDescent="0.25">
      <c r="A640" t="s">
        <v>859</v>
      </c>
      <c r="B640">
        <v>3</v>
      </c>
      <c r="C640">
        <v>0</v>
      </c>
      <c r="D640">
        <v>0</v>
      </c>
      <c r="E640">
        <v>4</v>
      </c>
      <c r="F640" t="s">
        <v>13</v>
      </c>
      <c r="G640" t="s">
        <v>32</v>
      </c>
      <c r="H640">
        <v>137</v>
      </c>
      <c r="I640" t="s">
        <v>335</v>
      </c>
      <c r="J640" t="s">
        <v>19</v>
      </c>
      <c r="K640">
        <v>130.94999999999999</v>
      </c>
      <c r="L640" t="s">
        <v>22</v>
      </c>
    </row>
    <row r="641" spans="1:12" x14ac:dyDescent="0.25">
      <c r="A641" t="s">
        <v>860</v>
      </c>
      <c r="B641">
        <v>2</v>
      </c>
      <c r="C641">
        <v>0</v>
      </c>
      <c r="D641">
        <v>0</v>
      </c>
      <c r="E641">
        <v>2</v>
      </c>
      <c r="F641" t="s">
        <v>27</v>
      </c>
      <c r="G641" t="s">
        <v>14</v>
      </c>
      <c r="H641">
        <v>74</v>
      </c>
      <c r="I641" t="s">
        <v>653</v>
      </c>
      <c r="J641" t="s">
        <v>15</v>
      </c>
      <c r="K641">
        <v>101.5</v>
      </c>
      <c r="L641" t="s">
        <v>16</v>
      </c>
    </row>
    <row r="642" spans="1:12" x14ac:dyDescent="0.25">
      <c r="A642" t="s">
        <v>861</v>
      </c>
      <c r="B642">
        <v>1</v>
      </c>
      <c r="C642">
        <v>0</v>
      </c>
      <c r="D642">
        <v>2</v>
      </c>
      <c r="E642">
        <v>1</v>
      </c>
      <c r="F642" t="s">
        <v>13</v>
      </c>
      <c r="G642" t="s">
        <v>14</v>
      </c>
      <c r="H642">
        <v>116</v>
      </c>
      <c r="I642" t="s">
        <v>21</v>
      </c>
      <c r="J642" t="s">
        <v>15</v>
      </c>
      <c r="K642">
        <v>82</v>
      </c>
      <c r="L642" t="s">
        <v>16</v>
      </c>
    </row>
    <row r="643" spans="1:12" x14ac:dyDescent="0.25">
      <c r="A643" t="s">
        <v>862</v>
      </c>
      <c r="B643">
        <v>2</v>
      </c>
      <c r="C643">
        <v>0</v>
      </c>
      <c r="D643">
        <v>2</v>
      </c>
      <c r="E643">
        <v>2</v>
      </c>
      <c r="F643" t="s">
        <v>13</v>
      </c>
      <c r="G643" t="s">
        <v>14</v>
      </c>
      <c r="H643">
        <v>34</v>
      </c>
      <c r="I643" t="s">
        <v>290</v>
      </c>
      <c r="J643" t="s">
        <v>19</v>
      </c>
      <c r="K643">
        <v>94.5</v>
      </c>
      <c r="L643" t="s">
        <v>16</v>
      </c>
    </row>
    <row r="644" spans="1:12" x14ac:dyDescent="0.25">
      <c r="A644" t="s">
        <v>863</v>
      </c>
      <c r="B644">
        <v>2</v>
      </c>
      <c r="C644">
        <v>0</v>
      </c>
      <c r="D644">
        <v>2</v>
      </c>
      <c r="E644">
        <v>1</v>
      </c>
      <c r="F644" t="s">
        <v>13</v>
      </c>
      <c r="G644" t="s">
        <v>14</v>
      </c>
      <c r="H644">
        <v>56</v>
      </c>
      <c r="I644" t="s">
        <v>430</v>
      </c>
      <c r="J644" t="s">
        <v>19</v>
      </c>
      <c r="K644">
        <v>109.8</v>
      </c>
      <c r="L644" t="s">
        <v>22</v>
      </c>
    </row>
    <row r="645" spans="1:12" x14ac:dyDescent="0.25">
      <c r="A645" t="s">
        <v>864</v>
      </c>
      <c r="B645">
        <v>2</v>
      </c>
      <c r="C645">
        <v>0</v>
      </c>
      <c r="D645">
        <v>2</v>
      </c>
      <c r="E645">
        <v>4</v>
      </c>
      <c r="F645" t="s">
        <v>13</v>
      </c>
      <c r="G645" t="s">
        <v>14</v>
      </c>
      <c r="H645">
        <v>149</v>
      </c>
      <c r="I645" s="1">
        <v>43380</v>
      </c>
      <c r="J645" t="s">
        <v>19</v>
      </c>
      <c r="K645">
        <v>72.25</v>
      </c>
      <c r="L645" t="s">
        <v>22</v>
      </c>
    </row>
    <row r="646" spans="1:12" x14ac:dyDescent="0.25">
      <c r="A646" t="s">
        <v>865</v>
      </c>
      <c r="B646">
        <v>2</v>
      </c>
      <c r="C646">
        <v>0</v>
      </c>
      <c r="D646">
        <v>2</v>
      </c>
      <c r="E646">
        <v>2</v>
      </c>
      <c r="F646" t="s">
        <v>18</v>
      </c>
      <c r="G646" t="s">
        <v>14</v>
      </c>
      <c r="H646">
        <v>12</v>
      </c>
      <c r="I646" s="1">
        <v>43253</v>
      </c>
      <c r="J646" t="s">
        <v>19</v>
      </c>
      <c r="K646">
        <v>55.72</v>
      </c>
      <c r="L646" t="s">
        <v>16</v>
      </c>
    </row>
    <row r="647" spans="1:12" x14ac:dyDescent="0.25">
      <c r="A647" t="s">
        <v>866</v>
      </c>
      <c r="B647">
        <v>3</v>
      </c>
      <c r="C647">
        <v>0</v>
      </c>
      <c r="D647">
        <v>1</v>
      </c>
      <c r="E647">
        <v>1</v>
      </c>
      <c r="F647" t="s">
        <v>13</v>
      </c>
      <c r="G647" t="s">
        <v>32</v>
      </c>
      <c r="H647">
        <v>52</v>
      </c>
      <c r="I647" t="s">
        <v>164</v>
      </c>
      <c r="J647" t="s">
        <v>19</v>
      </c>
      <c r="K647">
        <v>158.4</v>
      </c>
      <c r="L647" t="s">
        <v>22</v>
      </c>
    </row>
    <row r="648" spans="1:12" x14ac:dyDescent="0.25">
      <c r="A648" t="s">
        <v>867</v>
      </c>
      <c r="B648">
        <v>2</v>
      </c>
      <c r="C648">
        <v>0</v>
      </c>
      <c r="D648">
        <v>1</v>
      </c>
      <c r="E648">
        <v>4</v>
      </c>
      <c r="F648" t="s">
        <v>13</v>
      </c>
      <c r="G648" t="s">
        <v>32</v>
      </c>
      <c r="H648">
        <v>191</v>
      </c>
      <c r="I648" t="s">
        <v>226</v>
      </c>
      <c r="J648" t="s">
        <v>15</v>
      </c>
      <c r="K648">
        <v>69</v>
      </c>
      <c r="L648" t="s">
        <v>16</v>
      </c>
    </row>
    <row r="649" spans="1:12" x14ac:dyDescent="0.25">
      <c r="A649" t="s">
        <v>868</v>
      </c>
      <c r="B649">
        <v>2</v>
      </c>
      <c r="C649">
        <v>0</v>
      </c>
      <c r="D649">
        <v>0</v>
      </c>
      <c r="E649">
        <v>3</v>
      </c>
      <c r="F649" t="s">
        <v>13</v>
      </c>
      <c r="G649" t="s">
        <v>14</v>
      </c>
      <c r="H649">
        <v>37</v>
      </c>
      <c r="I649" t="s">
        <v>60</v>
      </c>
      <c r="J649" t="s">
        <v>15</v>
      </c>
      <c r="K649">
        <v>105</v>
      </c>
      <c r="L649" t="s">
        <v>16</v>
      </c>
    </row>
    <row r="650" spans="1:12" x14ac:dyDescent="0.25">
      <c r="A650" t="s">
        <v>869</v>
      </c>
      <c r="B650">
        <v>2</v>
      </c>
      <c r="C650">
        <v>0</v>
      </c>
      <c r="D650">
        <v>0</v>
      </c>
      <c r="E650">
        <v>3</v>
      </c>
      <c r="F650" t="s">
        <v>13</v>
      </c>
      <c r="G650" t="s">
        <v>32</v>
      </c>
      <c r="H650">
        <v>57</v>
      </c>
      <c r="I650" t="s">
        <v>106</v>
      </c>
      <c r="J650" t="s">
        <v>19</v>
      </c>
      <c r="K650">
        <v>219.6</v>
      </c>
      <c r="L650" t="s">
        <v>22</v>
      </c>
    </row>
    <row r="651" spans="1:12" x14ac:dyDescent="0.25">
      <c r="A651" t="s">
        <v>870</v>
      </c>
      <c r="B651">
        <v>1</v>
      </c>
      <c r="C651">
        <v>0</v>
      </c>
      <c r="D651">
        <v>2</v>
      </c>
      <c r="E651">
        <v>3</v>
      </c>
      <c r="F651" t="s">
        <v>13</v>
      </c>
      <c r="G651" t="s">
        <v>14</v>
      </c>
      <c r="H651">
        <v>9</v>
      </c>
      <c r="I651" s="1">
        <v>43313</v>
      </c>
      <c r="J651" t="s">
        <v>15</v>
      </c>
      <c r="K651">
        <v>44.8</v>
      </c>
      <c r="L651" t="s">
        <v>16</v>
      </c>
    </row>
    <row r="652" spans="1:12" x14ac:dyDescent="0.25">
      <c r="A652" t="s">
        <v>871</v>
      </c>
      <c r="B652">
        <v>2</v>
      </c>
      <c r="C652">
        <v>0</v>
      </c>
      <c r="D652">
        <v>0</v>
      </c>
      <c r="E652">
        <v>1</v>
      </c>
      <c r="F652" t="s">
        <v>18</v>
      </c>
      <c r="G652" t="s">
        <v>14</v>
      </c>
      <c r="H652">
        <v>7</v>
      </c>
      <c r="I652" t="s">
        <v>872</v>
      </c>
      <c r="J652" t="s">
        <v>19</v>
      </c>
      <c r="K652">
        <v>120</v>
      </c>
      <c r="L652" t="s">
        <v>16</v>
      </c>
    </row>
    <row r="653" spans="1:12" x14ac:dyDescent="0.25">
      <c r="A653" t="s">
        <v>873</v>
      </c>
      <c r="B653">
        <v>2</v>
      </c>
      <c r="C653">
        <v>0</v>
      </c>
      <c r="D653">
        <v>1</v>
      </c>
      <c r="E653">
        <v>2</v>
      </c>
      <c r="F653" t="s">
        <v>13</v>
      </c>
      <c r="G653" t="s">
        <v>14</v>
      </c>
      <c r="H653">
        <v>78</v>
      </c>
      <c r="I653" t="s">
        <v>325</v>
      </c>
      <c r="J653" t="s">
        <v>19</v>
      </c>
      <c r="K653">
        <v>100</v>
      </c>
      <c r="L653" t="s">
        <v>22</v>
      </c>
    </row>
    <row r="654" spans="1:12" x14ac:dyDescent="0.25">
      <c r="A654" t="s">
        <v>874</v>
      </c>
      <c r="B654">
        <v>2</v>
      </c>
      <c r="C654">
        <v>0</v>
      </c>
      <c r="D654">
        <v>0</v>
      </c>
      <c r="E654">
        <v>1</v>
      </c>
      <c r="F654" t="s">
        <v>18</v>
      </c>
      <c r="G654" t="s">
        <v>14</v>
      </c>
      <c r="H654">
        <v>0</v>
      </c>
      <c r="I654" s="1">
        <v>43287</v>
      </c>
      <c r="J654" t="s">
        <v>19</v>
      </c>
      <c r="K654">
        <v>109</v>
      </c>
      <c r="L654" t="s">
        <v>16</v>
      </c>
    </row>
    <row r="655" spans="1:12" x14ac:dyDescent="0.25">
      <c r="A655" t="s">
        <v>875</v>
      </c>
      <c r="B655">
        <v>0</v>
      </c>
      <c r="C655">
        <v>2</v>
      </c>
      <c r="D655">
        <v>1</v>
      </c>
      <c r="E655">
        <v>2</v>
      </c>
      <c r="F655" t="s">
        <v>13</v>
      </c>
      <c r="G655" t="s">
        <v>78</v>
      </c>
      <c r="H655">
        <v>78</v>
      </c>
      <c r="I655" t="s">
        <v>319</v>
      </c>
      <c r="J655" t="s">
        <v>19</v>
      </c>
      <c r="K655">
        <v>115.68</v>
      </c>
      <c r="L655" t="s">
        <v>16</v>
      </c>
    </row>
    <row r="656" spans="1:12" x14ac:dyDescent="0.25">
      <c r="A656" t="s">
        <v>876</v>
      </c>
      <c r="B656">
        <v>2</v>
      </c>
      <c r="C656">
        <v>0</v>
      </c>
      <c r="D656">
        <v>1</v>
      </c>
      <c r="E656">
        <v>2</v>
      </c>
      <c r="F656" t="s">
        <v>13</v>
      </c>
      <c r="G656" t="s">
        <v>14</v>
      </c>
      <c r="H656">
        <v>31</v>
      </c>
      <c r="I656" t="s">
        <v>220</v>
      </c>
      <c r="J656" t="s">
        <v>15</v>
      </c>
      <c r="K656">
        <v>75</v>
      </c>
      <c r="L656" t="s">
        <v>16</v>
      </c>
    </row>
    <row r="657" spans="1:12" x14ac:dyDescent="0.25">
      <c r="A657" t="s">
        <v>877</v>
      </c>
      <c r="B657">
        <v>2</v>
      </c>
      <c r="C657">
        <v>0</v>
      </c>
      <c r="D657">
        <v>0</v>
      </c>
      <c r="E657">
        <v>2</v>
      </c>
      <c r="F657" t="s">
        <v>27</v>
      </c>
      <c r="G657" t="s">
        <v>169</v>
      </c>
      <c r="H657">
        <v>37</v>
      </c>
      <c r="I657" t="s">
        <v>249</v>
      </c>
      <c r="J657" t="s">
        <v>15</v>
      </c>
      <c r="K657">
        <v>134.1</v>
      </c>
      <c r="L657" t="s">
        <v>16</v>
      </c>
    </row>
    <row r="658" spans="1:12" x14ac:dyDescent="0.25">
      <c r="A658" t="s">
        <v>878</v>
      </c>
      <c r="B658">
        <v>2</v>
      </c>
      <c r="C658">
        <v>0</v>
      </c>
      <c r="D658">
        <v>2</v>
      </c>
      <c r="E658">
        <v>1</v>
      </c>
      <c r="F658" t="s">
        <v>13</v>
      </c>
      <c r="G658" t="s">
        <v>32</v>
      </c>
      <c r="H658">
        <v>8</v>
      </c>
      <c r="I658" t="s">
        <v>599</v>
      </c>
      <c r="J658" t="s">
        <v>19</v>
      </c>
      <c r="K658">
        <v>124.1</v>
      </c>
      <c r="L658" t="s">
        <v>16</v>
      </c>
    </row>
    <row r="659" spans="1:12" x14ac:dyDescent="0.25">
      <c r="A659" t="s">
        <v>879</v>
      </c>
      <c r="B659">
        <v>4</v>
      </c>
      <c r="C659">
        <v>0</v>
      </c>
      <c r="D659">
        <v>0</v>
      </c>
      <c r="E659">
        <v>2</v>
      </c>
      <c r="F659" t="s">
        <v>13</v>
      </c>
      <c r="G659" t="s">
        <v>280</v>
      </c>
      <c r="H659">
        <v>32</v>
      </c>
      <c r="I659" t="s">
        <v>301</v>
      </c>
      <c r="J659" t="s">
        <v>19</v>
      </c>
      <c r="K659">
        <v>214.75</v>
      </c>
      <c r="L659" t="s">
        <v>16</v>
      </c>
    </row>
    <row r="660" spans="1:12" x14ac:dyDescent="0.25">
      <c r="A660" t="s">
        <v>880</v>
      </c>
      <c r="B660">
        <v>2</v>
      </c>
      <c r="C660">
        <v>0</v>
      </c>
      <c r="D660">
        <v>1</v>
      </c>
      <c r="E660">
        <v>2</v>
      </c>
      <c r="F660" t="s">
        <v>13</v>
      </c>
      <c r="G660" t="s">
        <v>14</v>
      </c>
      <c r="H660">
        <v>48</v>
      </c>
      <c r="I660" t="s">
        <v>650</v>
      </c>
      <c r="J660" t="s">
        <v>15</v>
      </c>
      <c r="K660">
        <v>75</v>
      </c>
      <c r="L660" t="s">
        <v>16</v>
      </c>
    </row>
    <row r="661" spans="1:12" x14ac:dyDescent="0.25">
      <c r="A661" t="s">
        <v>881</v>
      </c>
      <c r="B661">
        <v>2</v>
      </c>
      <c r="C661">
        <v>0</v>
      </c>
      <c r="D661">
        <v>1</v>
      </c>
      <c r="E661">
        <v>2</v>
      </c>
      <c r="F661" t="s">
        <v>13</v>
      </c>
      <c r="G661" t="s">
        <v>14</v>
      </c>
      <c r="H661">
        <v>89</v>
      </c>
      <c r="I661" t="s">
        <v>882</v>
      </c>
      <c r="J661" t="s">
        <v>19</v>
      </c>
      <c r="K661">
        <v>72.25</v>
      </c>
      <c r="L661" t="s">
        <v>16</v>
      </c>
    </row>
    <row r="662" spans="1:12" x14ac:dyDescent="0.25">
      <c r="A662" t="s">
        <v>883</v>
      </c>
      <c r="B662">
        <v>1</v>
      </c>
      <c r="C662">
        <v>0</v>
      </c>
      <c r="D662">
        <v>1</v>
      </c>
      <c r="E662">
        <v>0</v>
      </c>
      <c r="F662" t="s">
        <v>13</v>
      </c>
      <c r="G662" t="s">
        <v>14</v>
      </c>
      <c r="H662">
        <v>0</v>
      </c>
      <c r="I662" s="1">
        <v>43284</v>
      </c>
      <c r="J662" t="s">
        <v>56</v>
      </c>
      <c r="K662">
        <v>80</v>
      </c>
      <c r="L662" t="s">
        <v>16</v>
      </c>
    </row>
    <row r="663" spans="1:12" x14ac:dyDescent="0.25">
      <c r="A663" t="s">
        <v>884</v>
      </c>
      <c r="B663">
        <v>2</v>
      </c>
      <c r="C663">
        <v>0</v>
      </c>
      <c r="D663">
        <v>0</v>
      </c>
      <c r="E663">
        <v>1</v>
      </c>
      <c r="F663" t="s">
        <v>13</v>
      </c>
      <c r="G663" t="s">
        <v>14</v>
      </c>
      <c r="H663">
        <v>15</v>
      </c>
      <c r="I663" t="s">
        <v>885</v>
      </c>
      <c r="J663" t="s">
        <v>19</v>
      </c>
      <c r="K663">
        <v>139</v>
      </c>
      <c r="L663" t="s">
        <v>16</v>
      </c>
    </row>
    <row r="664" spans="1:12" x14ac:dyDescent="0.25">
      <c r="A664" t="s">
        <v>886</v>
      </c>
      <c r="B664">
        <v>1</v>
      </c>
      <c r="C664">
        <v>0</v>
      </c>
      <c r="D664">
        <v>0</v>
      </c>
      <c r="E664">
        <v>1</v>
      </c>
      <c r="F664" t="s">
        <v>13</v>
      </c>
      <c r="G664" t="s">
        <v>14</v>
      </c>
      <c r="H664">
        <v>10</v>
      </c>
      <c r="I664" t="s">
        <v>887</v>
      </c>
      <c r="J664" t="s">
        <v>56</v>
      </c>
      <c r="K664">
        <v>66</v>
      </c>
      <c r="L664" t="s">
        <v>16</v>
      </c>
    </row>
    <row r="665" spans="1:12" x14ac:dyDescent="0.25">
      <c r="A665" t="s">
        <v>888</v>
      </c>
      <c r="B665">
        <v>1</v>
      </c>
      <c r="C665">
        <v>0</v>
      </c>
      <c r="D665">
        <v>0</v>
      </c>
      <c r="E665">
        <v>3</v>
      </c>
      <c r="F665" t="s">
        <v>13</v>
      </c>
      <c r="G665" t="s">
        <v>14</v>
      </c>
      <c r="H665">
        <v>43</v>
      </c>
      <c r="I665" t="s">
        <v>395</v>
      </c>
      <c r="J665" t="s">
        <v>19</v>
      </c>
      <c r="K665">
        <v>115.5</v>
      </c>
      <c r="L665" t="s">
        <v>16</v>
      </c>
    </row>
    <row r="666" spans="1:12" x14ac:dyDescent="0.25">
      <c r="A666" t="s">
        <v>889</v>
      </c>
      <c r="B666">
        <v>2</v>
      </c>
      <c r="C666">
        <v>1</v>
      </c>
      <c r="D666">
        <v>1</v>
      </c>
      <c r="E666">
        <v>1</v>
      </c>
      <c r="F666" t="s">
        <v>13</v>
      </c>
      <c r="G666" t="s">
        <v>14</v>
      </c>
      <c r="H666">
        <v>27</v>
      </c>
      <c r="I666" s="1">
        <v>43320</v>
      </c>
      <c r="J666" t="s">
        <v>19</v>
      </c>
      <c r="K666">
        <v>195.5</v>
      </c>
      <c r="L666" t="s">
        <v>16</v>
      </c>
    </row>
    <row r="667" spans="1:12" x14ac:dyDescent="0.25">
      <c r="A667" t="s">
        <v>890</v>
      </c>
      <c r="B667">
        <v>2</v>
      </c>
      <c r="C667">
        <v>0</v>
      </c>
      <c r="D667">
        <v>2</v>
      </c>
      <c r="E667">
        <v>0</v>
      </c>
      <c r="F667" t="s">
        <v>27</v>
      </c>
      <c r="G667" t="s">
        <v>14</v>
      </c>
      <c r="H667">
        <v>386</v>
      </c>
      <c r="I667" t="s">
        <v>187</v>
      </c>
      <c r="J667" t="s">
        <v>19</v>
      </c>
      <c r="K667">
        <v>115</v>
      </c>
      <c r="L667" t="s">
        <v>22</v>
      </c>
    </row>
    <row r="668" spans="1:12" x14ac:dyDescent="0.25">
      <c r="A668" t="s">
        <v>891</v>
      </c>
      <c r="B668">
        <v>1</v>
      </c>
      <c r="C668">
        <v>0</v>
      </c>
      <c r="D668">
        <v>0</v>
      </c>
      <c r="E668">
        <v>1</v>
      </c>
      <c r="F668" t="s">
        <v>27</v>
      </c>
      <c r="G668" t="s">
        <v>14</v>
      </c>
      <c r="H668">
        <v>72</v>
      </c>
      <c r="I668" t="s">
        <v>653</v>
      </c>
      <c r="J668" t="s">
        <v>15</v>
      </c>
      <c r="K668">
        <v>84</v>
      </c>
      <c r="L668" t="s">
        <v>16</v>
      </c>
    </row>
    <row r="669" spans="1:12" x14ac:dyDescent="0.25">
      <c r="A669" t="s">
        <v>892</v>
      </c>
      <c r="B669">
        <v>2</v>
      </c>
      <c r="C669">
        <v>0</v>
      </c>
      <c r="D669">
        <v>2</v>
      </c>
      <c r="E669">
        <v>1</v>
      </c>
      <c r="F669" t="s">
        <v>18</v>
      </c>
      <c r="G669" t="s">
        <v>14</v>
      </c>
      <c r="H669">
        <v>10</v>
      </c>
      <c r="I669" t="s">
        <v>643</v>
      </c>
      <c r="J669" t="s">
        <v>19</v>
      </c>
      <c r="K669">
        <v>107.8</v>
      </c>
      <c r="L669" t="s">
        <v>16</v>
      </c>
    </row>
    <row r="670" spans="1:12" x14ac:dyDescent="0.25">
      <c r="A670" t="s">
        <v>893</v>
      </c>
      <c r="B670">
        <v>2</v>
      </c>
      <c r="C670">
        <v>0</v>
      </c>
      <c r="D670">
        <v>0</v>
      </c>
      <c r="E670">
        <v>3</v>
      </c>
      <c r="F670" t="s">
        <v>13</v>
      </c>
      <c r="G670" t="s">
        <v>14</v>
      </c>
      <c r="H670">
        <v>37</v>
      </c>
      <c r="I670" t="s">
        <v>60</v>
      </c>
      <c r="J670" t="s">
        <v>15</v>
      </c>
      <c r="K670">
        <v>105</v>
      </c>
      <c r="L670" t="s">
        <v>16</v>
      </c>
    </row>
    <row r="671" spans="1:12" x14ac:dyDescent="0.25">
      <c r="A671" t="s">
        <v>894</v>
      </c>
      <c r="B671">
        <v>2</v>
      </c>
      <c r="C671">
        <v>0</v>
      </c>
      <c r="D671">
        <v>2</v>
      </c>
      <c r="E671">
        <v>3</v>
      </c>
      <c r="F671" t="s">
        <v>13</v>
      </c>
      <c r="G671" t="s">
        <v>14</v>
      </c>
      <c r="H671">
        <v>170</v>
      </c>
      <c r="I671" s="1">
        <v>43316</v>
      </c>
      <c r="J671" t="s">
        <v>15</v>
      </c>
      <c r="K671">
        <v>78</v>
      </c>
      <c r="L671" t="s">
        <v>16</v>
      </c>
    </row>
    <row r="672" spans="1:12" x14ac:dyDescent="0.25">
      <c r="A672" t="s">
        <v>895</v>
      </c>
      <c r="B672">
        <v>1</v>
      </c>
      <c r="C672">
        <v>0</v>
      </c>
      <c r="D672">
        <v>0</v>
      </c>
      <c r="E672">
        <v>2</v>
      </c>
      <c r="F672" t="s">
        <v>27</v>
      </c>
      <c r="G672" t="s">
        <v>14</v>
      </c>
      <c r="H672">
        <v>265</v>
      </c>
      <c r="I672" t="s">
        <v>127</v>
      </c>
      <c r="J672" t="s">
        <v>15</v>
      </c>
      <c r="K672">
        <v>90</v>
      </c>
      <c r="L672" t="s">
        <v>16</v>
      </c>
    </row>
    <row r="673" spans="1:12" x14ac:dyDescent="0.25">
      <c r="A673" t="s">
        <v>896</v>
      </c>
      <c r="B673">
        <v>2</v>
      </c>
      <c r="C673">
        <v>0</v>
      </c>
      <c r="D673">
        <v>1</v>
      </c>
      <c r="E673">
        <v>1</v>
      </c>
      <c r="F673" t="s">
        <v>18</v>
      </c>
      <c r="G673" t="s">
        <v>14</v>
      </c>
      <c r="H673">
        <v>49</v>
      </c>
      <c r="I673" s="1">
        <v>43350</v>
      </c>
      <c r="J673" t="s">
        <v>19</v>
      </c>
      <c r="K673">
        <v>105.3</v>
      </c>
      <c r="L673" t="s">
        <v>22</v>
      </c>
    </row>
    <row r="674" spans="1:12" x14ac:dyDescent="0.25">
      <c r="A674" t="s">
        <v>897</v>
      </c>
      <c r="B674">
        <v>2</v>
      </c>
      <c r="C674">
        <v>0</v>
      </c>
      <c r="D674">
        <v>0</v>
      </c>
      <c r="E674">
        <v>3</v>
      </c>
      <c r="F674" t="s">
        <v>13</v>
      </c>
      <c r="G674" t="s">
        <v>14</v>
      </c>
      <c r="H674">
        <v>51</v>
      </c>
      <c r="I674" t="s">
        <v>898</v>
      </c>
      <c r="J674" t="s">
        <v>19</v>
      </c>
      <c r="K674">
        <v>80.3</v>
      </c>
      <c r="L674" t="s">
        <v>16</v>
      </c>
    </row>
    <row r="675" spans="1:12" x14ac:dyDescent="0.25">
      <c r="A675" t="s">
        <v>899</v>
      </c>
      <c r="B675">
        <v>1</v>
      </c>
      <c r="C675">
        <v>0</v>
      </c>
      <c r="D675">
        <v>1</v>
      </c>
      <c r="E675">
        <v>0</v>
      </c>
      <c r="F675" t="s">
        <v>27</v>
      </c>
      <c r="G675" t="s">
        <v>14</v>
      </c>
      <c r="H675">
        <v>3</v>
      </c>
      <c r="I675" s="1">
        <v>43314</v>
      </c>
      <c r="J675" t="s">
        <v>19</v>
      </c>
      <c r="K675">
        <v>129</v>
      </c>
      <c r="L675" t="s">
        <v>16</v>
      </c>
    </row>
    <row r="676" spans="1:12" x14ac:dyDescent="0.25">
      <c r="A676" t="s">
        <v>900</v>
      </c>
      <c r="B676">
        <v>2</v>
      </c>
      <c r="C676">
        <v>0</v>
      </c>
      <c r="D676">
        <v>0</v>
      </c>
      <c r="E676">
        <v>2</v>
      </c>
      <c r="F676" t="s">
        <v>27</v>
      </c>
      <c r="G676" t="s">
        <v>14</v>
      </c>
      <c r="H676">
        <v>265</v>
      </c>
      <c r="I676" t="s">
        <v>127</v>
      </c>
      <c r="J676" t="s">
        <v>19</v>
      </c>
      <c r="K676">
        <v>115</v>
      </c>
      <c r="L676" t="s">
        <v>22</v>
      </c>
    </row>
    <row r="677" spans="1:12" x14ac:dyDescent="0.25">
      <c r="A677" t="s">
        <v>901</v>
      </c>
      <c r="B677">
        <v>2</v>
      </c>
      <c r="C677">
        <v>0</v>
      </c>
      <c r="D677">
        <v>2</v>
      </c>
      <c r="E677">
        <v>0</v>
      </c>
      <c r="F677" t="s">
        <v>18</v>
      </c>
      <c r="G677" t="s">
        <v>14</v>
      </c>
      <c r="H677">
        <v>34</v>
      </c>
      <c r="I677" s="1">
        <v>43413</v>
      </c>
      <c r="J677" t="s">
        <v>19</v>
      </c>
      <c r="K677">
        <v>125.1</v>
      </c>
      <c r="L677" t="s">
        <v>16</v>
      </c>
    </row>
    <row r="678" spans="1:12" x14ac:dyDescent="0.25">
      <c r="A678" t="s">
        <v>902</v>
      </c>
      <c r="B678">
        <v>2</v>
      </c>
      <c r="C678">
        <v>0</v>
      </c>
      <c r="D678">
        <v>0</v>
      </c>
      <c r="E678">
        <v>1</v>
      </c>
      <c r="F678" t="s">
        <v>13</v>
      </c>
      <c r="G678" t="s">
        <v>14</v>
      </c>
      <c r="H678">
        <v>1</v>
      </c>
      <c r="I678" t="s">
        <v>347</v>
      </c>
      <c r="J678" t="s">
        <v>19</v>
      </c>
      <c r="K678">
        <v>103</v>
      </c>
      <c r="L678" t="s">
        <v>16</v>
      </c>
    </row>
    <row r="679" spans="1:12" x14ac:dyDescent="0.25">
      <c r="A679" t="s">
        <v>903</v>
      </c>
      <c r="B679">
        <v>2</v>
      </c>
      <c r="C679">
        <v>0</v>
      </c>
      <c r="D679">
        <v>2</v>
      </c>
      <c r="E679">
        <v>0</v>
      </c>
      <c r="F679" t="s">
        <v>18</v>
      </c>
      <c r="G679" t="s">
        <v>14</v>
      </c>
      <c r="H679">
        <v>77</v>
      </c>
      <c r="I679" s="1">
        <v>43105</v>
      </c>
      <c r="J679" t="s">
        <v>19</v>
      </c>
      <c r="K679">
        <v>125.1</v>
      </c>
      <c r="L679" t="s">
        <v>16</v>
      </c>
    </row>
    <row r="680" spans="1:12" x14ac:dyDescent="0.25">
      <c r="A680" t="s">
        <v>904</v>
      </c>
      <c r="B680">
        <v>1</v>
      </c>
      <c r="C680">
        <v>0</v>
      </c>
      <c r="D680">
        <v>2</v>
      </c>
      <c r="E680">
        <v>5</v>
      </c>
      <c r="F680" t="s">
        <v>18</v>
      </c>
      <c r="G680" t="s">
        <v>14</v>
      </c>
      <c r="H680">
        <v>60</v>
      </c>
      <c r="I680" t="s">
        <v>249</v>
      </c>
      <c r="J680" t="s">
        <v>19</v>
      </c>
      <c r="K680">
        <v>96.17</v>
      </c>
      <c r="L680" t="s">
        <v>22</v>
      </c>
    </row>
    <row r="681" spans="1:12" x14ac:dyDescent="0.25">
      <c r="A681" t="s">
        <v>905</v>
      </c>
      <c r="B681">
        <v>2</v>
      </c>
      <c r="C681">
        <v>0</v>
      </c>
      <c r="D681">
        <v>2</v>
      </c>
      <c r="E681">
        <v>2</v>
      </c>
      <c r="F681" t="s">
        <v>13</v>
      </c>
      <c r="G681" t="s">
        <v>14</v>
      </c>
      <c r="H681">
        <v>56</v>
      </c>
      <c r="I681" t="s">
        <v>553</v>
      </c>
      <c r="J681" t="s">
        <v>15</v>
      </c>
      <c r="K681">
        <v>185</v>
      </c>
      <c r="L681" t="s">
        <v>16</v>
      </c>
    </row>
    <row r="682" spans="1:12" x14ac:dyDescent="0.25">
      <c r="A682" t="s">
        <v>906</v>
      </c>
      <c r="B682">
        <v>2</v>
      </c>
      <c r="C682">
        <v>0</v>
      </c>
      <c r="D682">
        <v>2</v>
      </c>
      <c r="E682">
        <v>0</v>
      </c>
      <c r="F682" t="s">
        <v>18</v>
      </c>
      <c r="G682" t="s">
        <v>14</v>
      </c>
      <c r="H682">
        <v>0</v>
      </c>
      <c r="I682" s="1">
        <v>43440</v>
      </c>
      <c r="J682" t="s">
        <v>19</v>
      </c>
      <c r="K682">
        <v>69.739999999999995</v>
      </c>
      <c r="L682" t="s">
        <v>16</v>
      </c>
    </row>
    <row r="683" spans="1:12" x14ac:dyDescent="0.25">
      <c r="A683" t="s">
        <v>907</v>
      </c>
      <c r="B683">
        <v>2</v>
      </c>
      <c r="C683">
        <v>2</v>
      </c>
      <c r="D683">
        <v>2</v>
      </c>
      <c r="E683">
        <v>3</v>
      </c>
      <c r="F683" t="s">
        <v>13</v>
      </c>
      <c r="G683" t="s">
        <v>124</v>
      </c>
      <c r="H683">
        <v>136</v>
      </c>
      <c r="I683" s="1">
        <v>43350</v>
      </c>
      <c r="J683" t="s">
        <v>19</v>
      </c>
      <c r="K683">
        <v>172.55</v>
      </c>
      <c r="L683" t="s">
        <v>22</v>
      </c>
    </row>
    <row r="684" spans="1:12" x14ac:dyDescent="0.25">
      <c r="A684" t="s">
        <v>908</v>
      </c>
      <c r="B684">
        <v>1</v>
      </c>
      <c r="C684">
        <v>0</v>
      </c>
      <c r="D684">
        <v>0</v>
      </c>
      <c r="E684">
        <v>3</v>
      </c>
      <c r="F684" t="s">
        <v>13</v>
      </c>
      <c r="G684" t="s">
        <v>14</v>
      </c>
      <c r="H684">
        <v>4</v>
      </c>
      <c r="I684" t="s">
        <v>887</v>
      </c>
      <c r="J684" t="s">
        <v>19</v>
      </c>
      <c r="K684">
        <v>95</v>
      </c>
      <c r="L684" t="s">
        <v>16</v>
      </c>
    </row>
    <row r="685" spans="1:12" x14ac:dyDescent="0.25">
      <c r="A685" t="s">
        <v>909</v>
      </c>
      <c r="B685">
        <v>2</v>
      </c>
      <c r="C685">
        <v>1</v>
      </c>
      <c r="D685">
        <v>1</v>
      </c>
      <c r="E685">
        <v>2</v>
      </c>
      <c r="F685" t="s">
        <v>27</v>
      </c>
      <c r="G685" t="s">
        <v>14</v>
      </c>
      <c r="H685">
        <v>68</v>
      </c>
      <c r="I685" s="1">
        <v>43352</v>
      </c>
      <c r="J685" t="s">
        <v>19</v>
      </c>
      <c r="K685">
        <v>166.35</v>
      </c>
      <c r="L685" t="s">
        <v>16</v>
      </c>
    </row>
    <row r="686" spans="1:12" x14ac:dyDescent="0.25">
      <c r="A686" t="s">
        <v>910</v>
      </c>
      <c r="B686">
        <v>2</v>
      </c>
      <c r="C686">
        <v>0</v>
      </c>
      <c r="D686">
        <v>0</v>
      </c>
      <c r="E686">
        <v>1</v>
      </c>
      <c r="F686" t="s">
        <v>18</v>
      </c>
      <c r="G686" t="s">
        <v>14</v>
      </c>
      <c r="H686">
        <v>1</v>
      </c>
      <c r="I686" t="s">
        <v>251</v>
      </c>
      <c r="J686" t="s">
        <v>19</v>
      </c>
      <c r="K686">
        <v>108</v>
      </c>
      <c r="L686" t="s">
        <v>16</v>
      </c>
    </row>
    <row r="687" spans="1:12" x14ac:dyDescent="0.25">
      <c r="A687" t="s">
        <v>911</v>
      </c>
      <c r="B687">
        <v>2</v>
      </c>
      <c r="C687">
        <v>0</v>
      </c>
      <c r="D687">
        <v>1</v>
      </c>
      <c r="E687">
        <v>3</v>
      </c>
      <c r="F687" t="s">
        <v>13</v>
      </c>
      <c r="G687" t="s">
        <v>32</v>
      </c>
      <c r="H687">
        <v>61</v>
      </c>
      <c r="I687" t="s">
        <v>912</v>
      </c>
      <c r="J687" t="s">
        <v>19</v>
      </c>
      <c r="K687">
        <v>102</v>
      </c>
      <c r="L687" t="s">
        <v>16</v>
      </c>
    </row>
    <row r="688" spans="1:12" x14ac:dyDescent="0.25">
      <c r="A688" t="s">
        <v>913</v>
      </c>
      <c r="B688">
        <v>2</v>
      </c>
      <c r="C688">
        <v>0</v>
      </c>
      <c r="D688">
        <v>1</v>
      </c>
      <c r="E688">
        <v>2</v>
      </c>
      <c r="F688" t="s">
        <v>13</v>
      </c>
      <c r="G688" t="s">
        <v>280</v>
      </c>
      <c r="H688">
        <v>40</v>
      </c>
      <c r="I688" t="s">
        <v>189</v>
      </c>
      <c r="J688" t="s">
        <v>19</v>
      </c>
      <c r="K688">
        <v>203.73</v>
      </c>
      <c r="L688" t="s">
        <v>16</v>
      </c>
    </row>
    <row r="689" spans="1:12" x14ac:dyDescent="0.25">
      <c r="A689" t="s">
        <v>914</v>
      </c>
      <c r="B689">
        <v>2</v>
      </c>
      <c r="C689">
        <v>0</v>
      </c>
      <c r="D689">
        <v>2</v>
      </c>
      <c r="E689">
        <v>5</v>
      </c>
      <c r="F689" t="s">
        <v>18</v>
      </c>
      <c r="G689" t="s">
        <v>14</v>
      </c>
      <c r="H689">
        <v>6</v>
      </c>
      <c r="I689" t="s">
        <v>183</v>
      </c>
      <c r="J689" t="s">
        <v>19</v>
      </c>
      <c r="K689">
        <v>78.69</v>
      </c>
      <c r="L689" t="s">
        <v>22</v>
      </c>
    </row>
    <row r="690" spans="1:12" x14ac:dyDescent="0.25">
      <c r="A690" t="s">
        <v>915</v>
      </c>
      <c r="B690">
        <v>2</v>
      </c>
      <c r="C690">
        <v>0</v>
      </c>
      <c r="D690">
        <v>0</v>
      </c>
      <c r="E690">
        <v>3</v>
      </c>
      <c r="F690" t="s">
        <v>18</v>
      </c>
      <c r="G690" t="s">
        <v>14</v>
      </c>
      <c r="H690">
        <v>58</v>
      </c>
      <c r="I690" s="1">
        <v>43170</v>
      </c>
      <c r="J690" t="s">
        <v>19</v>
      </c>
      <c r="K690">
        <v>79.2</v>
      </c>
      <c r="L690" t="s">
        <v>22</v>
      </c>
    </row>
    <row r="691" spans="1:12" x14ac:dyDescent="0.25">
      <c r="A691" t="s">
        <v>916</v>
      </c>
      <c r="B691">
        <v>1</v>
      </c>
      <c r="C691">
        <v>0</v>
      </c>
      <c r="D691">
        <v>0</v>
      </c>
      <c r="E691">
        <v>2</v>
      </c>
      <c r="F691" t="s">
        <v>13</v>
      </c>
      <c r="G691" t="s">
        <v>14</v>
      </c>
      <c r="H691">
        <v>35</v>
      </c>
      <c r="I691" t="s">
        <v>626</v>
      </c>
      <c r="J691" t="s">
        <v>19</v>
      </c>
      <c r="K691">
        <v>76.5</v>
      </c>
      <c r="L691" t="s">
        <v>16</v>
      </c>
    </row>
    <row r="692" spans="1:12" x14ac:dyDescent="0.25">
      <c r="A692" t="s">
        <v>917</v>
      </c>
      <c r="B692">
        <v>2</v>
      </c>
      <c r="C692">
        <v>0</v>
      </c>
      <c r="D692">
        <v>0</v>
      </c>
      <c r="E692">
        <v>2</v>
      </c>
      <c r="F692" t="s">
        <v>13</v>
      </c>
      <c r="G692" t="s">
        <v>14</v>
      </c>
      <c r="H692">
        <v>177</v>
      </c>
      <c r="I692" s="1">
        <v>43165</v>
      </c>
      <c r="J692" t="s">
        <v>19</v>
      </c>
      <c r="K692">
        <v>100</v>
      </c>
      <c r="L692" t="s">
        <v>22</v>
      </c>
    </row>
    <row r="693" spans="1:12" x14ac:dyDescent="0.25">
      <c r="A693" t="s">
        <v>918</v>
      </c>
      <c r="B693">
        <v>2</v>
      </c>
      <c r="C693">
        <v>0</v>
      </c>
      <c r="D693">
        <v>0</v>
      </c>
      <c r="E693">
        <v>4</v>
      </c>
      <c r="F693" t="s">
        <v>13</v>
      </c>
      <c r="G693" t="s">
        <v>14</v>
      </c>
      <c r="H693">
        <v>13</v>
      </c>
      <c r="I693" t="s">
        <v>919</v>
      </c>
      <c r="J693" t="s">
        <v>19</v>
      </c>
      <c r="K693">
        <v>88.4</v>
      </c>
      <c r="L693" t="s">
        <v>16</v>
      </c>
    </row>
    <row r="694" spans="1:12" x14ac:dyDescent="0.25">
      <c r="A694" t="s">
        <v>920</v>
      </c>
      <c r="B694">
        <v>1</v>
      </c>
      <c r="C694">
        <v>0</v>
      </c>
      <c r="D694">
        <v>2</v>
      </c>
      <c r="E694">
        <v>4</v>
      </c>
      <c r="F694" t="s">
        <v>13</v>
      </c>
      <c r="G694" t="s">
        <v>14</v>
      </c>
      <c r="H694">
        <v>245</v>
      </c>
      <c r="I694" s="1">
        <v>43258</v>
      </c>
      <c r="J694" t="s">
        <v>19</v>
      </c>
      <c r="K694">
        <v>110</v>
      </c>
      <c r="L694" t="s">
        <v>22</v>
      </c>
    </row>
    <row r="695" spans="1:12" x14ac:dyDescent="0.25">
      <c r="A695" t="s">
        <v>921</v>
      </c>
      <c r="B695">
        <v>2</v>
      </c>
      <c r="C695">
        <v>0</v>
      </c>
      <c r="D695">
        <v>1</v>
      </c>
      <c r="E695">
        <v>2</v>
      </c>
      <c r="F695" t="s">
        <v>13</v>
      </c>
      <c r="G695" t="s">
        <v>32</v>
      </c>
      <c r="H695">
        <v>189</v>
      </c>
      <c r="I695" t="s">
        <v>375</v>
      </c>
      <c r="J695" t="s">
        <v>19</v>
      </c>
      <c r="K695">
        <v>109.8</v>
      </c>
      <c r="L695" t="s">
        <v>22</v>
      </c>
    </row>
    <row r="696" spans="1:12" x14ac:dyDescent="0.25">
      <c r="A696" t="s">
        <v>922</v>
      </c>
      <c r="B696">
        <v>2</v>
      </c>
      <c r="C696">
        <v>0</v>
      </c>
      <c r="D696">
        <v>2</v>
      </c>
      <c r="E696">
        <v>1</v>
      </c>
      <c r="F696" t="s">
        <v>13</v>
      </c>
      <c r="G696" t="s">
        <v>14</v>
      </c>
      <c r="H696">
        <v>271</v>
      </c>
      <c r="I696" s="1">
        <v>43171</v>
      </c>
      <c r="J696" t="s">
        <v>15</v>
      </c>
      <c r="K696">
        <v>78.3</v>
      </c>
      <c r="L696" t="s">
        <v>16</v>
      </c>
    </row>
    <row r="697" spans="1:12" x14ac:dyDescent="0.25">
      <c r="A697" t="s">
        <v>923</v>
      </c>
      <c r="B697">
        <v>2</v>
      </c>
      <c r="C697">
        <v>0</v>
      </c>
      <c r="D697">
        <v>0</v>
      </c>
      <c r="E697">
        <v>2</v>
      </c>
      <c r="F697" t="s">
        <v>27</v>
      </c>
      <c r="G697" t="s">
        <v>14</v>
      </c>
      <c r="H697">
        <v>257</v>
      </c>
      <c r="I697" s="1">
        <v>42742</v>
      </c>
      <c r="J697" t="s">
        <v>19</v>
      </c>
      <c r="K697">
        <v>101.5</v>
      </c>
      <c r="L697" t="s">
        <v>22</v>
      </c>
    </row>
    <row r="698" spans="1:12" x14ac:dyDescent="0.25">
      <c r="A698" t="s">
        <v>924</v>
      </c>
      <c r="B698">
        <v>2</v>
      </c>
      <c r="C698">
        <v>0</v>
      </c>
      <c r="D698">
        <v>2</v>
      </c>
      <c r="E698">
        <v>4</v>
      </c>
      <c r="F698" t="s">
        <v>18</v>
      </c>
      <c r="G698" t="s">
        <v>14</v>
      </c>
      <c r="H698">
        <v>207</v>
      </c>
      <c r="I698" t="s">
        <v>118</v>
      </c>
      <c r="J698" t="s">
        <v>19</v>
      </c>
      <c r="K698">
        <v>80.75</v>
      </c>
      <c r="L698" t="s">
        <v>16</v>
      </c>
    </row>
    <row r="699" spans="1:12" x14ac:dyDescent="0.25">
      <c r="A699" t="s">
        <v>925</v>
      </c>
      <c r="B699">
        <v>2</v>
      </c>
      <c r="C699">
        <v>0</v>
      </c>
      <c r="D699">
        <v>2</v>
      </c>
      <c r="E699">
        <v>2</v>
      </c>
      <c r="F699" t="s">
        <v>13</v>
      </c>
      <c r="G699" t="s">
        <v>14</v>
      </c>
      <c r="H699">
        <v>108</v>
      </c>
      <c r="I699" t="s">
        <v>159</v>
      </c>
      <c r="J699" t="s">
        <v>19</v>
      </c>
      <c r="K699">
        <v>104</v>
      </c>
      <c r="L699" t="s">
        <v>16</v>
      </c>
    </row>
    <row r="700" spans="1:12" x14ac:dyDescent="0.25">
      <c r="A700" t="s">
        <v>926</v>
      </c>
      <c r="B700">
        <v>2</v>
      </c>
      <c r="C700">
        <v>0</v>
      </c>
      <c r="D700">
        <v>0</v>
      </c>
      <c r="E700">
        <v>3</v>
      </c>
      <c r="F700" t="s">
        <v>18</v>
      </c>
      <c r="G700" t="s">
        <v>14</v>
      </c>
      <c r="H700">
        <v>39</v>
      </c>
      <c r="I700" t="s">
        <v>927</v>
      </c>
      <c r="J700" t="s">
        <v>19</v>
      </c>
      <c r="K700">
        <v>51.19</v>
      </c>
      <c r="L700" t="s">
        <v>16</v>
      </c>
    </row>
    <row r="701" spans="1:12" x14ac:dyDescent="0.25">
      <c r="A701" t="s">
        <v>928</v>
      </c>
      <c r="B701">
        <v>2</v>
      </c>
      <c r="C701">
        <v>1</v>
      </c>
      <c r="D701">
        <v>0</v>
      </c>
      <c r="E701">
        <v>1</v>
      </c>
      <c r="F701" t="s">
        <v>13</v>
      </c>
      <c r="G701" t="s">
        <v>14</v>
      </c>
      <c r="H701">
        <v>11</v>
      </c>
      <c r="I701" s="1">
        <v>43231</v>
      </c>
      <c r="J701" t="s">
        <v>19</v>
      </c>
      <c r="K701">
        <v>150</v>
      </c>
      <c r="L701" t="s">
        <v>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0060C-63AD-40A1-AACC-C55CDD369904}">
  <dimension ref="A1:C13"/>
  <sheetViews>
    <sheetView workbookViewId="0">
      <selection activeCell="C37" sqref="C37"/>
    </sheetView>
  </sheetViews>
  <sheetFormatPr defaultRowHeight="15" x14ac:dyDescent="0.25"/>
  <cols>
    <col min="1" max="1" width="21" bestFit="1" customWidth="1"/>
    <col min="2" max="2" width="11.7109375" bestFit="1" customWidth="1"/>
    <col min="3" max="3" width="50.42578125" bestFit="1" customWidth="1"/>
  </cols>
  <sheetData>
    <row r="1" spans="1:3" x14ac:dyDescent="0.25">
      <c r="A1" s="4" t="s">
        <v>929</v>
      </c>
      <c r="B1" s="4" t="s">
        <v>930</v>
      </c>
      <c r="C1" s="4" t="s">
        <v>931</v>
      </c>
    </row>
    <row r="2" spans="1:3" x14ac:dyDescent="0.25">
      <c r="A2" t="s">
        <v>0</v>
      </c>
      <c r="B2" t="s">
        <v>955</v>
      </c>
      <c r="C2" t="s">
        <v>933</v>
      </c>
    </row>
    <row r="3" spans="1:3" x14ac:dyDescent="0.25">
      <c r="A3" t="s">
        <v>1</v>
      </c>
      <c r="B3" t="s">
        <v>934</v>
      </c>
      <c r="C3" t="s">
        <v>935</v>
      </c>
    </row>
    <row r="4" spans="1:3" x14ac:dyDescent="0.25">
      <c r="A4" t="str">
        <f>Reservation_Dataset_Cleaned!C1</f>
        <v>no_of_children</v>
      </c>
      <c r="B4" t="s">
        <v>934</v>
      </c>
      <c r="C4" t="s">
        <v>936</v>
      </c>
    </row>
    <row r="5" spans="1:3" x14ac:dyDescent="0.25">
      <c r="A5" t="str">
        <f>Reservation_Dataset_Cleaned!D1</f>
        <v>no_of_weekend_nights</v>
      </c>
      <c r="B5" t="s">
        <v>934</v>
      </c>
      <c r="C5" t="s">
        <v>937</v>
      </c>
    </row>
    <row r="6" spans="1:3" x14ac:dyDescent="0.25">
      <c r="A6" t="str">
        <f>Reservation_Dataset_Cleaned!E1</f>
        <v>no_of_week_nights</v>
      </c>
      <c r="B6" t="s">
        <v>934</v>
      </c>
      <c r="C6" t="s">
        <v>938</v>
      </c>
    </row>
    <row r="7" spans="1:3" x14ac:dyDescent="0.25">
      <c r="A7" t="str">
        <f>Reservation_Dataset_Cleaned!F1</f>
        <v>type_of_meal_plan</v>
      </c>
      <c r="B7" t="s">
        <v>932</v>
      </c>
      <c r="C7" t="s">
        <v>939</v>
      </c>
    </row>
    <row r="8" spans="1:3" x14ac:dyDescent="0.25">
      <c r="A8" t="str">
        <f>Reservation_Dataset_Cleaned!G1</f>
        <v>room_type_reserved</v>
      </c>
      <c r="B8" t="s">
        <v>932</v>
      </c>
      <c r="C8" t="s">
        <v>940</v>
      </c>
    </row>
    <row r="9" spans="1:3" x14ac:dyDescent="0.25">
      <c r="A9" t="str">
        <f>Reservation_Dataset_Cleaned!H1</f>
        <v>lead_time</v>
      </c>
      <c r="B9" t="s">
        <v>934</v>
      </c>
      <c r="C9" t="s">
        <v>941</v>
      </c>
    </row>
    <row r="10" spans="1:3" x14ac:dyDescent="0.25">
      <c r="A10" t="str">
        <f>Reservation_Dataset_Cleaned!I1</f>
        <v>arrival_date</v>
      </c>
      <c r="B10" t="s">
        <v>956</v>
      </c>
      <c r="C10" t="s">
        <v>942</v>
      </c>
    </row>
    <row r="11" spans="1:3" x14ac:dyDescent="0.25">
      <c r="A11" t="str">
        <f>Reservation_Dataset_Cleaned!J1</f>
        <v>market_segment_type</v>
      </c>
      <c r="B11" t="s">
        <v>932</v>
      </c>
      <c r="C11" t="s">
        <v>943</v>
      </c>
    </row>
    <row r="12" spans="1:3" x14ac:dyDescent="0.25">
      <c r="A12" t="str">
        <f>Reservation_Dataset_Cleaned!K1</f>
        <v>avg_price_per_room</v>
      </c>
      <c r="B12" t="s">
        <v>934</v>
      </c>
      <c r="C12" t="s">
        <v>944</v>
      </c>
    </row>
    <row r="13" spans="1:3" x14ac:dyDescent="0.25">
      <c r="A13" t="str">
        <f>Reservation_Dataset_Cleaned!L1</f>
        <v>booking_status</v>
      </c>
      <c r="B13" t="s">
        <v>932</v>
      </c>
      <c r="C13" t="s">
        <v>945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A41CD-BDB8-4C8A-8688-61B2CEAE45FF}">
  <dimension ref="A1:B17"/>
  <sheetViews>
    <sheetView workbookViewId="0">
      <selection activeCell="B16" sqref="B16"/>
    </sheetView>
  </sheetViews>
  <sheetFormatPr defaultRowHeight="15" x14ac:dyDescent="0.25"/>
  <cols>
    <col min="1" max="1" width="32.140625" bestFit="1" customWidth="1"/>
    <col min="2" max="2" width="61.28515625" bestFit="1" customWidth="1"/>
  </cols>
  <sheetData>
    <row r="1" spans="1:2" x14ac:dyDescent="0.25">
      <c r="A1" t="s">
        <v>946</v>
      </c>
    </row>
    <row r="3" spans="1:2" x14ac:dyDescent="0.25">
      <c r="A3" t="s">
        <v>947</v>
      </c>
      <c r="B3" t="s">
        <v>948</v>
      </c>
    </row>
    <row r="4" spans="1:2" x14ac:dyDescent="0.25">
      <c r="B4" s="5" t="s">
        <v>949</v>
      </c>
    </row>
    <row r="5" spans="1:2" x14ac:dyDescent="0.25">
      <c r="A5" s="6"/>
    </row>
    <row r="6" spans="1:2" ht="120" x14ac:dyDescent="0.25">
      <c r="A6" s="6" t="s">
        <v>950</v>
      </c>
      <c r="B6" s="7" t="s">
        <v>961</v>
      </c>
    </row>
    <row r="8" spans="1:2" ht="75" x14ac:dyDescent="0.25">
      <c r="A8" t="s">
        <v>951</v>
      </c>
      <c r="B8" s="7" t="s">
        <v>952</v>
      </c>
    </row>
    <row r="10" spans="1:2" ht="45" x14ac:dyDescent="0.25">
      <c r="A10" t="s">
        <v>953</v>
      </c>
      <c r="B10" s="7" t="s">
        <v>963</v>
      </c>
    </row>
    <row r="11" spans="1:2" ht="45" x14ac:dyDescent="0.25">
      <c r="B11" s="7" t="s">
        <v>954</v>
      </c>
    </row>
    <row r="12" spans="1:2" ht="45" x14ac:dyDescent="0.25">
      <c r="B12" s="7" t="s">
        <v>964</v>
      </c>
    </row>
    <row r="13" spans="1:2" x14ac:dyDescent="0.25">
      <c r="A13" t="s">
        <v>959</v>
      </c>
    </row>
    <row r="14" spans="1:2" x14ac:dyDescent="0.25">
      <c r="A14" t="s">
        <v>958</v>
      </c>
    </row>
    <row r="15" spans="1:2" x14ac:dyDescent="0.25">
      <c r="A15" t="s">
        <v>957</v>
      </c>
    </row>
    <row r="16" spans="1:2" x14ac:dyDescent="0.25">
      <c r="A16" t="s">
        <v>960</v>
      </c>
    </row>
    <row r="17" spans="1:1" x14ac:dyDescent="0.25">
      <c r="A17" t="s">
        <v>962</v>
      </c>
    </row>
  </sheetData>
  <hyperlinks>
    <hyperlink ref="B4" r:id="rId1" xr:uid="{8FAAFE5A-6F17-42A1-95E4-C6BCCBB95AF3}"/>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B013C791E3564FAF64414A1BE22AB1" ma:contentTypeVersion="3" ma:contentTypeDescription="Create a new document." ma:contentTypeScope="" ma:versionID="f06d7dbb15943ce4b240d50cebaf506a">
  <xsd:schema xmlns:xsd="http://www.w3.org/2001/XMLSchema" xmlns:xs="http://www.w3.org/2001/XMLSchema" xmlns:p="http://schemas.microsoft.com/office/2006/metadata/properties" xmlns:ns2="a9888afb-5f96-47cd-b4c2-4c9cd8f651ec" targetNamespace="http://schemas.microsoft.com/office/2006/metadata/properties" ma:root="true" ma:fieldsID="2df39d18123b8fdbf26f1fbb55e9fd4f" ns2:_="">
    <xsd:import namespace="a9888afb-5f96-47cd-b4c2-4c9cd8f651e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888afb-5f96-47cd-b4c2-4c9cd8f651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0EA6D2-3668-48B7-87DE-8DF200BE9C8A}">
  <ds:schemaRefs>
    <ds:schemaRef ds:uri="http://schemas.microsoft.com/office/infopath/2007/PartnerControls"/>
    <ds:schemaRef ds:uri="http://purl.org/dc/terms/"/>
    <ds:schemaRef ds:uri="a9888afb-5f96-47cd-b4c2-4c9cd8f651ec"/>
    <ds:schemaRef ds:uri="http://schemas.microsoft.com/office/2006/metadata/properties"/>
    <ds:schemaRef ds:uri="http://schemas.microsoft.com/office/2006/documentManagement/type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3C7D792C-3945-49F3-B990-8426872C0F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888afb-5f96-47cd-b4c2-4c9cd8f651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666CA6-0674-4790-8BDF-704BC7DDDC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V3&amp;V4</vt:lpstr>
      <vt:lpstr>V2&amp;V4</vt:lpstr>
      <vt:lpstr>V2&amp;V3</vt:lpstr>
      <vt:lpstr>V1&amp;V4</vt:lpstr>
      <vt:lpstr>V1&amp;V3</vt:lpstr>
      <vt:lpstr>V1&amp;V2</vt:lpstr>
      <vt:lpstr>V4</vt:lpstr>
      <vt:lpstr>V3</vt:lpstr>
      <vt:lpstr>V2</vt:lpstr>
      <vt:lpstr>V1</vt:lpstr>
      <vt:lpstr>Reservation_Dataset_Cleaned</vt:lpstr>
      <vt:lpstr>Data Dictionary</vt:lpstr>
      <vt:lpstr>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Cade Miller</cp:lastModifiedBy>
  <cp:revision/>
  <dcterms:created xsi:type="dcterms:W3CDTF">2026-02-05T04:13:22Z</dcterms:created>
  <dcterms:modified xsi:type="dcterms:W3CDTF">2026-03-25T04:07:36Z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0x0101002CB013C791E3564FAF64414A1BE22AB1</vt:lpwstr>
  </property>
</Properties>
</file>