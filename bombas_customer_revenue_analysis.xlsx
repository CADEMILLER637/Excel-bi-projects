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der\Downloads\"/>
    </mc:Choice>
  </mc:AlternateContent>
  <xr:revisionPtr revIDLastSave="0" documentId="13_ncr:1_{F07A3434-B8A9-4104-B462-DB7480C2D513}" xr6:coauthVersionLast="47" xr6:coauthVersionMax="47" xr10:uidLastSave="{00000000-0000-0000-0000-000000000000}"/>
  <bookViews>
    <workbookView xWindow="-120" yWindow="-120" windowWidth="29040" windowHeight="15720" firstSheet="3" activeTab="3" xr2:uid="{00000000-000D-0000-FFFF-FFFF00000000}"/>
  </bookViews>
  <sheets>
    <sheet name="Data dictionary" sheetId="2" r:id="rId1"/>
    <sheet name="First Order Revenue" sheetId="3" r:id="rId2"/>
    <sheet name="Items Purchased" sheetId="9" r:id="rId3"/>
    <sheet name="First Order Purchase Day" sheetId="14" r:id="rId4"/>
    <sheet name="Count Of First Order Revenue " sheetId="4" r:id="rId5"/>
    <sheet name="Average Revenue by Month " sheetId="5" r:id="rId6"/>
    <sheet name="Average and Count" sheetId="6" r:id="rId7"/>
    <sheet name="Average Revenue By hour" sheetId="7" r:id="rId8"/>
    <sheet name="First Order Purchase Date" sheetId="8" r:id="rId9"/>
    <sheet name="Data" sheetId="1" r:id="rId10"/>
  </sheets>
  <definedNames>
    <definedName name="_xlnm._FilterDatabase" localSheetId="9" hidden="1">Data!$A$1:$Q$1050</definedName>
    <definedName name="_xlchart.v1.0" hidden="1">Data!$L$1</definedName>
    <definedName name="_xlchart.v1.1" hidden="1">Data!$L$2:$L$1050</definedName>
    <definedName name="_xlchart.v1.2" hidden="1">Data!$K$1</definedName>
    <definedName name="_xlchart.v1.3" hidden="1">Data!$K$2:$K$1050</definedName>
    <definedName name="_xlchart.v1.4" hidden="1">Data!$K$1</definedName>
    <definedName name="_xlchart.v1.5" hidden="1">Data!$K$2:$K$1050</definedName>
    <definedName name="_xlchart.v1.6" hidden="1">Data!$K$1</definedName>
    <definedName name="_xlchart.v1.7" hidden="1">Data!$K$2:$K$1050</definedName>
  </definedNames>
  <calcPr calcId="191028"/>
  <pivotCaches>
    <pivotCache cacheId="7" r:id="rId11"/>
    <pivotCache cacheId="1" r:id="rId12"/>
    <pivotCache cacheId="2" r:id="rId13"/>
    <pivotCache cacheId="1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2" i="1"/>
  <c r="O2" i="1"/>
  <c r="P2" i="1"/>
  <c r="Q2" i="1"/>
  <c r="O3" i="1"/>
  <c r="P3" i="1"/>
  <c r="Q3" i="1"/>
  <c r="O4" i="1"/>
  <c r="P4" i="1"/>
  <c r="Q4" i="1"/>
  <c r="O5" i="1"/>
  <c r="P5" i="1"/>
  <c r="Q5" i="1"/>
  <c r="O6" i="1"/>
  <c r="P6" i="1"/>
  <c r="Q6" i="1"/>
  <c r="O7" i="1"/>
  <c r="P7" i="1"/>
  <c r="Q7" i="1"/>
  <c r="O8" i="1"/>
  <c r="P8" i="1"/>
  <c r="Q8" i="1"/>
  <c r="O9" i="1"/>
  <c r="P9" i="1"/>
  <c r="Q9" i="1"/>
  <c r="O10" i="1"/>
  <c r="P10" i="1"/>
  <c r="Q10" i="1"/>
  <c r="O11" i="1"/>
  <c r="P11" i="1"/>
  <c r="Q11" i="1"/>
  <c r="O12" i="1"/>
  <c r="P12" i="1"/>
  <c r="Q12" i="1"/>
  <c r="O13" i="1"/>
  <c r="P13" i="1"/>
  <c r="Q13" i="1"/>
  <c r="O14" i="1"/>
  <c r="P14" i="1"/>
  <c r="Q14" i="1"/>
  <c r="O15" i="1"/>
  <c r="P15" i="1"/>
  <c r="Q15" i="1"/>
  <c r="O16" i="1"/>
  <c r="P16" i="1"/>
  <c r="Q16" i="1"/>
  <c r="O17" i="1"/>
  <c r="P17" i="1"/>
  <c r="Q17" i="1"/>
  <c r="O18" i="1"/>
  <c r="P18" i="1"/>
  <c r="Q18" i="1"/>
  <c r="O19" i="1"/>
  <c r="P19" i="1"/>
  <c r="Q19" i="1"/>
  <c r="O20" i="1"/>
  <c r="P20" i="1"/>
  <c r="Q20" i="1"/>
  <c r="O21" i="1"/>
  <c r="P21" i="1"/>
  <c r="Q21" i="1"/>
  <c r="O22" i="1"/>
  <c r="P22" i="1"/>
  <c r="Q22" i="1"/>
  <c r="O23" i="1"/>
  <c r="P23" i="1"/>
  <c r="Q23" i="1"/>
  <c r="O24" i="1"/>
  <c r="P24" i="1"/>
  <c r="Q24" i="1"/>
  <c r="O25" i="1"/>
  <c r="P25" i="1"/>
  <c r="Q25" i="1"/>
  <c r="O26" i="1"/>
  <c r="P26" i="1"/>
  <c r="Q26" i="1"/>
  <c r="O27" i="1"/>
  <c r="P27" i="1"/>
  <c r="Q27" i="1"/>
  <c r="O28" i="1"/>
  <c r="P28" i="1"/>
  <c r="Q28" i="1"/>
  <c r="O29" i="1"/>
  <c r="P29" i="1"/>
  <c r="Q29" i="1"/>
  <c r="O30" i="1"/>
  <c r="P30" i="1"/>
  <c r="Q30" i="1"/>
  <c r="O31" i="1"/>
  <c r="P31" i="1"/>
  <c r="Q31" i="1"/>
  <c r="O32" i="1"/>
  <c r="P32" i="1"/>
  <c r="Q32" i="1"/>
  <c r="O33" i="1"/>
  <c r="P33" i="1"/>
  <c r="Q33" i="1"/>
  <c r="O34" i="1"/>
  <c r="P34" i="1"/>
  <c r="Q34" i="1"/>
  <c r="O35" i="1"/>
  <c r="P35" i="1"/>
  <c r="Q35" i="1"/>
  <c r="O36" i="1"/>
  <c r="P36" i="1"/>
  <c r="Q36" i="1"/>
  <c r="O37" i="1"/>
  <c r="P37" i="1"/>
  <c r="Q37" i="1"/>
  <c r="O38" i="1"/>
  <c r="P38" i="1"/>
  <c r="Q38" i="1"/>
  <c r="O39" i="1"/>
  <c r="P39" i="1"/>
  <c r="Q39" i="1"/>
  <c r="O40" i="1"/>
  <c r="P40" i="1"/>
  <c r="Q40" i="1"/>
  <c r="O41" i="1"/>
  <c r="P41" i="1"/>
  <c r="Q41" i="1"/>
  <c r="O42" i="1"/>
  <c r="P42" i="1"/>
  <c r="Q42" i="1"/>
  <c r="O43" i="1"/>
  <c r="P43" i="1"/>
  <c r="Q43" i="1"/>
  <c r="O44" i="1"/>
  <c r="P44" i="1"/>
  <c r="Q44" i="1"/>
  <c r="O45" i="1"/>
  <c r="P45" i="1"/>
  <c r="Q45" i="1"/>
  <c r="O46" i="1"/>
  <c r="P46" i="1"/>
  <c r="Q46" i="1"/>
  <c r="O47" i="1"/>
  <c r="P47" i="1"/>
  <c r="Q47" i="1"/>
  <c r="O48" i="1"/>
  <c r="P48" i="1"/>
  <c r="Q48" i="1"/>
  <c r="O49" i="1"/>
  <c r="P49" i="1"/>
  <c r="Q49" i="1"/>
  <c r="O50" i="1"/>
  <c r="P50" i="1"/>
  <c r="Q50" i="1"/>
  <c r="O51" i="1"/>
  <c r="P51" i="1"/>
  <c r="Q51" i="1"/>
  <c r="O52" i="1"/>
  <c r="P52" i="1"/>
  <c r="Q52" i="1"/>
  <c r="O53" i="1"/>
  <c r="P53" i="1"/>
  <c r="Q53" i="1"/>
  <c r="O54" i="1"/>
  <c r="P54" i="1"/>
  <c r="Q54" i="1"/>
  <c r="O55" i="1"/>
  <c r="P55" i="1"/>
  <c r="Q55" i="1"/>
  <c r="O56" i="1"/>
  <c r="P56" i="1"/>
  <c r="Q56" i="1"/>
  <c r="O57" i="1"/>
  <c r="P57" i="1"/>
  <c r="Q57" i="1"/>
  <c r="O58" i="1"/>
  <c r="P58" i="1"/>
  <c r="Q58" i="1"/>
  <c r="O59" i="1"/>
  <c r="P59" i="1"/>
  <c r="Q59" i="1"/>
  <c r="O60" i="1"/>
  <c r="P60" i="1"/>
  <c r="Q60" i="1"/>
  <c r="O61" i="1"/>
  <c r="P61" i="1"/>
  <c r="Q61" i="1"/>
  <c r="O62" i="1"/>
  <c r="P62" i="1"/>
  <c r="Q62" i="1"/>
  <c r="O63" i="1"/>
  <c r="P63" i="1"/>
  <c r="Q63" i="1"/>
  <c r="O64" i="1"/>
  <c r="P64" i="1"/>
  <c r="Q64" i="1"/>
  <c r="O65" i="1"/>
  <c r="P65" i="1"/>
  <c r="Q65" i="1"/>
  <c r="O66" i="1"/>
  <c r="P66" i="1"/>
  <c r="Q66" i="1"/>
  <c r="O67" i="1"/>
  <c r="P67" i="1"/>
  <c r="Q67" i="1"/>
  <c r="O68" i="1"/>
  <c r="P68" i="1"/>
  <c r="Q68" i="1"/>
  <c r="O69" i="1"/>
  <c r="P69" i="1"/>
  <c r="Q69" i="1"/>
  <c r="O70" i="1"/>
  <c r="P70" i="1"/>
  <c r="Q70" i="1"/>
  <c r="O71" i="1"/>
  <c r="P71" i="1"/>
  <c r="Q71" i="1"/>
  <c r="O72" i="1"/>
  <c r="P72" i="1"/>
  <c r="Q72" i="1"/>
  <c r="O73" i="1"/>
  <c r="P73" i="1"/>
  <c r="Q73" i="1"/>
  <c r="O74" i="1"/>
  <c r="P74" i="1"/>
  <c r="Q74" i="1"/>
  <c r="O75" i="1"/>
  <c r="P75" i="1"/>
  <c r="Q75" i="1"/>
  <c r="O76" i="1"/>
  <c r="P76" i="1"/>
  <c r="Q76" i="1"/>
  <c r="O77" i="1"/>
  <c r="P77" i="1"/>
  <c r="Q77" i="1"/>
  <c r="O78" i="1"/>
  <c r="P78" i="1"/>
  <c r="Q78" i="1"/>
  <c r="O79" i="1"/>
  <c r="P79" i="1"/>
  <c r="Q79" i="1"/>
  <c r="O80" i="1"/>
  <c r="P80" i="1"/>
  <c r="Q80" i="1"/>
  <c r="O81" i="1"/>
  <c r="P81" i="1"/>
  <c r="Q81" i="1"/>
  <c r="O82" i="1"/>
  <c r="P82" i="1"/>
  <c r="Q82" i="1"/>
  <c r="O83" i="1"/>
  <c r="P83" i="1"/>
  <c r="Q83" i="1"/>
  <c r="O84" i="1"/>
  <c r="P84" i="1"/>
  <c r="Q84" i="1"/>
  <c r="O85" i="1"/>
  <c r="P85" i="1"/>
  <c r="Q85" i="1"/>
  <c r="O86" i="1"/>
  <c r="P86" i="1"/>
  <c r="Q86" i="1"/>
  <c r="O87" i="1"/>
  <c r="P87" i="1"/>
  <c r="Q87" i="1"/>
  <c r="O88" i="1"/>
  <c r="P88" i="1"/>
  <c r="Q88" i="1"/>
  <c r="O89" i="1"/>
  <c r="P89" i="1"/>
  <c r="Q89" i="1"/>
  <c r="O90" i="1"/>
  <c r="P90" i="1"/>
  <c r="Q90" i="1"/>
  <c r="O91" i="1"/>
  <c r="P91" i="1"/>
  <c r="Q91" i="1"/>
  <c r="O92" i="1"/>
  <c r="P92" i="1"/>
  <c r="Q92" i="1"/>
  <c r="O93" i="1"/>
  <c r="P93" i="1"/>
  <c r="Q93" i="1"/>
  <c r="O94" i="1"/>
  <c r="P94" i="1"/>
  <c r="Q94" i="1"/>
  <c r="O95" i="1"/>
  <c r="P95" i="1"/>
  <c r="Q95" i="1"/>
  <c r="O96" i="1"/>
  <c r="P96" i="1"/>
  <c r="Q96" i="1"/>
  <c r="O97" i="1"/>
  <c r="P97" i="1"/>
  <c r="Q97" i="1"/>
  <c r="O98" i="1"/>
  <c r="P98" i="1"/>
  <c r="Q98" i="1"/>
  <c r="O99" i="1"/>
  <c r="P99" i="1"/>
  <c r="Q99" i="1"/>
  <c r="O100" i="1"/>
  <c r="P100" i="1"/>
  <c r="Q100" i="1"/>
  <c r="O101" i="1"/>
  <c r="P101" i="1"/>
  <c r="Q101" i="1"/>
  <c r="O102" i="1"/>
  <c r="P102" i="1"/>
  <c r="Q102" i="1"/>
  <c r="O103" i="1"/>
  <c r="P103" i="1"/>
  <c r="Q103" i="1"/>
  <c r="O104" i="1"/>
  <c r="P104" i="1"/>
  <c r="Q104" i="1"/>
  <c r="O105" i="1"/>
  <c r="P105" i="1"/>
  <c r="Q105" i="1"/>
  <c r="O106" i="1"/>
  <c r="P106" i="1"/>
  <c r="Q106" i="1"/>
  <c r="O107" i="1"/>
  <c r="P107" i="1"/>
  <c r="Q107" i="1"/>
  <c r="O108" i="1"/>
  <c r="P108" i="1"/>
  <c r="Q108" i="1"/>
  <c r="O109" i="1"/>
  <c r="P109" i="1"/>
  <c r="Q109" i="1"/>
  <c r="O110" i="1"/>
  <c r="P110" i="1"/>
  <c r="Q110" i="1"/>
  <c r="O111" i="1"/>
  <c r="P111" i="1"/>
  <c r="Q111" i="1"/>
  <c r="O112" i="1"/>
  <c r="P112" i="1"/>
  <c r="Q112" i="1"/>
  <c r="O113" i="1"/>
  <c r="P113" i="1"/>
  <c r="Q113" i="1"/>
  <c r="O114" i="1"/>
  <c r="P114" i="1"/>
  <c r="Q114" i="1"/>
  <c r="O115" i="1"/>
  <c r="P115" i="1"/>
  <c r="Q115" i="1"/>
  <c r="O116" i="1"/>
  <c r="P116" i="1"/>
  <c r="Q116" i="1"/>
  <c r="O117" i="1"/>
  <c r="P117" i="1"/>
  <c r="Q117" i="1"/>
  <c r="O118" i="1"/>
  <c r="P118" i="1"/>
  <c r="Q118" i="1"/>
  <c r="O119" i="1"/>
  <c r="P119" i="1"/>
  <c r="Q119" i="1"/>
  <c r="O120" i="1"/>
  <c r="P120" i="1"/>
  <c r="Q120" i="1"/>
  <c r="O121" i="1"/>
  <c r="P121" i="1"/>
  <c r="Q121" i="1"/>
  <c r="O122" i="1"/>
  <c r="P122" i="1"/>
  <c r="Q122" i="1"/>
  <c r="O123" i="1"/>
  <c r="P123" i="1"/>
  <c r="Q123" i="1"/>
  <c r="O124" i="1"/>
  <c r="P124" i="1"/>
  <c r="Q124" i="1"/>
  <c r="O125" i="1"/>
  <c r="P125" i="1"/>
  <c r="Q125" i="1"/>
  <c r="O126" i="1"/>
  <c r="P126" i="1"/>
  <c r="Q126" i="1"/>
  <c r="O127" i="1"/>
  <c r="P127" i="1"/>
  <c r="Q127" i="1"/>
  <c r="O128" i="1"/>
  <c r="P128" i="1"/>
  <c r="Q128" i="1"/>
  <c r="O129" i="1"/>
  <c r="P129" i="1"/>
  <c r="Q129" i="1"/>
  <c r="O130" i="1"/>
  <c r="P130" i="1"/>
  <c r="Q130" i="1"/>
  <c r="O131" i="1"/>
  <c r="P131" i="1"/>
  <c r="Q131" i="1"/>
  <c r="O132" i="1"/>
  <c r="P132" i="1"/>
  <c r="Q132" i="1"/>
  <c r="O133" i="1"/>
  <c r="P133" i="1"/>
  <c r="Q133" i="1"/>
  <c r="O134" i="1"/>
  <c r="P134" i="1"/>
  <c r="Q134" i="1"/>
  <c r="O135" i="1"/>
  <c r="P135" i="1"/>
  <c r="Q135" i="1"/>
  <c r="O136" i="1"/>
  <c r="P136" i="1"/>
  <c r="Q136" i="1"/>
  <c r="O137" i="1"/>
  <c r="P137" i="1"/>
  <c r="Q137" i="1"/>
  <c r="O138" i="1"/>
  <c r="P138" i="1"/>
  <c r="Q138" i="1"/>
  <c r="O139" i="1"/>
  <c r="P139" i="1"/>
  <c r="Q139" i="1"/>
  <c r="O140" i="1"/>
  <c r="P140" i="1"/>
  <c r="Q140" i="1"/>
  <c r="O141" i="1"/>
  <c r="P141" i="1"/>
  <c r="Q141" i="1"/>
  <c r="O142" i="1"/>
  <c r="P142" i="1"/>
  <c r="Q142" i="1"/>
  <c r="O143" i="1"/>
  <c r="P143" i="1"/>
  <c r="Q143" i="1"/>
  <c r="O144" i="1"/>
  <c r="P144" i="1"/>
  <c r="Q144" i="1"/>
  <c r="O145" i="1"/>
  <c r="P145" i="1"/>
  <c r="Q145" i="1"/>
  <c r="O146" i="1"/>
  <c r="P146" i="1"/>
  <c r="Q146" i="1"/>
  <c r="O147" i="1"/>
  <c r="P147" i="1"/>
  <c r="Q147" i="1"/>
  <c r="O148" i="1"/>
  <c r="P148" i="1"/>
  <c r="Q148" i="1"/>
  <c r="O149" i="1"/>
  <c r="P149" i="1"/>
  <c r="Q149" i="1"/>
  <c r="O150" i="1"/>
  <c r="P150" i="1"/>
  <c r="Q150" i="1"/>
  <c r="O151" i="1"/>
  <c r="P151" i="1"/>
  <c r="Q151" i="1"/>
  <c r="O152" i="1"/>
  <c r="P152" i="1"/>
  <c r="Q152" i="1"/>
  <c r="O153" i="1"/>
  <c r="P153" i="1"/>
  <c r="Q153" i="1"/>
  <c r="O154" i="1"/>
  <c r="P154" i="1"/>
  <c r="Q154" i="1"/>
  <c r="O155" i="1"/>
  <c r="P155" i="1"/>
  <c r="Q155" i="1"/>
  <c r="O156" i="1"/>
  <c r="P156" i="1"/>
  <c r="Q156" i="1"/>
  <c r="O157" i="1"/>
  <c r="P157" i="1"/>
  <c r="Q157" i="1"/>
  <c r="O158" i="1"/>
  <c r="P158" i="1"/>
  <c r="Q158" i="1"/>
  <c r="O159" i="1"/>
  <c r="P159" i="1"/>
  <c r="Q159" i="1"/>
  <c r="O160" i="1"/>
  <c r="P160" i="1"/>
  <c r="Q160" i="1"/>
  <c r="O161" i="1"/>
  <c r="P161" i="1"/>
  <c r="Q161" i="1"/>
  <c r="O162" i="1"/>
  <c r="P162" i="1"/>
  <c r="Q162" i="1"/>
  <c r="O163" i="1"/>
  <c r="P163" i="1"/>
  <c r="Q163" i="1"/>
  <c r="O164" i="1"/>
  <c r="P164" i="1"/>
  <c r="Q164" i="1"/>
  <c r="O165" i="1"/>
  <c r="P165" i="1"/>
  <c r="Q165" i="1"/>
  <c r="O166" i="1"/>
  <c r="P166" i="1"/>
  <c r="Q166" i="1"/>
  <c r="O167" i="1"/>
  <c r="P167" i="1"/>
  <c r="Q167" i="1"/>
  <c r="O168" i="1"/>
  <c r="P168" i="1"/>
  <c r="Q168" i="1"/>
  <c r="O169" i="1"/>
  <c r="P169" i="1"/>
  <c r="Q169" i="1"/>
  <c r="O170" i="1"/>
  <c r="P170" i="1"/>
  <c r="Q170" i="1"/>
  <c r="O171" i="1"/>
  <c r="P171" i="1"/>
  <c r="Q171" i="1"/>
  <c r="O172" i="1"/>
  <c r="P172" i="1"/>
  <c r="Q172" i="1"/>
  <c r="O173" i="1"/>
  <c r="P173" i="1"/>
  <c r="Q173" i="1"/>
  <c r="O174" i="1"/>
  <c r="P174" i="1"/>
  <c r="Q174" i="1"/>
  <c r="O175" i="1"/>
  <c r="P175" i="1"/>
  <c r="Q175" i="1"/>
  <c r="O176" i="1"/>
  <c r="P176" i="1"/>
  <c r="Q176" i="1"/>
  <c r="O177" i="1"/>
  <c r="P177" i="1"/>
  <c r="Q177" i="1"/>
  <c r="O178" i="1"/>
  <c r="P178" i="1"/>
  <c r="Q178" i="1"/>
  <c r="O179" i="1"/>
  <c r="P179" i="1"/>
  <c r="Q179" i="1"/>
  <c r="O180" i="1"/>
  <c r="P180" i="1"/>
  <c r="Q180" i="1"/>
  <c r="O181" i="1"/>
  <c r="P181" i="1"/>
  <c r="Q181" i="1"/>
  <c r="O182" i="1"/>
  <c r="P182" i="1"/>
  <c r="Q182" i="1"/>
  <c r="O183" i="1"/>
  <c r="P183" i="1"/>
  <c r="Q183" i="1"/>
  <c r="O184" i="1"/>
  <c r="P184" i="1"/>
  <c r="Q184" i="1"/>
  <c r="O185" i="1"/>
  <c r="P185" i="1"/>
  <c r="Q185" i="1"/>
  <c r="O186" i="1"/>
  <c r="P186" i="1"/>
  <c r="Q186" i="1"/>
  <c r="O187" i="1"/>
  <c r="P187" i="1"/>
  <c r="Q187" i="1"/>
  <c r="O188" i="1"/>
  <c r="P188" i="1"/>
  <c r="Q188" i="1"/>
  <c r="O189" i="1"/>
  <c r="P189" i="1"/>
  <c r="Q189" i="1"/>
  <c r="O190" i="1"/>
  <c r="P190" i="1"/>
  <c r="Q190" i="1"/>
  <c r="O191" i="1"/>
  <c r="P191" i="1"/>
  <c r="Q191" i="1"/>
  <c r="O192" i="1"/>
  <c r="P192" i="1"/>
  <c r="Q192" i="1"/>
  <c r="O193" i="1"/>
  <c r="P193" i="1"/>
  <c r="Q193" i="1"/>
  <c r="O194" i="1"/>
  <c r="P194" i="1"/>
  <c r="Q194" i="1"/>
  <c r="O195" i="1"/>
  <c r="P195" i="1"/>
  <c r="Q195" i="1"/>
  <c r="O196" i="1"/>
  <c r="P196" i="1"/>
  <c r="Q196" i="1"/>
  <c r="O197" i="1"/>
  <c r="P197" i="1"/>
  <c r="Q197" i="1"/>
  <c r="O198" i="1"/>
  <c r="P198" i="1"/>
  <c r="Q198" i="1"/>
  <c r="O199" i="1"/>
  <c r="P199" i="1"/>
  <c r="Q199" i="1"/>
  <c r="O200" i="1"/>
  <c r="P200" i="1"/>
  <c r="Q200" i="1"/>
  <c r="O201" i="1"/>
  <c r="P201" i="1"/>
  <c r="Q201" i="1"/>
  <c r="O202" i="1"/>
  <c r="P202" i="1"/>
  <c r="Q202" i="1"/>
  <c r="O203" i="1"/>
  <c r="P203" i="1"/>
  <c r="Q203" i="1"/>
  <c r="O204" i="1"/>
  <c r="P204" i="1"/>
  <c r="Q204" i="1"/>
  <c r="O205" i="1"/>
  <c r="P205" i="1"/>
  <c r="Q205" i="1"/>
  <c r="O206" i="1"/>
  <c r="P206" i="1"/>
  <c r="Q206" i="1"/>
  <c r="O207" i="1"/>
  <c r="P207" i="1"/>
  <c r="Q207" i="1"/>
  <c r="O208" i="1"/>
  <c r="P208" i="1"/>
  <c r="Q208" i="1"/>
  <c r="O209" i="1"/>
  <c r="P209" i="1"/>
  <c r="Q209" i="1"/>
  <c r="O210" i="1"/>
  <c r="P210" i="1"/>
  <c r="Q210" i="1"/>
  <c r="O211" i="1"/>
  <c r="P211" i="1"/>
  <c r="Q211" i="1"/>
  <c r="O212" i="1"/>
  <c r="P212" i="1"/>
  <c r="Q212" i="1"/>
  <c r="O213" i="1"/>
  <c r="P213" i="1"/>
  <c r="Q213" i="1"/>
  <c r="O214" i="1"/>
  <c r="P214" i="1"/>
  <c r="Q214" i="1"/>
  <c r="O215" i="1"/>
  <c r="P215" i="1"/>
  <c r="Q215" i="1"/>
  <c r="O216" i="1"/>
  <c r="P216" i="1"/>
  <c r="Q216" i="1"/>
  <c r="O217" i="1"/>
  <c r="P217" i="1"/>
  <c r="Q217" i="1"/>
  <c r="O218" i="1"/>
  <c r="P218" i="1"/>
  <c r="Q218" i="1"/>
  <c r="O219" i="1"/>
  <c r="P219" i="1"/>
  <c r="Q219" i="1"/>
  <c r="O220" i="1"/>
  <c r="P220" i="1"/>
  <c r="Q220" i="1"/>
  <c r="O221" i="1"/>
  <c r="P221" i="1"/>
  <c r="Q221" i="1"/>
  <c r="O222" i="1"/>
  <c r="P222" i="1"/>
  <c r="Q222" i="1"/>
  <c r="O223" i="1"/>
  <c r="P223" i="1"/>
  <c r="Q223" i="1"/>
  <c r="O224" i="1"/>
  <c r="P224" i="1"/>
  <c r="Q224" i="1"/>
  <c r="O225" i="1"/>
  <c r="P225" i="1"/>
  <c r="Q225" i="1"/>
  <c r="O226" i="1"/>
  <c r="P226" i="1"/>
  <c r="Q226" i="1"/>
  <c r="O227" i="1"/>
  <c r="P227" i="1"/>
  <c r="Q227" i="1"/>
  <c r="O228" i="1"/>
  <c r="P228" i="1"/>
  <c r="Q228" i="1"/>
  <c r="O229" i="1"/>
  <c r="P229" i="1"/>
  <c r="Q229" i="1"/>
  <c r="O230" i="1"/>
  <c r="P230" i="1"/>
  <c r="Q230" i="1"/>
  <c r="O231" i="1"/>
  <c r="P231" i="1"/>
  <c r="Q231" i="1"/>
  <c r="O232" i="1"/>
  <c r="P232" i="1"/>
  <c r="Q232" i="1"/>
  <c r="O233" i="1"/>
  <c r="P233" i="1"/>
  <c r="Q233" i="1"/>
  <c r="O234" i="1"/>
  <c r="P234" i="1"/>
  <c r="Q234" i="1"/>
  <c r="O235" i="1"/>
  <c r="P235" i="1"/>
  <c r="Q235" i="1"/>
  <c r="O236" i="1"/>
  <c r="P236" i="1"/>
  <c r="Q236" i="1"/>
  <c r="O237" i="1"/>
  <c r="P237" i="1"/>
  <c r="Q237" i="1"/>
  <c r="O238" i="1"/>
  <c r="P238" i="1"/>
  <c r="Q238" i="1"/>
  <c r="O239" i="1"/>
  <c r="P239" i="1"/>
  <c r="Q239" i="1"/>
  <c r="O240" i="1"/>
  <c r="P240" i="1"/>
  <c r="Q240" i="1"/>
  <c r="O241" i="1"/>
  <c r="P241" i="1"/>
  <c r="Q241" i="1"/>
  <c r="O242" i="1"/>
  <c r="P242" i="1"/>
  <c r="Q242" i="1"/>
  <c r="O243" i="1"/>
  <c r="P243" i="1"/>
  <c r="Q243" i="1"/>
  <c r="O244" i="1"/>
  <c r="P244" i="1"/>
  <c r="Q244" i="1"/>
  <c r="O245" i="1"/>
  <c r="P245" i="1"/>
  <c r="Q245" i="1"/>
  <c r="O246" i="1"/>
  <c r="P246" i="1"/>
  <c r="Q246" i="1"/>
  <c r="O247" i="1"/>
  <c r="P247" i="1"/>
  <c r="Q247" i="1"/>
  <c r="O248" i="1"/>
  <c r="P248" i="1"/>
  <c r="Q248" i="1"/>
  <c r="O249" i="1"/>
  <c r="P249" i="1"/>
  <c r="Q249" i="1"/>
  <c r="O250" i="1"/>
  <c r="P250" i="1"/>
  <c r="Q250" i="1"/>
  <c r="O251" i="1"/>
  <c r="P251" i="1"/>
  <c r="Q251" i="1"/>
  <c r="O252" i="1"/>
  <c r="P252" i="1"/>
  <c r="Q252" i="1"/>
  <c r="O253" i="1"/>
  <c r="P253" i="1"/>
  <c r="Q253" i="1"/>
  <c r="O254" i="1"/>
  <c r="P254" i="1"/>
  <c r="Q254" i="1"/>
  <c r="O255" i="1"/>
  <c r="P255" i="1"/>
  <c r="Q255" i="1"/>
  <c r="O256" i="1"/>
  <c r="P256" i="1"/>
  <c r="Q256" i="1"/>
  <c r="O257" i="1"/>
  <c r="P257" i="1"/>
  <c r="Q257" i="1"/>
  <c r="O258" i="1"/>
  <c r="P258" i="1"/>
  <c r="Q258" i="1"/>
  <c r="O259" i="1"/>
  <c r="P259" i="1"/>
  <c r="Q259" i="1"/>
  <c r="O260" i="1"/>
  <c r="P260" i="1"/>
  <c r="Q260" i="1"/>
  <c r="O261" i="1"/>
  <c r="P261" i="1"/>
  <c r="Q261" i="1"/>
  <c r="O262" i="1"/>
  <c r="P262" i="1"/>
  <c r="Q262" i="1"/>
  <c r="O263" i="1"/>
  <c r="P263" i="1"/>
  <c r="Q263" i="1"/>
  <c r="O264" i="1"/>
  <c r="P264" i="1"/>
  <c r="Q264" i="1"/>
  <c r="O265" i="1"/>
  <c r="P265" i="1"/>
  <c r="Q265" i="1"/>
  <c r="O266" i="1"/>
  <c r="P266" i="1"/>
  <c r="Q266" i="1"/>
  <c r="O267" i="1"/>
  <c r="P267" i="1"/>
  <c r="Q267" i="1"/>
  <c r="O268" i="1"/>
  <c r="P268" i="1"/>
  <c r="Q268" i="1"/>
  <c r="O269" i="1"/>
  <c r="P269" i="1"/>
  <c r="Q269" i="1"/>
  <c r="O270" i="1"/>
  <c r="P270" i="1"/>
  <c r="Q270" i="1"/>
  <c r="O271" i="1"/>
  <c r="P271" i="1"/>
  <c r="Q271" i="1"/>
  <c r="O272" i="1"/>
  <c r="P272" i="1"/>
  <c r="Q272" i="1"/>
  <c r="O273" i="1"/>
  <c r="P273" i="1"/>
  <c r="Q273" i="1"/>
  <c r="O274" i="1"/>
  <c r="P274" i="1"/>
  <c r="Q274" i="1"/>
  <c r="O275" i="1"/>
  <c r="P275" i="1"/>
  <c r="Q275" i="1"/>
  <c r="O276" i="1"/>
  <c r="P276" i="1"/>
  <c r="Q276" i="1"/>
  <c r="O277" i="1"/>
  <c r="P277" i="1"/>
  <c r="Q277" i="1"/>
  <c r="O278" i="1"/>
  <c r="P278" i="1"/>
  <c r="Q278" i="1"/>
  <c r="O279" i="1"/>
  <c r="P279" i="1"/>
  <c r="Q279" i="1"/>
  <c r="O280" i="1"/>
  <c r="P280" i="1"/>
  <c r="Q280" i="1"/>
  <c r="O281" i="1"/>
  <c r="P281" i="1"/>
  <c r="Q281" i="1"/>
  <c r="O282" i="1"/>
  <c r="P282" i="1"/>
  <c r="Q282" i="1"/>
  <c r="O283" i="1"/>
  <c r="P283" i="1"/>
  <c r="Q283" i="1"/>
  <c r="O284" i="1"/>
  <c r="P284" i="1"/>
  <c r="Q284" i="1"/>
  <c r="O285" i="1"/>
  <c r="P285" i="1"/>
  <c r="Q285" i="1"/>
  <c r="O286" i="1"/>
  <c r="P286" i="1"/>
  <c r="Q286" i="1"/>
  <c r="O287" i="1"/>
  <c r="P287" i="1"/>
  <c r="Q287" i="1"/>
  <c r="O288" i="1"/>
  <c r="P288" i="1"/>
  <c r="Q288" i="1"/>
  <c r="O289" i="1"/>
  <c r="P289" i="1"/>
  <c r="Q289" i="1"/>
  <c r="O290" i="1"/>
  <c r="P290" i="1"/>
  <c r="Q290" i="1"/>
  <c r="O291" i="1"/>
  <c r="P291" i="1"/>
  <c r="Q291" i="1"/>
  <c r="O292" i="1"/>
  <c r="P292" i="1"/>
  <c r="Q292" i="1"/>
  <c r="O293" i="1"/>
  <c r="P293" i="1"/>
  <c r="Q293" i="1"/>
  <c r="O294" i="1"/>
  <c r="P294" i="1"/>
  <c r="Q294" i="1"/>
  <c r="O295" i="1"/>
  <c r="P295" i="1"/>
  <c r="Q295" i="1"/>
  <c r="O296" i="1"/>
  <c r="P296" i="1"/>
  <c r="Q296" i="1"/>
  <c r="O297" i="1"/>
  <c r="P297" i="1"/>
  <c r="Q297" i="1"/>
  <c r="O298" i="1"/>
  <c r="P298" i="1"/>
  <c r="Q298" i="1"/>
  <c r="O299" i="1"/>
  <c r="P299" i="1"/>
  <c r="Q299" i="1"/>
  <c r="O300" i="1"/>
  <c r="P300" i="1"/>
  <c r="Q300" i="1"/>
  <c r="O301" i="1"/>
  <c r="P301" i="1"/>
  <c r="Q301" i="1"/>
  <c r="O302" i="1"/>
  <c r="P302" i="1"/>
  <c r="Q302" i="1"/>
  <c r="O303" i="1"/>
  <c r="P303" i="1"/>
  <c r="Q303" i="1"/>
  <c r="O304" i="1"/>
  <c r="P304" i="1"/>
  <c r="Q304" i="1"/>
  <c r="O305" i="1"/>
  <c r="P305" i="1"/>
  <c r="Q305" i="1"/>
  <c r="O306" i="1"/>
  <c r="P306" i="1"/>
  <c r="Q306" i="1"/>
  <c r="O307" i="1"/>
  <c r="P307" i="1"/>
  <c r="Q307" i="1"/>
  <c r="O308" i="1"/>
  <c r="P308" i="1"/>
  <c r="Q308" i="1"/>
  <c r="O309" i="1"/>
  <c r="P309" i="1"/>
  <c r="Q309" i="1"/>
  <c r="O310" i="1"/>
  <c r="P310" i="1"/>
  <c r="Q310" i="1"/>
  <c r="O311" i="1"/>
  <c r="P311" i="1"/>
  <c r="Q311" i="1"/>
  <c r="O312" i="1"/>
  <c r="P312" i="1"/>
  <c r="Q312" i="1"/>
  <c r="O313" i="1"/>
  <c r="P313" i="1"/>
  <c r="Q313" i="1"/>
  <c r="O314" i="1"/>
  <c r="P314" i="1"/>
  <c r="Q314" i="1"/>
  <c r="O315" i="1"/>
  <c r="P315" i="1"/>
  <c r="Q315" i="1"/>
  <c r="O316" i="1"/>
  <c r="P316" i="1"/>
  <c r="Q316" i="1"/>
  <c r="O317" i="1"/>
  <c r="P317" i="1"/>
  <c r="Q317" i="1"/>
  <c r="O318" i="1"/>
  <c r="P318" i="1"/>
  <c r="Q318" i="1"/>
  <c r="O319" i="1"/>
  <c r="P319" i="1"/>
  <c r="Q319" i="1"/>
  <c r="O320" i="1"/>
  <c r="P320" i="1"/>
  <c r="Q320" i="1"/>
  <c r="O321" i="1"/>
  <c r="P321" i="1"/>
  <c r="Q321" i="1"/>
  <c r="O322" i="1"/>
  <c r="P322" i="1"/>
  <c r="Q322" i="1"/>
  <c r="O323" i="1"/>
  <c r="P323" i="1"/>
  <c r="Q323" i="1"/>
  <c r="O324" i="1"/>
  <c r="P324" i="1"/>
  <c r="Q324" i="1"/>
  <c r="O325" i="1"/>
  <c r="P325" i="1"/>
  <c r="Q325" i="1"/>
  <c r="O326" i="1"/>
  <c r="P326" i="1"/>
  <c r="Q326" i="1"/>
  <c r="O327" i="1"/>
  <c r="P327" i="1"/>
  <c r="Q327" i="1"/>
  <c r="O328" i="1"/>
  <c r="P328" i="1"/>
  <c r="Q328" i="1"/>
  <c r="O329" i="1"/>
  <c r="P329" i="1"/>
  <c r="Q329" i="1"/>
  <c r="O330" i="1"/>
  <c r="P330" i="1"/>
  <c r="Q330" i="1"/>
  <c r="O331" i="1"/>
  <c r="P331" i="1"/>
  <c r="Q331" i="1"/>
  <c r="O332" i="1"/>
  <c r="P332" i="1"/>
  <c r="Q332" i="1"/>
  <c r="O333" i="1"/>
  <c r="P333" i="1"/>
  <c r="Q333" i="1"/>
  <c r="O334" i="1"/>
  <c r="P334" i="1"/>
  <c r="Q334" i="1"/>
  <c r="O335" i="1"/>
  <c r="P335" i="1"/>
  <c r="Q335" i="1"/>
  <c r="O336" i="1"/>
  <c r="P336" i="1"/>
  <c r="Q336" i="1"/>
  <c r="O337" i="1"/>
  <c r="P337" i="1"/>
  <c r="Q337" i="1"/>
  <c r="O338" i="1"/>
  <c r="P338" i="1"/>
  <c r="Q338" i="1"/>
  <c r="O339" i="1"/>
  <c r="P339" i="1"/>
  <c r="Q339" i="1"/>
  <c r="O340" i="1"/>
  <c r="P340" i="1"/>
  <c r="Q340" i="1"/>
  <c r="O341" i="1"/>
  <c r="P341" i="1"/>
  <c r="Q341" i="1"/>
  <c r="O342" i="1"/>
  <c r="P342" i="1"/>
  <c r="Q342" i="1"/>
  <c r="O343" i="1"/>
  <c r="P343" i="1"/>
  <c r="Q343" i="1"/>
  <c r="O344" i="1"/>
  <c r="P344" i="1"/>
  <c r="Q344" i="1"/>
  <c r="O345" i="1"/>
  <c r="P345" i="1"/>
  <c r="Q345" i="1"/>
  <c r="O346" i="1"/>
  <c r="P346" i="1"/>
  <c r="Q346" i="1"/>
  <c r="O347" i="1"/>
  <c r="P347" i="1"/>
  <c r="Q347" i="1"/>
  <c r="O348" i="1"/>
  <c r="P348" i="1"/>
  <c r="Q348" i="1"/>
  <c r="O349" i="1"/>
  <c r="P349" i="1"/>
  <c r="Q349" i="1"/>
  <c r="O350" i="1"/>
  <c r="P350" i="1"/>
  <c r="Q350" i="1"/>
  <c r="O351" i="1"/>
  <c r="P351" i="1"/>
  <c r="Q351" i="1"/>
  <c r="O352" i="1"/>
  <c r="P352" i="1"/>
  <c r="Q352" i="1"/>
  <c r="O353" i="1"/>
  <c r="P353" i="1"/>
  <c r="Q353" i="1"/>
  <c r="O354" i="1"/>
  <c r="P354" i="1"/>
  <c r="Q354" i="1"/>
  <c r="O355" i="1"/>
  <c r="P355" i="1"/>
  <c r="Q355" i="1"/>
  <c r="O356" i="1"/>
  <c r="P356" i="1"/>
  <c r="Q356" i="1"/>
  <c r="O357" i="1"/>
  <c r="P357" i="1"/>
  <c r="Q357" i="1"/>
  <c r="O358" i="1"/>
  <c r="P358" i="1"/>
  <c r="Q358" i="1"/>
  <c r="O359" i="1"/>
  <c r="P359" i="1"/>
  <c r="Q359" i="1"/>
  <c r="O360" i="1"/>
  <c r="P360" i="1"/>
  <c r="Q360" i="1"/>
  <c r="O361" i="1"/>
  <c r="P361" i="1"/>
  <c r="Q361" i="1"/>
  <c r="O362" i="1"/>
  <c r="P362" i="1"/>
  <c r="Q362" i="1"/>
  <c r="O363" i="1"/>
  <c r="P363" i="1"/>
  <c r="Q363" i="1"/>
  <c r="O364" i="1"/>
  <c r="P364" i="1"/>
  <c r="Q364" i="1"/>
  <c r="O365" i="1"/>
  <c r="P365" i="1"/>
  <c r="Q365" i="1"/>
  <c r="O366" i="1"/>
  <c r="P366" i="1"/>
  <c r="Q366" i="1"/>
  <c r="O367" i="1"/>
  <c r="P367" i="1"/>
  <c r="Q367" i="1"/>
  <c r="O368" i="1"/>
  <c r="P368" i="1"/>
  <c r="Q368" i="1"/>
  <c r="O369" i="1"/>
  <c r="P369" i="1"/>
  <c r="Q369" i="1"/>
  <c r="O370" i="1"/>
  <c r="P370" i="1"/>
  <c r="Q370" i="1"/>
  <c r="O371" i="1"/>
  <c r="P371" i="1"/>
  <c r="Q371" i="1"/>
  <c r="O372" i="1"/>
  <c r="P372" i="1"/>
  <c r="Q372" i="1"/>
  <c r="O373" i="1"/>
  <c r="P373" i="1"/>
  <c r="Q373" i="1"/>
  <c r="O374" i="1"/>
  <c r="P374" i="1"/>
  <c r="Q374" i="1"/>
  <c r="O375" i="1"/>
  <c r="P375" i="1"/>
  <c r="Q375" i="1"/>
  <c r="O376" i="1"/>
  <c r="P376" i="1"/>
  <c r="Q376" i="1"/>
  <c r="O377" i="1"/>
  <c r="P377" i="1"/>
  <c r="Q377" i="1"/>
  <c r="O378" i="1"/>
  <c r="P378" i="1"/>
  <c r="Q378" i="1"/>
  <c r="O379" i="1"/>
  <c r="P379" i="1"/>
  <c r="Q379" i="1"/>
  <c r="O380" i="1"/>
  <c r="P380" i="1"/>
  <c r="Q380" i="1"/>
  <c r="O381" i="1"/>
  <c r="P381" i="1"/>
  <c r="Q381" i="1"/>
  <c r="O382" i="1"/>
  <c r="P382" i="1"/>
  <c r="Q382" i="1"/>
  <c r="O383" i="1"/>
  <c r="P383" i="1"/>
  <c r="Q383" i="1"/>
  <c r="O384" i="1"/>
  <c r="P384" i="1"/>
  <c r="Q384" i="1"/>
  <c r="O385" i="1"/>
  <c r="P385" i="1"/>
  <c r="Q385" i="1"/>
  <c r="O386" i="1"/>
  <c r="P386" i="1"/>
  <c r="Q386" i="1"/>
  <c r="O387" i="1"/>
  <c r="P387" i="1"/>
  <c r="Q387" i="1"/>
  <c r="O388" i="1"/>
  <c r="P388" i="1"/>
  <c r="Q388" i="1"/>
  <c r="O389" i="1"/>
  <c r="P389" i="1"/>
  <c r="Q389" i="1"/>
  <c r="O390" i="1"/>
  <c r="P390" i="1"/>
  <c r="Q390" i="1"/>
  <c r="O391" i="1"/>
  <c r="P391" i="1"/>
  <c r="Q391" i="1"/>
  <c r="O392" i="1"/>
  <c r="P392" i="1"/>
  <c r="Q392" i="1"/>
  <c r="O393" i="1"/>
  <c r="P393" i="1"/>
  <c r="Q393" i="1"/>
  <c r="O394" i="1"/>
  <c r="P394" i="1"/>
  <c r="Q394" i="1"/>
  <c r="O395" i="1"/>
  <c r="P395" i="1"/>
  <c r="Q395" i="1"/>
  <c r="O396" i="1"/>
  <c r="P396" i="1"/>
  <c r="Q396" i="1"/>
  <c r="O397" i="1"/>
  <c r="P397" i="1"/>
  <c r="Q397" i="1"/>
  <c r="O398" i="1"/>
  <c r="P398" i="1"/>
  <c r="Q398" i="1"/>
  <c r="O399" i="1"/>
  <c r="P399" i="1"/>
  <c r="Q399" i="1"/>
  <c r="O400" i="1"/>
  <c r="P400" i="1"/>
  <c r="Q400" i="1"/>
  <c r="O401" i="1"/>
  <c r="P401" i="1"/>
  <c r="Q401" i="1"/>
  <c r="O402" i="1"/>
  <c r="P402" i="1"/>
  <c r="Q402" i="1"/>
  <c r="O403" i="1"/>
  <c r="P403" i="1"/>
  <c r="Q403" i="1"/>
  <c r="O404" i="1"/>
  <c r="P404" i="1"/>
  <c r="Q404" i="1"/>
  <c r="O405" i="1"/>
  <c r="P405" i="1"/>
  <c r="Q405" i="1"/>
  <c r="O406" i="1"/>
  <c r="P406" i="1"/>
  <c r="Q406" i="1"/>
  <c r="O407" i="1"/>
  <c r="P407" i="1"/>
  <c r="Q407" i="1"/>
  <c r="O408" i="1"/>
  <c r="P408" i="1"/>
  <c r="Q408" i="1"/>
  <c r="O409" i="1"/>
  <c r="P409" i="1"/>
  <c r="Q409" i="1"/>
  <c r="O410" i="1"/>
  <c r="P410" i="1"/>
  <c r="Q410" i="1"/>
  <c r="O411" i="1"/>
  <c r="P411" i="1"/>
  <c r="Q411" i="1"/>
  <c r="O412" i="1"/>
  <c r="P412" i="1"/>
  <c r="Q412" i="1"/>
  <c r="O413" i="1"/>
  <c r="P413" i="1"/>
  <c r="Q413" i="1"/>
  <c r="O414" i="1"/>
  <c r="P414" i="1"/>
  <c r="Q414" i="1"/>
  <c r="O415" i="1"/>
  <c r="P415" i="1"/>
  <c r="Q415" i="1"/>
  <c r="O416" i="1"/>
  <c r="P416" i="1"/>
  <c r="Q416" i="1"/>
  <c r="O417" i="1"/>
  <c r="P417" i="1"/>
  <c r="Q417" i="1"/>
  <c r="O418" i="1"/>
  <c r="P418" i="1"/>
  <c r="Q418" i="1"/>
  <c r="O419" i="1"/>
  <c r="P419" i="1"/>
  <c r="Q419" i="1"/>
  <c r="O420" i="1"/>
  <c r="P420" i="1"/>
  <c r="Q420" i="1"/>
  <c r="O421" i="1"/>
  <c r="P421" i="1"/>
  <c r="Q421" i="1"/>
  <c r="O422" i="1"/>
  <c r="P422" i="1"/>
  <c r="Q422" i="1"/>
  <c r="O423" i="1"/>
  <c r="P423" i="1"/>
  <c r="Q423" i="1"/>
  <c r="O424" i="1"/>
  <c r="P424" i="1"/>
  <c r="Q424" i="1"/>
  <c r="O425" i="1"/>
  <c r="P425" i="1"/>
  <c r="Q425" i="1"/>
  <c r="O426" i="1"/>
  <c r="P426" i="1"/>
  <c r="Q426" i="1"/>
  <c r="O427" i="1"/>
  <c r="P427" i="1"/>
  <c r="Q427" i="1"/>
  <c r="O428" i="1"/>
  <c r="P428" i="1"/>
  <c r="Q428" i="1"/>
  <c r="O429" i="1"/>
  <c r="P429" i="1"/>
  <c r="Q429" i="1"/>
  <c r="O430" i="1"/>
  <c r="P430" i="1"/>
  <c r="Q430" i="1"/>
  <c r="O431" i="1"/>
  <c r="P431" i="1"/>
  <c r="Q431" i="1"/>
  <c r="O432" i="1"/>
  <c r="P432" i="1"/>
  <c r="Q432" i="1"/>
  <c r="O433" i="1"/>
  <c r="P433" i="1"/>
  <c r="Q433" i="1"/>
  <c r="O434" i="1"/>
  <c r="P434" i="1"/>
  <c r="Q434" i="1"/>
  <c r="O435" i="1"/>
  <c r="P435" i="1"/>
  <c r="Q435" i="1"/>
  <c r="O436" i="1"/>
  <c r="P436" i="1"/>
  <c r="Q436" i="1"/>
  <c r="O437" i="1"/>
  <c r="P437" i="1"/>
  <c r="Q437" i="1"/>
  <c r="O438" i="1"/>
  <c r="P438" i="1"/>
  <c r="Q438" i="1"/>
  <c r="O439" i="1"/>
  <c r="P439" i="1"/>
  <c r="Q439" i="1"/>
  <c r="O440" i="1"/>
  <c r="P440" i="1"/>
  <c r="Q440" i="1"/>
  <c r="O441" i="1"/>
  <c r="P441" i="1"/>
  <c r="Q441" i="1"/>
  <c r="O442" i="1"/>
  <c r="P442" i="1"/>
  <c r="Q442" i="1"/>
  <c r="O443" i="1"/>
  <c r="P443" i="1"/>
  <c r="Q443" i="1"/>
  <c r="O444" i="1"/>
  <c r="P444" i="1"/>
  <c r="Q444" i="1"/>
  <c r="O445" i="1"/>
  <c r="P445" i="1"/>
  <c r="Q445" i="1"/>
  <c r="O446" i="1"/>
  <c r="P446" i="1"/>
  <c r="Q446" i="1"/>
  <c r="O447" i="1"/>
  <c r="P447" i="1"/>
  <c r="Q447" i="1"/>
  <c r="O448" i="1"/>
  <c r="P448" i="1"/>
  <c r="Q448" i="1"/>
  <c r="O449" i="1"/>
  <c r="P449" i="1"/>
  <c r="Q449" i="1"/>
  <c r="O450" i="1"/>
  <c r="P450" i="1"/>
  <c r="Q450" i="1"/>
  <c r="O451" i="1"/>
  <c r="P451" i="1"/>
  <c r="Q451" i="1"/>
  <c r="O452" i="1"/>
  <c r="P452" i="1"/>
  <c r="Q452" i="1"/>
  <c r="O453" i="1"/>
  <c r="P453" i="1"/>
  <c r="Q453" i="1"/>
  <c r="O454" i="1"/>
  <c r="P454" i="1"/>
  <c r="Q454" i="1"/>
  <c r="O455" i="1"/>
  <c r="P455" i="1"/>
  <c r="Q455" i="1"/>
  <c r="O456" i="1"/>
  <c r="P456" i="1"/>
  <c r="Q456" i="1"/>
  <c r="O457" i="1"/>
  <c r="P457" i="1"/>
  <c r="Q457" i="1"/>
  <c r="O458" i="1"/>
  <c r="P458" i="1"/>
  <c r="Q458" i="1"/>
  <c r="O459" i="1"/>
  <c r="P459" i="1"/>
  <c r="Q459" i="1"/>
  <c r="O460" i="1"/>
  <c r="P460" i="1"/>
  <c r="Q460" i="1"/>
  <c r="O461" i="1"/>
  <c r="P461" i="1"/>
  <c r="Q461" i="1"/>
  <c r="O462" i="1"/>
  <c r="P462" i="1"/>
  <c r="Q462" i="1"/>
  <c r="O463" i="1"/>
  <c r="P463" i="1"/>
  <c r="Q463" i="1"/>
  <c r="O464" i="1"/>
  <c r="P464" i="1"/>
  <c r="Q464" i="1"/>
  <c r="O465" i="1"/>
  <c r="P465" i="1"/>
  <c r="Q465" i="1"/>
  <c r="O466" i="1"/>
  <c r="P466" i="1"/>
  <c r="Q466" i="1"/>
  <c r="O467" i="1"/>
  <c r="P467" i="1"/>
  <c r="Q467" i="1"/>
  <c r="O468" i="1"/>
  <c r="P468" i="1"/>
  <c r="Q468" i="1"/>
  <c r="O469" i="1"/>
  <c r="P469" i="1"/>
  <c r="Q469" i="1"/>
  <c r="O470" i="1"/>
  <c r="P470" i="1"/>
  <c r="Q470" i="1"/>
  <c r="O471" i="1"/>
  <c r="P471" i="1"/>
  <c r="Q471" i="1"/>
  <c r="O472" i="1"/>
  <c r="P472" i="1"/>
  <c r="Q472" i="1"/>
  <c r="O473" i="1"/>
  <c r="P473" i="1"/>
  <c r="Q473" i="1"/>
  <c r="O474" i="1"/>
  <c r="P474" i="1"/>
  <c r="Q474" i="1"/>
  <c r="O475" i="1"/>
  <c r="P475" i="1"/>
  <c r="Q475" i="1"/>
  <c r="O476" i="1"/>
  <c r="P476" i="1"/>
  <c r="Q476" i="1"/>
  <c r="O477" i="1"/>
  <c r="P477" i="1"/>
  <c r="Q477" i="1"/>
  <c r="O478" i="1"/>
  <c r="P478" i="1"/>
  <c r="Q478" i="1"/>
  <c r="O479" i="1"/>
  <c r="P479" i="1"/>
  <c r="Q479" i="1"/>
  <c r="O480" i="1"/>
  <c r="P480" i="1"/>
  <c r="Q480" i="1"/>
  <c r="O481" i="1"/>
  <c r="P481" i="1"/>
  <c r="Q481" i="1"/>
  <c r="O482" i="1"/>
  <c r="P482" i="1"/>
  <c r="Q482" i="1"/>
  <c r="O483" i="1"/>
  <c r="P483" i="1"/>
  <c r="Q483" i="1"/>
  <c r="O484" i="1"/>
  <c r="P484" i="1"/>
  <c r="Q484" i="1"/>
  <c r="O485" i="1"/>
  <c r="P485" i="1"/>
  <c r="Q485" i="1"/>
  <c r="O486" i="1"/>
  <c r="P486" i="1"/>
  <c r="Q486" i="1"/>
  <c r="O487" i="1"/>
  <c r="P487" i="1"/>
  <c r="Q487" i="1"/>
  <c r="O488" i="1"/>
  <c r="P488" i="1"/>
  <c r="Q488" i="1"/>
  <c r="O489" i="1"/>
  <c r="P489" i="1"/>
  <c r="Q489" i="1"/>
  <c r="O490" i="1"/>
  <c r="P490" i="1"/>
  <c r="Q490" i="1"/>
  <c r="O491" i="1"/>
  <c r="P491" i="1"/>
  <c r="Q491" i="1"/>
  <c r="O492" i="1"/>
  <c r="P492" i="1"/>
  <c r="Q492" i="1"/>
  <c r="O493" i="1"/>
  <c r="P493" i="1"/>
  <c r="Q493" i="1"/>
  <c r="O494" i="1"/>
  <c r="P494" i="1"/>
  <c r="Q494" i="1"/>
  <c r="O495" i="1"/>
  <c r="P495" i="1"/>
  <c r="Q495" i="1"/>
  <c r="O496" i="1"/>
  <c r="P496" i="1"/>
  <c r="Q496" i="1"/>
  <c r="O497" i="1"/>
  <c r="P497" i="1"/>
  <c r="Q497" i="1"/>
  <c r="O498" i="1"/>
  <c r="P498" i="1"/>
  <c r="Q498" i="1"/>
  <c r="O499" i="1"/>
  <c r="P499" i="1"/>
  <c r="Q499" i="1"/>
  <c r="O500" i="1"/>
  <c r="P500" i="1"/>
  <c r="Q500" i="1"/>
  <c r="O501" i="1"/>
  <c r="P501" i="1"/>
  <c r="Q501" i="1"/>
  <c r="O502" i="1"/>
  <c r="P502" i="1"/>
  <c r="Q502" i="1"/>
  <c r="O503" i="1"/>
  <c r="P503" i="1"/>
  <c r="Q503" i="1"/>
  <c r="O504" i="1"/>
  <c r="P504" i="1"/>
  <c r="Q504" i="1"/>
  <c r="O505" i="1"/>
  <c r="P505" i="1"/>
  <c r="Q505" i="1"/>
  <c r="O506" i="1"/>
  <c r="P506" i="1"/>
  <c r="Q506" i="1"/>
  <c r="O507" i="1"/>
  <c r="P507" i="1"/>
  <c r="Q507" i="1"/>
  <c r="O508" i="1"/>
  <c r="P508" i="1"/>
  <c r="Q508" i="1"/>
  <c r="O509" i="1"/>
  <c r="P509" i="1"/>
  <c r="Q509" i="1"/>
  <c r="O510" i="1"/>
  <c r="P510" i="1"/>
  <c r="Q510" i="1"/>
  <c r="O511" i="1"/>
  <c r="P511" i="1"/>
  <c r="Q511" i="1"/>
  <c r="O512" i="1"/>
  <c r="P512" i="1"/>
  <c r="Q512" i="1"/>
  <c r="O513" i="1"/>
  <c r="P513" i="1"/>
  <c r="Q513" i="1"/>
  <c r="O514" i="1"/>
  <c r="P514" i="1"/>
  <c r="Q514" i="1"/>
  <c r="O515" i="1"/>
  <c r="P515" i="1"/>
  <c r="Q515" i="1"/>
  <c r="O516" i="1"/>
  <c r="P516" i="1"/>
  <c r="Q516" i="1"/>
  <c r="O517" i="1"/>
  <c r="P517" i="1"/>
  <c r="Q517" i="1"/>
  <c r="O518" i="1"/>
  <c r="P518" i="1"/>
  <c r="Q518" i="1"/>
  <c r="O519" i="1"/>
  <c r="P519" i="1"/>
  <c r="Q519" i="1"/>
  <c r="O520" i="1"/>
  <c r="P520" i="1"/>
  <c r="Q520" i="1"/>
  <c r="O521" i="1"/>
  <c r="P521" i="1"/>
  <c r="Q521" i="1"/>
  <c r="O522" i="1"/>
  <c r="P522" i="1"/>
  <c r="Q522" i="1"/>
  <c r="O523" i="1"/>
  <c r="P523" i="1"/>
  <c r="Q523" i="1"/>
  <c r="O524" i="1"/>
  <c r="P524" i="1"/>
  <c r="Q524" i="1"/>
  <c r="O525" i="1"/>
  <c r="P525" i="1"/>
  <c r="Q525" i="1"/>
  <c r="O526" i="1"/>
  <c r="P526" i="1"/>
  <c r="Q526" i="1"/>
  <c r="O527" i="1"/>
  <c r="P527" i="1"/>
  <c r="Q527" i="1"/>
  <c r="O528" i="1"/>
  <c r="P528" i="1"/>
  <c r="Q528" i="1"/>
  <c r="O529" i="1"/>
  <c r="P529" i="1"/>
  <c r="Q529" i="1"/>
  <c r="O530" i="1"/>
  <c r="P530" i="1"/>
  <c r="Q530" i="1"/>
  <c r="O531" i="1"/>
  <c r="P531" i="1"/>
  <c r="Q531" i="1"/>
  <c r="O532" i="1"/>
  <c r="P532" i="1"/>
  <c r="Q532" i="1"/>
  <c r="O533" i="1"/>
  <c r="P533" i="1"/>
  <c r="Q533" i="1"/>
  <c r="O534" i="1"/>
  <c r="P534" i="1"/>
  <c r="Q534" i="1"/>
  <c r="O535" i="1"/>
  <c r="P535" i="1"/>
  <c r="Q535" i="1"/>
  <c r="O536" i="1"/>
  <c r="P536" i="1"/>
  <c r="Q536" i="1"/>
  <c r="O537" i="1"/>
  <c r="P537" i="1"/>
  <c r="Q537" i="1"/>
  <c r="O538" i="1"/>
  <c r="P538" i="1"/>
  <c r="Q538" i="1"/>
  <c r="O539" i="1"/>
  <c r="P539" i="1"/>
  <c r="Q539" i="1"/>
  <c r="O540" i="1"/>
  <c r="P540" i="1"/>
  <c r="Q540" i="1"/>
  <c r="O541" i="1"/>
  <c r="P541" i="1"/>
  <c r="Q541" i="1"/>
  <c r="O542" i="1"/>
  <c r="P542" i="1"/>
  <c r="Q542" i="1"/>
  <c r="O543" i="1"/>
  <c r="P543" i="1"/>
  <c r="Q543" i="1"/>
  <c r="O544" i="1"/>
  <c r="P544" i="1"/>
  <c r="Q544" i="1"/>
  <c r="O545" i="1"/>
  <c r="P545" i="1"/>
  <c r="Q545" i="1"/>
  <c r="O546" i="1"/>
  <c r="P546" i="1"/>
  <c r="Q546" i="1"/>
  <c r="O547" i="1"/>
  <c r="P547" i="1"/>
  <c r="Q547" i="1"/>
  <c r="O548" i="1"/>
  <c r="P548" i="1"/>
  <c r="Q548" i="1"/>
  <c r="O549" i="1"/>
  <c r="P549" i="1"/>
  <c r="Q549" i="1"/>
  <c r="O550" i="1"/>
  <c r="P550" i="1"/>
  <c r="Q550" i="1"/>
  <c r="O551" i="1"/>
  <c r="P551" i="1"/>
  <c r="Q551" i="1"/>
  <c r="O552" i="1"/>
  <c r="P552" i="1"/>
  <c r="Q552" i="1"/>
  <c r="O553" i="1"/>
  <c r="P553" i="1"/>
  <c r="Q553" i="1"/>
  <c r="O554" i="1"/>
  <c r="P554" i="1"/>
  <c r="Q554" i="1"/>
  <c r="O555" i="1"/>
  <c r="P555" i="1"/>
  <c r="Q555" i="1"/>
  <c r="O556" i="1"/>
  <c r="P556" i="1"/>
  <c r="Q556" i="1"/>
  <c r="O557" i="1"/>
  <c r="P557" i="1"/>
  <c r="Q557" i="1"/>
  <c r="O558" i="1"/>
  <c r="P558" i="1"/>
  <c r="Q558" i="1"/>
  <c r="O559" i="1"/>
  <c r="P559" i="1"/>
  <c r="Q559" i="1"/>
  <c r="O560" i="1"/>
  <c r="P560" i="1"/>
  <c r="Q560" i="1"/>
  <c r="O561" i="1"/>
  <c r="P561" i="1"/>
  <c r="Q561" i="1"/>
  <c r="O562" i="1"/>
  <c r="P562" i="1"/>
  <c r="Q562" i="1"/>
  <c r="O563" i="1"/>
  <c r="P563" i="1"/>
  <c r="Q563" i="1"/>
  <c r="O564" i="1"/>
  <c r="P564" i="1"/>
  <c r="Q564" i="1"/>
  <c r="O565" i="1"/>
  <c r="P565" i="1"/>
  <c r="Q565" i="1"/>
  <c r="O566" i="1"/>
  <c r="P566" i="1"/>
  <c r="Q566" i="1"/>
  <c r="O567" i="1"/>
  <c r="P567" i="1"/>
  <c r="Q567" i="1"/>
  <c r="O568" i="1"/>
  <c r="P568" i="1"/>
  <c r="Q568" i="1"/>
  <c r="O569" i="1"/>
  <c r="P569" i="1"/>
  <c r="Q569" i="1"/>
  <c r="O570" i="1"/>
  <c r="P570" i="1"/>
  <c r="Q570" i="1"/>
  <c r="O571" i="1"/>
  <c r="P571" i="1"/>
  <c r="Q571" i="1"/>
  <c r="O572" i="1"/>
  <c r="P572" i="1"/>
  <c r="Q572" i="1"/>
  <c r="O573" i="1"/>
  <c r="P573" i="1"/>
  <c r="Q573" i="1"/>
  <c r="O574" i="1"/>
  <c r="P574" i="1"/>
  <c r="Q574" i="1"/>
  <c r="O575" i="1"/>
  <c r="P575" i="1"/>
  <c r="Q575" i="1"/>
  <c r="O576" i="1"/>
  <c r="P576" i="1"/>
  <c r="Q576" i="1"/>
  <c r="O577" i="1"/>
  <c r="P577" i="1"/>
  <c r="Q577" i="1"/>
  <c r="O578" i="1"/>
  <c r="P578" i="1"/>
  <c r="Q578" i="1"/>
  <c r="O579" i="1"/>
  <c r="P579" i="1"/>
  <c r="Q579" i="1"/>
  <c r="O580" i="1"/>
  <c r="P580" i="1"/>
  <c r="Q580" i="1"/>
  <c r="O581" i="1"/>
  <c r="P581" i="1"/>
  <c r="Q581" i="1"/>
  <c r="O582" i="1"/>
  <c r="P582" i="1"/>
  <c r="Q582" i="1"/>
  <c r="O583" i="1"/>
  <c r="P583" i="1"/>
  <c r="Q583" i="1"/>
  <c r="O584" i="1"/>
  <c r="P584" i="1"/>
  <c r="Q584" i="1"/>
  <c r="O585" i="1"/>
  <c r="P585" i="1"/>
  <c r="Q585" i="1"/>
  <c r="O586" i="1"/>
  <c r="P586" i="1"/>
  <c r="Q586" i="1"/>
  <c r="O587" i="1"/>
  <c r="P587" i="1"/>
  <c r="Q587" i="1"/>
  <c r="O588" i="1"/>
  <c r="P588" i="1"/>
  <c r="Q588" i="1"/>
  <c r="O589" i="1"/>
  <c r="P589" i="1"/>
  <c r="Q589" i="1"/>
  <c r="O590" i="1"/>
  <c r="P590" i="1"/>
  <c r="Q590" i="1"/>
  <c r="O591" i="1"/>
  <c r="P591" i="1"/>
  <c r="Q591" i="1"/>
  <c r="O592" i="1"/>
  <c r="P592" i="1"/>
  <c r="Q592" i="1"/>
  <c r="O593" i="1"/>
  <c r="P593" i="1"/>
  <c r="Q593" i="1"/>
  <c r="O594" i="1"/>
  <c r="P594" i="1"/>
  <c r="Q594" i="1"/>
  <c r="O595" i="1"/>
  <c r="P595" i="1"/>
  <c r="Q595" i="1"/>
  <c r="O596" i="1"/>
  <c r="P596" i="1"/>
  <c r="Q596" i="1"/>
  <c r="O597" i="1"/>
  <c r="P597" i="1"/>
  <c r="Q597" i="1"/>
  <c r="O598" i="1"/>
  <c r="P598" i="1"/>
  <c r="Q598" i="1"/>
  <c r="O599" i="1"/>
  <c r="P599" i="1"/>
  <c r="Q599" i="1"/>
  <c r="O600" i="1"/>
  <c r="P600" i="1"/>
  <c r="Q600" i="1"/>
  <c r="O601" i="1"/>
  <c r="P601" i="1"/>
  <c r="Q601" i="1"/>
  <c r="O602" i="1"/>
  <c r="P602" i="1"/>
  <c r="Q602" i="1"/>
  <c r="O603" i="1"/>
  <c r="P603" i="1"/>
  <c r="Q603" i="1"/>
  <c r="O604" i="1"/>
  <c r="P604" i="1"/>
  <c r="Q604" i="1"/>
  <c r="O605" i="1"/>
  <c r="P605" i="1"/>
  <c r="Q605" i="1"/>
  <c r="O606" i="1"/>
  <c r="P606" i="1"/>
  <c r="Q606" i="1"/>
  <c r="O607" i="1"/>
  <c r="P607" i="1"/>
  <c r="Q607" i="1"/>
  <c r="O608" i="1"/>
  <c r="P608" i="1"/>
  <c r="Q608" i="1"/>
  <c r="O609" i="1"/>
  <c r="P609" i="1"/>
  <c r="Q609" i="1"/>
  <c r="O610" i="1"/>
  <c r="P610" i="1"/>
  <c r="Q610" i="1"/>
  <c r="O611" i="1"/>
  <c r="P611" i="1"/>
  <c r="Q611" i="1"/>
  <c r="O612" i="1"/>
  <c r="P612" i="1"/>
  <c r="Q612" i="1"/>
  <c r="O613" i="1"/>
  <c r="P613" i="1"/>
  <c r="Q613" i="1"/>
  <c r="O614" i="1"/>
  <c r="P614" i="1"/>
  <c r="Q614" i="1"/>
  <c r="O615" i="1"/>
  <c r="P615" i="1"/>
  <c r="Q615" i="1"/>
  <c r="O616" i="1"/>
  <c r="P616" i="1"/>
  <c r="Q616" i="1"/>
  <c r="O617" i="1"/>
  <c r="P617" i="1"/>
  <c r="Q617" i="1"/>
  <c r="O618" i="1"/>
  <c r="P618" i="1"/>
  <c r="Q618" i="1"/>
  <c r="O619" i="1"/>
  <c r="P619" i="1"/>
  <c r="Q619" i="1"/>
  <c r="O620" i="1"/>
  <c r="P620" i="1"/>
  <c r="Q620" i="1"/>
  <c r="O621" i="1"/>
  <c r="P621" i="1"/>
  <c r="Q621" i="1"/>
  <c r="O622" i="1"/>
  <c r="P622" i="1"/>
  <c r="Q622" i="1"/>
  <c r="O623" i="1"/>
  <c r="P623" i="1"/>
  <c r="Q623" i="1"/>
  <c r="O624" i="1"/>
  <c r="P624" i="1"/>
  <c r="Q624" i="1"/>
  <c r="O625" i="1"/>
  <c r="P625" i="1"/>
  <c r="Q625" i="1"/>
  <c r="O626" i="1"/>
  <c r="P626" i="1"/>
  <c r="Q626" i="1"/>
  <c r="O627" i="1"/>
  <c r="P627" i="1"/>
  <c r="Q627" i="1"/>
  <c r="O628" i="1"/>
  <c r="P628" i="1"/>
  <c r="Q628" i="1"/>
  <c r="O629" i="1"/>
  <c r="P629" i="1"/>
  <c r="Q629" i="1"/>
  <c r="O630" i="1"/>
  <c r="P630" i="1"/>
  <c r="Q630" i="1"/>
  <c r="O631" i="1"/>
  <c r="P631" i="1"/>
  <c r="Q631" i="1"/>
  <c r="O632" i="1"/>
  <c r="P632" i="1"/>
  <c r="Q632" i="1"/>
  <c r="O633" i="1"/>
  <c r="P633" i="1"/>
  <c r="Q633" i="1"/>
  <c r="O634" i="1"/>
  <c r="P634" i="1"/>
  <c r="Q634" i="1"/>
  <c r="O635" i="1"/>
  <c r="P635" i="1"/>
  <c r="Q635" i="1"/>
  <c r="O636" i="1"/>
  <c r="P636" i="1"/>
  <c r="Q636" i="1"/>
  <c r="O637" i="1"/>
  <c r="P637" i="1"/>
  <c r="Q637" i="1"/>
  <c r="O638" i="1"/>
  <c r="P638" i="1"/>
  <c r="Q638" i="1"/>
  <c r="O639" i="1"/>
  <c r="P639" i="1"/>
  <c r="Q639" i="1"/>
  <c r="O640" i="1"/>
  <c r="P640" i="1"/>
  <c r="Q640" i="1"/>
  <c r="O641" i="1"/>
  <c r="P641" i="1"/>
  <c r="Q641" i="1"/>
  <c r="O642" i="1"/>
  <c r="P642" i="1"/>
  <c r="Q642" i="1"/>
  <c r="O643" i="1"/>
  <c r="P643" i="1"/>
  <c r="Q643" i="1"/>
  <c r="O644" i="1"/>
  <c r="P644" i="1"/>
  <c r="Q644" i="1"/>
  <c r="O645" i="1"/>
  <c r="P645" i="1"/>
  <c r="Q645" i="1"/>
  <c r="O646" i="1"/>
  <c r="P646" i="1"/>
  <c r="Q646" i="1"/>
  <c r="O647" i="1"/>
  <c r="P647" i="1"/>
  <c r="Q647" i="1"/>
  <c r="O648" i="1"/>
  <c r="P648" i="1"/>
  <c r="Q648" i="1"/>
  <c r="O649" i="1"/>
  <c r="P649" i="1"/>
  <c r="Q649" i="1"/>
  <c r="O650" i="1"/>
  <c r="P650" i="1"/>
  <c r="Q650" i="1"/>
  <c r="O651" i="1"/>
  <c r="P651" i="1"/>
  <c r="Q651" i="1"/>
  <c r="O652" i="1"/>
  <c r="P652" i="1"/>
  <c r="Q652" i="1"/>
  <c r="O653" i="1"/>
  <c r="P653" i="1"/>
  <c r="Q653" i="1"/>
  <c r="O654" i="1"/>
  <c r="P654" i="1"/>
  <c r="Q654" i="1"/>
  <c r="O655" i="1"/>
  <c r="P655" i="1"/>
  <c r="Q655" i="1"/>
  <c r="O656" i="1"/>
  <c r="P656" i="1"/>
  <c r="Q656" i="1"/>
  <c r="O657" i="1"/>
  <c r="P657" i="1"/>
  <c r="Q657" i="1"/>
  <c r="O658" i="1"/>
  <c r="P658" i="1"/>
  <c r="Q658" i="1"/>
  <c r="O659" i="1"/>
  <c r="P659" i="1"/>
  <c r="Q659" i="1"/>
  <c r="O660" i="1"/>
  <c r="P660" i="1"/>
  <c r="Q660" i="1"/>
  <c r="O661" i="1"/>
  <c r="P661" i="1"/>
  <c r="Q661" i="1"/>
  <c r="O662" i="1"/>
  <c r="P662" i="1"/>
  <c r="Q662" i="1"/>
  <c r="O663" i="1"/>
  <c r="P663" i="1"/>
  <c r="Q663" i="1"/>
  <c r="O664" i="1"/>
  <c r="P664" i="1"/>
  <c r="Q664" i="1"/>
  <c r="O665" i="1"/>
  <c r="P665" i="1"/>
  <c r="Q665" i="1"/>
  <c r="O666" i="1"/>
  <c r="P666" i="1"/>
  <c r="Q666" i="1"/>
  <c r="O667" i="1"/>
  <c r="P667" i="1"/>
  <c r="Q667" i="1"/>
  <c r="O668" i="1"/>
  <c r="P668" i="1"/>
  <c r="Q668" i="1"/>
  <c r="O669" i="1"/>
  <c r="P669" i="1"/>
  <c r="Q669" i="1"/>
  <c r="O670" i="1"/>
  <c r="P670" i="1"/>
  <c r="Q670" i="1"/>
  <c r="O671" i="1"/>
  <c r="P671" i="1"/>
  <c r="Q671" i="1"/>
  <c r="O672" i="1"/>
  <c r="P672" i="1"/>
  <c r="Q672" i="1"/>
  <c r="O673" i="1"/>
  <c r="P673" i="1"/>
  <c r="Q673" i="1"/>
  <c r="O674" i="1"/>
  <c r="P674" i="1"/>
  <c r="Q674" i="1"/>
  <c r="O675" i="1"/>
  <c r="P675" i="1"/>
  <c r="Q675" i="1"/>
  <c r="O676" i="1"/>
  <c r="P676" i="1"/>
  <c r="Q676" i="1"/>
  <c r="O677" i="1"/>
  <c r="P677" i="1"/>
  <c r="Q677" i="1"/>
  <c r="O678" i="1"/>
  <c r="P678" i="1"/>
  <c r="Q678" i="1"/>
  <c r="O679" i="1"/>
  <c r="P679" i="1"/>
  <c r="Q679" i="1"/>
  <c r="O680" i="1"/>
  <c r="P680" i="1"/>
  <c r="Q680" i="1"/>
  <c r="O681" i="1"/>
  <c r="P681" i="1"/>
  <c r="Q681" i="1"/>
  <c r="O682" i="1"/>
  <c r="P682" i="1"/>
  <c r="Q682" i="1"/>
  <c r="O683" i="1"/>
  <c r="P683" i="1"/>
  <c r="Q683" i="1"/>
  <c r="O684" i="1"/>
  <c r="P684" i="1"/>
  <c r="Q684" i="1"/>
  <c r="O685" i="1"/>
  <c r="P685" i="1"/>
  <c r="Q685" i="1"/>
  <c r="O686" i="1"/>
  <c r="P686" i="1"/>
  <c r="Q686" i="1"/>
  <c r="O687" i="1"/>
  <c r="P687" i="1"/>
  <c r="Q687" i="1"/>
  <c r="O688" i="1"/>
  <c r="P688" i="1"/>
  <c r="Q688" i="1"/>
  <c r="O689" i="1"/>
  <c r="P689" i="1"/>
  <c r="Q689" i="1"/>
  <c r="O690" i="1"/>
  <c r="P690" i="1"/>
  <c r="Q690" i="1"/>
  <c r="O691" i="1"/>
  <c r="P691" i="1"/>
  <c r="Q691" i="1"/>
  <c r="O692" i="1"/>
  <c r="P692" i="1"/>
  <c r="Q692" i="1"/>
  <c r="O693" i="1"/>
  <c r="P693" i="1"/>
  <c r="Q693" i="1"/>
  <c r="O694" i="1"/>
  <c r="P694" i="1"/>
  <c r="Q694" i="1"/>
  <c r="O695" i="1"/>
  <c r="P695" i="1"/>
  <c r="Q695" i="1"/>
  <c r="O696" i="1"/>
  <c r="P696" i="1"/>
  <c r="Q696" i="1"/>
  <c r="O697" i="1"/>
  <c r="P697" i="1"/>
  <c r="Q697" i="1"/>
  <c r="O698" i="1"/>
  <c r="P698" i="1"/>
  <c r="Q698" i="1"/>
  <c r="O699" i="1"/>
  <c r="P699" i="1"/>
  <c r="Q699" i="1"/>
  <c r="O700" i="1"/>
  <c r="P700" i="1"/>
  <c r="Q700" i="1"/>
  <c r="O701" i="1"/>
  <c r="P701" i="1"/>
  <c r="Q701" i="1"/>
  <c r="O702" i="1"/>
  <c r="P702" i="1"/>
  <c r="Q702" i="1"/>
  <c r="O703" i="1"/>
  <c r="P703" i="1"/>
  <c r="Q703" i="1"/>
  <c r="O704" i="1"/>
  <c r="P704" i="1"/>
  <c r="Q704" i="1"/>
  <c r="O705" i="1"/>
  <c r="P705" i="1"/>
  <c r="Q705" i="1"/>
  <c r="O706" i="1"/>
  <c r="P706" i="1"/>
  <c r="Q706" i="1"/>
  <c r="O707" i="1"/>
  <c r="P707" i="1"/>
  <c r="Q707" i="1"/>
  <c r="O708" i="1"/>
  <c r="P708" i="1"/>
  <c r="Q708" i="1"/>
  <c r="O709" i="1"/>
  <c r="P709" i="1"/>
  <c r="Q709" i="1"/>
  <c r="O710" i="1"/>
  <c r="P710" i="1"/>
  <c r="Q710" i="1"/>
  <c r="O711" i="1"/>
  <c r="P711" i="1"/>
  <c r="Q711" i="1"/>
  <c r="O712" i="1"/>
  <c r="P712" i="1"/>
  <c r="Q712" i="1"/>
  <c r="O713" i="1"/>
  <c r="P713" i="1"/>
  <c r="Q713" i="1"/>
  <c r="O714" i="1"/>
  <c r="P714" i="1"/>
  <c r="Q714" i="1"/>
  <c r="O715" i="1"/>
  <c r="P715" i="1"/>
  <c r="Q715" i="1"/>
  <c r="O716" i="1"/>
  <c r="P716" i="1"/>
  <c r="Q716" i="1"/>
  <c r="O717" i="1"/>
  <c r="P717" i="1"/>
  <c r="Q717" i="1"/>
  <c r="O718" i="1"/>
  <c r="P718" i="1"/>
  <c r="Q718" i="1"/>
  <c r="O719" i="1"/>
  <c r="P719" i="1"/>
  <c r="Q719" i="1"/>
  <c r="O720" i="1"/>
  <c r="P720" i="1"/>
  <c r="Q720" i="1"/>
  <c r="O721" i="1"/>
  <c r="P721" i="1"/>
  <c r="Q721" i="1"/>
  <c r="O722" i="1"/>
  <c r="P722" i="1"/>
  <c r="Q722" i="1"/>
  <c r="O723" i="1"/>
  <c r="P723" i="1"/>
  <c r="Q723" i="1"/>
  <c r="O724" i="1"/>
  <c r="P724" i="1"/>
  <c r="Q724" i="1"/>
  <c r="O725" i="1"/>
  <c r="P725" i="1"/>
  <c r="Q725" i="1"/>
  <c r="O726" i="1"/>
  <c r="P726" i="1"/>
  <c r="Q726" i="1"/>
  <c r="O727" i="1"/>
  <c r="P727" i="1"/>
  <c r="Q727" i="1"/>
  <c r="O728" i="1"/>
  <c r="P728" i="1"/>
  <c r="Q728" i="1"/>
  <c r="O729" i="1"/>
  <c r="P729" i="1"/>
  <c r="Q729" i="1"/>
  <c r="O730" i="1"/>
  <c r="P730" i="1"/>
  <c r="Q730" i="1"/>
  <c r="O731" i="1"/>
  <c r="P731" i="1"/>
  <c r="Q731" i="1"/>
  <c r="O732" i="1"/>
  <c r="P732" i="1"/>
  <c r="Q732" i="1"/>
  <c r="O733" i="1"/>
  <c r="P733" i="1"/>
  <c r="Q733" i="1"/>
  <c r="O734" i="1"/>
  <c r="P734" i="1"/>
  <c r="Q734" i="1"/>
  <c r="O735" i="1"/>
  <c r="P735" i="1"/>
  <c r="Q735" i="1"/>
  <c r="O736" i="1"/>
  <c r="P736" i="1"/>
  <c r="Q736" i="1"/>
  <c r="O737" i="1"/>
  <c r="P737" i="1"/>
  <c r="Q737" i="1"/>
  <c r="O738" i="1"/>
  <c r="P738" i="1"/>
  <c r="Q738" i="1"/>
  <c r="O739" i="1"/>
  <c r="P739" i="1"/>
  <c r="Q739" i="1"/>
  <c r="O740" i="1"/>
  <c r="P740" i="1"/>
  <c r="Q740" i="1"/>
  <c r="O741" i="1"/>
  <c r="P741" i="1"/>
  <c r="Q741" i="1"/>
  <c r="O742" i="1"/>
  <c r="P742" i="1"/>
  <c r="Q742" i="1"/>
  <c r="O743" i="1"/>
  <c r="P743" i="1"/>
  <c r="Q743" i="1"/>
  <c r="O744" i="1"/>
  <c r="P744" i="1"/>
  <c r="Q744" i="1"/>
  <c r="O745" i="1"/>
  <c r="P745" i="1"/>
  <c r="Q745" i="1"/>
  <c r="O746" i="1"/>
  <c r="P746" i="1"/>
  <c r="Q746" i="1"/>
  <c r="O747" i="1"/>
  <c r="P747" i="1"/>
  <c r="Q747" i="1"/>
  <c r="O748" i="1"/>
  <c r="P748" i="1"/>
  <c r="Q748" i="1"/>
  <c r="O749" i="1"/>
  <c r="P749" i="1"/>
  <c r="Q749" i="1"/>
  <c r="O750" i="1"/>
  <c r="P750" i="1"/>
  <c r="Q750" i="1"/>
  <c r="O751" i="1"/>
  <c r="P751" i="1"/>
  <c r="Q751" i="1"/>
  <c r="O752" i="1"/>
  <c r="P752" i="1"/>
  <c r="Q752" i="1"/>
  <c r="O753" i="1"/>
  <c r="P753" i="1"/>
  <c r="Q753" i="1"/>
  <c r="O754" i="1"/>
  <c r="P754" i="1"/>
  <c r="Q754" i="1"/>
  <c r="O755" i="1"/>
  <c r="P755" i="1"/>
  <c r="Q755" i="1"/>
  <c r="O756" i="1"/>
  <c r="P756" i="1"/>
  <c r="Q756" i="1"/>
  <c r="O757" i="1"/>
  <c r="P757" i="1"/>
  <c r="Q757" i="1"/>
  <c r="O758" i="1"/>
  <c r="P758" i="1"/>
  <c r="Q758" i="1"/>
  <c r="O759" i="1"/>
  <c r="P759" i="1"/>
  <c r="Q759" i="1"/>
  <c r="O760" i="1"/>
  <c r="P760" i="1"/>
  <c r="Q760" i="1"/>
  <c r="O761" i="1"/>
  <c r="P761" i="1"/>
  <c r="Q761" i="1"/>
  <c r="O762" i="1"/>
  <c r="P762" i="1"/>
  <c r="Q762" i="1"/>
  <c r="O763" i="1"/>
  <c r="P763" i="1"/>
  <c r="Q763" i="1"/>
  <c r="O764" i="1"/>
  <c r="P764" i="1"/>
  <c r="Q764" i="1"/>
  <c r="O765" i="1"/>
  <c r="P765" i="1"/>
  <c r="Q765" i="1"/>
  <c r="O766" i="1"/>
  <c r="P766" i="1"/>
  <c r="Q766" i="1"/>
  <c r="O767" i="1"/>
  <c r="P767" i="1"/>
  <c r="Q767" i="1"/>
  <c r="O768" i="1"/>
  <c r="P768" i="1"/>
  <c r="Q768" i="1"/>
  <c r="O769" i="1"/>
  <c r="P769" i="1"/>
  <c r="Q769" i="1"/>
  <c r="O770" i="1"/>
  <c r="P770" i="1"/>
  <c r="Q770" i="1"/>
  <c r="O771" i="1"/>
  <c r="P771" i="1"/>
  <c r="Q771" i="1"/>
  <c r="O772" i="1"/>
  <c r="P772" i="1"/>
  <c r="Q772" i="1"/>
  <c r="O773" i="1"/>
  <c r="P773" i="1"/>
  <c r="Q773" i="1"/>
  <c r="O774" i="1"/>
  <c r="P774" i="1"/>
  <c r="Q774" i="1"/>
  <c r="O775" i="1"/>
  <c r="P775" i="1"/>
  <c r="Q775" i="1"/>
  <c r="O776" i="1"/>
  <c r="P776" i="1"/>
  <c r="Q776" i="1"/>
  <c r="O777" i="1"/>
  <c r="P777" i="1"/>
  <c r="Q777" i="1"/>
  <c r="O778" i="1"/>
  <c r="P778" i="1"/>
  <c r="Q778" i="1"/>
  <c r="O779" i="1"/>
  <c r="P779" i="1"/>
  <c r="Q779" i="1"/>
  <c r="O780" i="1"/>
  <c r="P780" i="1"/>
  <c r="Q780" i="1"/>
  <c r="O781" i="1"/>
  <c r="P781" i="1"/>
  <c r="Q781" i="1"/>
  <c r="O782" i="1"/>
  <c r="P782" i="1"/>
  <c r="Q782" i="1"/>
  <c r="O783" i="1"/>
  <c r="P783" i="1"/>
  <c r="Q783" i="1"/>
  <c r="O784" i="1"/>
  <c r="P784" i="1"/>
  <c r="Q784" i="1"/>
  <c r="O785" i="1"/>
  <c r="P785" i="1"/>
  <c r="Q785" i="1"/>
  <c r="O786" i="1"/>
  <c r="P786" i="1"/>
  <c r="Q786" i="1"/>
  <c r="O787" i="1"/>
  <c r="P787" i="1"/>
  <c r="Q787" i="1"/>
  <c r="O788" i="1"/>
  <c r="P788" i="1"/>
  <c r="Q788" i="1"/>
  <c r="O789" i="1"/>
  <c r="P789" i="1"/>
  <c r="Q789" i="1"/>
  <c r="O790" i="1"/>
  <c r="P790" i="1"/>
  <c r="Q790" i="1"/>
  <c r="O791" i="1"/>
  <c r="P791" i="1"/>
  <c r="Q791" i="1"/>
  <c r="O792" i="1"/>
  <c r="P792" i="1"/>
  <c r="Q792" i="1"/>
  <c r="O793" i="1"/>
  <c r="P793" i="1"/>
  <c r="Q793" i="1"/>
  <c r="O794" i="1"/>
  <c r="P794" i="1"/>
  <c r="Q794" i="1"/>
  <c r="O795" i="1"/>
  <c r="P795" i="1"/>
  <c r="Q795" i="1"/>
  <c r="O796" i="1"/>
  <c r="P796" i="1"/>
  <c r="Q796" i="1"/>
  <c r="O797" i="1"/>
  <c r="P797" i="1"/>
  <c r="Q797" i="1"/>
  <c r="O798" i="1"/>
  <c r="P798" i="1"/>
  <c r="Q798" i="1"/>
  <c r="O799" i="1"/>
  <c r="P799" i="1"/>
  <c r="Q799" i="1"/>
  <c r="O800" i="1"/>
  <c r="P800" i="1"/>
  <c r="Q800" i="1"/>
  <c r="O801" i="1"/>
  <c r="P801" i="1"/>
  <c r="Q801" i="1"/>
  <c r="O802" i="1"/>
  <c r="P802" i="1"/>
  <c r="Q802" i="1"/>
  <c r="O803" i="1"/>
  <c r="P803" i="1"/>
  <c r="Q803" i="1"/>
  <c r="O804" i="1"/>
  <c r="P804" i="1"/>
  <c r="Q804" i="1"/>
  <c r="O805" i="1"/>
  <c r="P805" i="1"/>
  <c r="Q805" i="1"/>
  <c r="O806" i="1"/>
  <c r="P806" i="1"/>
  <c r="Q806" i="1"/>
  <c r="O807" i="1"/>
  <c r="P807" i="1"/>
  <c r="Q807" i="1"/>
  <c r="O808" i="1"/>
  <c r="P808" i="1"/>
  <c r="Q808" i="1"/>
  <c r="O809" i="1"/>
  <c r="P809" i="1"/>
  <c r="Q809" i="1"/>
  <c r="O810" i="1"/>
  <c r="P810" i="1"/>
  <c r="Q810" i="1"/>
  <c r="O811" i="1"/>
  <c r="P811" i="1"/>
  <c r="Q811" i="1"/>
  <c r="O812" i="1"/>
  <c r="P812" i="1"/>
  <c r="Q812" i="1"/>
  <c r="O813" i="1"/>
  <c r="P813" i="1"/>
  <c r="Q813" i="1"/>
  <c r="O814" i="1"/>
  <c r="P814" i="1"/>
  <c r="Q814" i="1"/>
  <c r="O815" i="1"/>
  <c r="P815" i="1"/>
  <c r="Q815" i="1"/>
  <c r="O816" i="1"/>
  <c r="P816" i="1"/>
  <c r="Q816" i="1"/>
  <c r="O817" i="1"/>
  <c r="P817" i="1"/>
  <c r="Q817" i="1"/>
  <c r="O818" i="1"/>
  <c r="P818" i="1"/>
  <c r="Q818" i="1"/>
  <c r="O819" i="1"/>
  <c r="P819" i="1"/>
  <c r="Q819" i="1"/>
  <c r="O820" i="1"/>
  <c r="P820" i="1"/>
  <c r="Q820" i="1"/>
  <c r="O821" i="1"/>
  <c r="P821" i="1"/>
  <c r="Q821" i="1"/>
  <c r="O822" i="1"/>
  <c r="P822" i="1"/>
  <c r="Q822" i="1"/>
  <c r="O823" i="1"/>
  <c r="P823" i="1"/>
  <c r="Q823" i="1"/>
  <c r="O824" i="1"/>
  <c r="P824" i="1"/>
  <c r="Q824" i="1"/>
  <c r="O825" i="1"/>
  <c r="P825" i="1"/>
  <c r="Q825" i="1"/>
  <c r="O826" i="1"/>
  <c r="P826" i="1"/>
  <c r="Q826" i="1"/>
  <c r="O827" i="1"/>
  <c r="P827" i="1"/>
  <c r="Q827" i="1"/>
  <c r="O828" i="1"/>
  <c r="P828" i="1"/>
  <c r="Q828" i="1"/>
  <c r="O829" i="1"/>
  <c r="P829" i="1"/>
  <c r="Q829" i="1"/>
  <c r="O830" i="1"/>
  <c r="P830" i="1"/>
  <c r="Q830" i="1"/>
  <c r="O831" i="1"/>
  <c r="P831" i="1"/>
  <c r="Q831" i="1"/>
  <c r="O832" i="1"/>
  <c r="P832" i="1"/>
  <c r="Q832" i="1"/>
  <c r="O833" i="1"/>
  <c r="P833" i="1"/>
  <c r="Q833" i="1"/>
  <c r="O834" i="1"/>
  <c r="P834" i="1"/>
  <c r="Q834" i="1"/>
  <c r="O835" i="1"/>
  <c r="P835" i="1"/>
  <c r="Q835" i="1"/>
  <c r="O836" i="1"/>
  <c r="P836" i="1"/>
  <c r="Q836" i="1"/>
  <c r="O837" i="1"/>
  <c r="P837" i="1"/>
  <c r="Q837" i="1"/>
  <c r="O838" i="1"/>
  <c r="P838" i="1"/>
  <c r="Q838" i="1"/>
  <c r="O839" i="1"/>
  <c r="P839" i="1"/>
  <c r="Q839" i="1"/>
  <c r="O840" i="1"/>
  <c r="P840" i="1"/>
  <c r="Q840" i="1"/>
  <c r="O841" i="1"/>
  <c r="P841" i="1"/>
  <c r="Q841" i="1"/>
  <c r="O842" i="1"/>
  <c r="P842" i="1"/>
  <c r="Q842" i="1"/>
  <c r="O843" i="1"/>
  <c r="P843" i="1"/>
  <c r="Q843" i="1"/>
  <c r="O844" i="1"/>
  <c r="P844" i="1"/>
  <c r="Q844" i="1"/>
  <c r="O845" i="1"/>
  <c r="P845" i="1"/>
  <c r="Q845" i="1"/>
  <c r="O846" i="1"/>
  <c r="P846" i="1"/>
  <c r="Q846" i="1"/>
  <c r="O847" i="1"/>
  <c r="P847" i="1"/>
  <c r="Q847" i="1"/>
  <c r="O848" i="1"/>
  <c r="P848" i="1"/>
  <c r="Q848" i="1"/>
  <c r="O849" i="1"/>
  <c r="P849" i="1"/>
  <c r="Q849" i="1"/>
  <c r="O850" i="1"/>
  <c r="P850" i="1"/>
  <c r="Q850" i="1"/>
  <c r="O851" i="1"/>
  <c r="P851" i="1"/>
  <c r="Q851" i="1"/>
  <c r="O852" i="1"/>
  <c r="P852" i="1"/>
  <c r="Q852" i="1"/>
  <c r="O853" i="1"/>
  <c r="P853" i="1"/>
  <c r="Q853" i="1"/>
  <c r="O854" i="1"/>
  <c r="P854" i="1"/>
  <c r="Q854" i="1"/>
  <c r="O855" i="1"/>
  <c r="P855" i="1"/>
  <c r="Q855" i="1"/>
  <c r="O856" i="1"/>
  <c r="P856" i="1"/>
  <c r="Q856" i="1"/>
  <c r="O857" i="1"/>
  <c r="P857" i="1"/>
  <c r="Q857" i="1"/>
  <c r="O858" i="1"/>
  <c r="P858" i="1"/>
  <c r="Q858" i="1"/>
  <c r="O859" i="1"/>
  <c r="P859" i="1"/>
  <c r="Q859" i="1"/>
  <c r="O860" i="1"/>
  <c r="P860" i="1"/>
  <c r="Q860" i="1"/>
  <c r="O861" i="1"/>
  <c r="P861" i="1"/>
  <c r="Q861" i="1"/>
  <c r="O862" i="1"/>
  <c r="P862" i="1"/>
  <c r="Q862" i="1"/>
  <c r="O863" i="1"/>
  <c r="P863" i="1"/>
  <c r="Q863" i="1"/>
  <c r="O864" i="1"/>
  <c r="P864" i="1"/>
  <c r="Q864" i="1"/>
  <c r="O865" i="1"/>
  <c r="P865" i="1"/>
  <c r="Q865" i="1"/>
  <c r="O866" i="1"/>
  <c r="P866" i="1"/>
  <c r="Q866" i="1"/>
  <c r="O867" i="1"/>
  <c r="P867" i="1"/>
  <c r="Q867" i="1"/>
  <c r="O868" i="1"/>
  <c r="P868" i="1"/>
  <c r="Q868" i="1"/>
  <c r="O869" i="1"/>
  <c r="P869" i="1"/>
  <c r="Q869" i="1"/>
  <c r="O870" i="1"/>
  <c r="P870" i="1"/>
  <c r="Q870" i="1"/>
  <c r="O871" i="1"/>
  <c r="P871" i="1"/>
  <c r="Q871" i="1"/>
  <c r="O872" i="1"/>
  <c r="P872" i="1"/>
  <c r="Q872" i="1"/>
  <c r="O873" i="1"/>
  <c r="P873" i="1"/>
  <c r="Q873" i="1"/>
  <c r="O874" i="1"/>
  <c r="P874" i="1"/>
  <c r="Q874" i="1"/>
  <c r="O875" i="1"/>
  <c r="P875" i="1"/>
  <c r="Q875" i="1"/>
  <c r="O876" i="1"/>
  <c r="P876" i="1"/>
  <c r="Q876" i="1"/>
  <c r="O877" i="1"/>
  <c r="P877" i="1"/>
  <c r="Q877" i="1"/>
  <c r="O878" i="1"/>
  <c r="P878" i="1"/>
  <c r="Q878" i="1"/>
  <c r="O879" i="1"/>
  <c r="P879" i="1"/>
  <c r="Q879" i="1"/>
  <c r="O880" i="1"/>
  <c r="P880" i="1"/>
  <c r="Q880" i="1"/>
  <c r="O881" i="1"/>
  <c r="P881" i="1"/>
  <c r="Q881" i="1"/>
  <c r="O882" i="1"/>
  <c r="P882" i="1"/>
  <c r="Q882" i="1"/>
  <c r="O883" i="1"/>
  <c r="P883" i="1"/>
  <c r="Q883" i="1"/>
  <c r="O884" i="1"/>
  <c r="P884" i="1"/>
  <c r="Q884" i="1"/>
  <c r="O885" i="1"/>
  <c r="P885" i="1"/>
  <c r="Q885" i="1"/>
  <c r="O886" i="1"/>
  <c r="P886" i="1"/>
  <c r="Q886" i="1"/>
  <c r="O887" i="1"/>
  <c r="P887" i="1"/>
  <c r="Q887" i="1"/>
  <c r="O888" i="1"/>
  <c r="P888" i="1"/>
  <c r="Q888" i="1"/>
  <c r="O889" i="1"/>
  <c r="P889" i="1"/>
  <c r="Q889" i="1"/>
  <c r="O890" i="1"/>
  <c r="P890" i="1"/>
  <c r="Q890" i="1"/>
  <c r="O891" i="1"/>
  <c r="P891" i="1"/>
  <c r="Q891" i="1"/>
  <c r="O892" i="1"/>
  <c r="P892" i="1"/>
  <c r="Q892" i="1"/>
  <c r="O893" i="1"/>
  <c r="P893" i="1"/>
  <c r="Q893" i="1"/>
  <c r="O894" i="1"/>
  <c r="P894" i="1"/>
  <c r="Q894" i="1"/>
  <c r="O895" i="1"/>
  <c r="P895" i="1"/>
  <c r="Q895" i="1"/>
  <c r="O896" i="1"/>
  <c r="P896" i="1"/>
  <c r="Q896" i="1"/>
  <c r="O897" i="1"/>
  <c r="P897" i="1"/>
  <c r="Q897" i="1"/>
  <c r="O898" i="1"/>
  <c r="P898" i="1"/>
  <c r="Q898" i="1"/>
  <c r="O899" i="1"/>
  <c r="P899" i="1"/>
  <c r="Q899" i="1"/>
  <c r="O900" i="1"/>
  <c r="P900" i="1"/>
  <c r="Q900" i="1"/>
  <c r="O901" i="1"/>
  <c r="P901" i="1"/>
  <c r="Q901" i="1"/>
  <c r="O902" i="1"/>
  <c r="P902" i="1"/>
  <c r="Q902" i="1"/>
  <c r="O903" i="1"/>
  <c r="P903" i="1"/>
  <c r="Q903" i="1"/>
  <c r="O904" i="1"/>
  <c r="P904" i="1"/>
  <c r="Q904" i="1"/>
  <c r="O905" i="1"/>
  <c r="P905" i="1"/>
  <c r="Q905" i="1"/>
  <c r="O906" i="1"/>
  <c r="P906" i="1"/>
  <c r="Q906" i="1"/>
  <c r="O907" i="1"/>
  <c r="P907" i="1"/>
  <c r="Q907" i="1"/>
  <c r="O908" i="1"/>
  <c r="P908" i="1"/>
  <c r="Q908" i="1"/>
  <c r="O909" i="1"/>
  <c r="P909" i="1"/>
  <c r="Q909" i="1"/>
  <c r="O910" i="1"/>
  <c r="P910" i="1"/>
  <c r="Q910" i="1"/>
  <c r="O911" i="1"/>
  <c r="P911" i="1"/>
  <c r="Q911" i="1"/>
  <c r="O912" i="1"/>
  <c r="P912" i="1"/>
  <c r="Q912" i="1"/>
  <c r="O913" i="1"/>
  <c r="P913" i="1"/>
  <c r="Q913" i="1"/>
  <c r="O914" i="1"/>
  <c r="P914" i="1"/>
  <c r="Q914" i="1"/>
  <c r="O915" i="1"/>
  <c r="P915" i="1"/>
  <c r="Q915" i="1"/>
  <c r="O916" i="1"/>
  <c r="P916" i="1"/>
  <c r="Q916" i="1"/>
  <c r="O917" i="1"/>
  <c r="P917" i="1"/>
  <c r="Q917" i="1"/>
  <c r="O918" i="1"/>
  <c r="P918" i="1"/>
  <c r="Q918" i="1"/>
  <c r="O919" i="1"/>
  <c r="P919" i="1"/>
  <c r="Q919" i="1"/>
  <c r="O920" i="1"/>
  <c r="P920" i="1"/>
  <c r="Q920" i="1"/>
  <c r="O921" i="1"/>
  <c r="P921" i="1"/>
  <c r="Q921" i="1"/>
  <c r="O922" i="1"/>
  <c r="P922" i="1"/>
  <c r="Q922" i="1"/>
  <c r="O923" i="1"/>
  <c r="P923" i="1"/>
  <c r="Q923" i="1"/>
  <c r="O924" i="1"/>
  <c r="P924" i="1"/>
  <c r="Q924" i="1"/>
  <c r="O925" i="1"/>
  <c r="P925" i="1"/>
  <c r="Q925" i="1"/>
  <c r="O926" i="1"/>
  <c r="P926" i="1"/>
  <c r="Q926" i="1"/>
  <c r="O927" i="1"/>
  <c r="P927" i="1"/>
  <c r="Q927" i="1"/>
  <c r="O928" i="1"/>
  <c r="P928" i="1"/>
  <c r="Q928" i="1"/>
  <c r="O929" i="1"/>
  <c r="P929" i="1"/>
  <c r="Q929" i="1"/>
  <c r="O930" i="1"/>
  <c r="P930" i="1"/>
  <c r="Q930" i="1"/>
  <c r="O931" i="1"/>
  <c r="P931" i="1"/>
  <c r="Q931" i="1"/>
  <c r="O932" i="1"/>
  <c r="P932" i="1"/>
  <c r="Q932" i="1"/>
  <c r="O933" i="1"/>
  <c r="P933" i="1"/>
  <c r="Q933" i="1"/>
  <c r="O934" i="1"/>
  <c r="P934" i="1"/>
  <c r="Q934" i="1"/>
  <c r="O935" i="1"/>
  <c r="P935" i="1"/>
  <c r="Q935" i="1"/>
  <c r="O936" i="1"/>
  <c r="P936" i="1"/>
  <c r="Q936" i="1"/>
  <c r="O937" i="1"/>
  <c r="P937" i="1"/>
  <c r="Q937" i="1"/>
  <c r="O938" i="1"/>
  <c r="P938" i="1"/>
  <c r="Q938" i="1"/>
  <c r="O939" i="1"/>
  <c r="P939" i="1"/>
  <c r="Q939" i="1"/>
  <c r="O940" i="1"/>
  <c r="P940" i="1"/>
  <c r="Q940" i="1"/>
  <c r="O941" i="1"/>
  <c r="P941" i="1"/>
  <c r="Q941" i="1"/>
  <c r="O942" i="1"/>
  <c r="P942" i="1"/>
  <c r="Q942" i="1"/>
  <c r="O943" i="1"/>
  <c r="P943" i="1"/>
  <c r="Q943" i="1"/>
  <c r="O944" i="1"/>
  <c r="P944" i="1"/>
  <c r="Q944" i="1"/>
  <c r="O945" i="1"/>
  <c r="P945" i="1"/>
  <c r="Q945" i="1"/>
  <c r="O946" i="1"/>
  <c r="P946" i="1"/>
  <c r="Q946" i="1"/>
  <c r="O947" i="1"/>
  <c r="P947" i="1"/>
  <c r="Q947" i="1"/>
  <c r="O948" i="1"/>
  <c r="P948" i="1"/>
  <c r="Q948" i="1"/>
  <c r="O949" i="1"/>
  <c r="P949" i="1"/>
  <c r="Q949" i="1"/>
  <c r="O950" i="1"/>
  <c r="P950" i="1"/>
  <c r="Q950" i="1"/>
  <c r="O951" i="1"/>
  <c r="P951" i="1"/>
  <c r="Q951" i="1"/>
  <c r="O952" i="1"/>
  <c r="P952" i="1"/>
  <c r="Q952" i="1"/>
  <c r="O953" i="1"/>
  <c r="P953" i="1"/>
  <c r="Q953" i="1"/>
  <c r="O954" i="1"/>
  <c r="P954" i="1"/>
  <c r="Q954" i="1"/>
  <c r="O955" i="1"/>
  <c r="P955" i="1"/>
  <c r="Q955" i="1"/>
  <c r="O956" i="1"/>
  <c r="P956" i="1"/>
  <c r="Q956" i="1"/>
  <c r="O957" i="1"/>
  <c r="P957" i="1"/>
  <c r="Q957" i="1"/>
  <c r="O958" i="1"/>
  <c r="P958" i="1"/>
  <c r="Q958" i="1"/>
  <c r="O959" i="1"/>
  <c r="P959" i="1"/>
  <c r="Q959" i="1"/>
  <c r="O960" i="1"/>
  <c r="P960" i="1"/>
  <c r="Q960" i="1"/>
  <c r="O961" i="1"/>
  <c r="P961" i="1"/>
  <c r="Q961" i="1"/>
  <c r="O962" i="1"/>
  <c r="P962" i="1"/>
  <c r="Q962" i="1"/>
  <c r="O963" i="1"/>
  <c r="P963" i="1"/>
  <c r="Q963" i="1"/>
  <c r="O964" i="1"/>
  <c r="P964" i="1"/>
  <c r="Q964" i="1"/>
  <c r="O965" i="1"/>
  <c r="P965" i="1"/>
  <c r="Q965" i="1"/>
  <c r="O966" i="1"/>
  <c r="P966" i="1"/>
  <c r="Q966" i="1"/>
  <c r="O967" i="1"/>
  <c r="P967" i="1"/>
  <c r="Q967" i="1"/>
  <c r="O968" i="1"/>
  <c r="P968" i="1"/>
  <c r="Q968" i="1"/>
  <c r="O969" i="1"/>
  <c r="P969" i="1"/>
  <c r="Q969" i="1"/>
  <c r="O970" i="1"/>
  <c r="P970" i="1"/>
  <c r="Q970" i="1"/>
  <c r="O971" i="1"/>
  <c r="P971" i="1"/>
  <c r="Q971" i="1"/>
  <c r="O972" i="1"/>
  <c r="P972" i="1"/>
  <c r="Q972" i="1"/>
  <c r="O973" i="1"/>
  <c r="P973" i="1"/>
  <c r="Q973" i="1"/>
  <c r="O974" i="1"/>
  <c r="P974" i="1"/>
  <c r="Q974" i="1"/>
  <c r="O975" i="1"/>
  <c r="P975" i="1"/>
  <c r="Q975" i="1"/>
  <c r="O976" i="1"/>
  <c r="P976" i="1"/>
  <c r="Q976" i="1"/>
  <c r="O977" i="1"/>
  <c r="P977" i="1"/>
  <c r="Q977" i="1"/>
  <c r="O978" i="1"/>
  <c r="P978" i="1"/>
  <c r="Q978" i="1"/>
  <c r="O979" i="1"/>
  <c r="P979" i="1"/>
  <c r="Q979" i="1"/>
  <c r="O980" i="1"/>
  <c r="P980" i="1"/>
  <c r="Q980" i="1"/>
  <c r="O981" i="1"/>
  <c r="P981" i="1"/>
  <c r="Q981" i="1"/>
  <c r="O982" i="1"/>
  <c r="P982" i="1"/>
  <c r="Q982" i="1"/>
  <c r="O983" i="1"/>
  <c r="P983" i="1"/>
  <c r="Q983" i="1"/>
  <c r="O984" i="1"/>
  <c r="P984" i="1"/>
  <c r="Q984" i="1"/>
  <c r="O985" i="1"/>
  <c r="P985" i="1"/>
  <c r="Q985" i="1"/>
  <c r="O986" i="1"/>
  <c r="P986" i="1"/>
  <c r="Q986" i="1"/>
  <c r="O987" i="1"/>
  <c r="P987" i="1"/>
  <c r="Q987" i="1"/>
  <c r="O988" i="1"/>
  <c r="P988" i="1"/>
  <c r="Q988" i="1"/>
  <c r="O989" i="1"/>
  <c r="P989" i="1"/>
  <c r="Q989" i="1"/>
  <c r="O990" i="1"/>
  <c r="P990" i="1"/>
  <c r="Q990" i="1"/>
  <c r="O991" i="1"/>
  <c r="P991" i="1"/>
  <c r="Q991" i="1"/>
  <c r="O992" i="1"/>
  <c r="P992" i="1"/>
  <c r="Q992" i="1"/>
  <c r="O993" i="1"/>
  <c r="P993" i="1"/>
  <c r="Q993" i="1"/>
  <c r="O994" i="1"/>
  <c r="P994" i="1"/>
  <c r="Q994" i="1"/>
  <c r="O995" i="1"/>
  <c r="P995" i="1"/>
  <c r="Q995" i="1"/>
  <c r="O996" i="1"/>
  <c r="P996" i="1"/>
  <c r="Q996" i="1"/>
  <c r="O997" i="1"/>
  <c r="P997" i="1"/>
  <c r="Q997" i="1"/>
  <c r="O998" i="1"/>
  <c r="P998" i="1"/>
  <c r="Q998" i="1"/>
  <c r="O999" i="1"/>
  <c r="P999" i="1"/>
  <c r="Q999" i="1"/>
  <c r="O1000" i="1"/>
  <c r="P1000" i="1"/>
  <c r="Q1000" i="1"/>
  <c r="O1001" i="1"/>
  <c r="P1001" i="1"/>
  <c r="Q1001" i="1"/>
  <c r="O1002" i="1"/>
  <c r="P1002" i="1"/>
  <c r="Q1002" i="1"/>
  <c r="O1003" i="1"/>
  <c r="P1003" i="1"/>
  <c r="Q1003" i="1"/>
  <c r="O1004" i="1"/>
  <c r="P1004" i="1"/>
  <c r="Q1004" i="1"/>
  <c r="O1005" i="1"/>
  <c r="P1005" i="1"/>
  <c r="Q1005" i="1"/>
  <c r="O1006" i="1"/>
  <c r="P1006" i="1"/>
  <c r="Q1006" i="1"/>
  <c r="O1007" i="1"/>
  <c r="P1007" i="1"/>
  <c r="Q1007" i="1"/>
  <c r="O1008" i="1"/>
  <c r="P1008" i="1"/>
  <c r="Q1008" i="1"/>
  <c r="O1009" i="1"/>
  <c r="P1009" i="1"/>
  <c r="Q1009" i="1"/>
  <c r="O1010" i="1"/>
  <c r="P1010" i="1"/>
  <c r="Q1010" i="1"/>
  <c r="O1011" i="1"/>
  <c r="P1011" i="1"/>
  <c r="Q1011" i="1"/>
  <c r="O1012" i="1"/>
  <c r="P1012" i="1"/>
  <c r="Q1012" i="1"/>
  <c r="O1013" i="1"/>
  <c r="P1013" i="1"/>
  <c r="Q1013" i="1"/>
  <c r="O1014" i="1"/>
  <c r="P1014" i="1"/>
  <c r="Q1014" i="1"/>
  <c r="O1015" i="1"/>
  <c r="P1015" i="1"/>
  <c r="Q1015" i="1"/>
  <c r="O1016" i="1"/>
  <c r="P1016" i="1"/>
  <c r="Q1016" i="1"/>
  <c r="O1017" i="1"/>
  <c r="P1017" i="1"/>
  <c r="Q1017" i="1"/>
  <c r="O1018" i="1"/>
  <c r="P1018" i="1"/>
  <c r="Q1018" i="1"/>
  <c r="O1019" i="1"/>
  <c r="P1019" i="1"/>
  <c r="Q1019" i="1"/>
  <c r="O1020" i="1"/>
  <c r="P1020" i="1"/>
  <c r="Q1020" i="1"/>
  <c r="O1021" i="1"/>
  <c r="P1021" i="1"/>
  <c r="Q1021" i="1"/>
  <c r="O1022" i="1"/>
  <c r="P1022" i="1"/>
  <c r="Q1022" i="1"/>
  <c r="O1023" i="1"/>
  <c r="P1023" i="1"/>
  <c r="Q1023" i="1"/>
  <c r="O1024" i="1"/>
  <c r="P1024" i="1"/>
  <c r="Q1024" i="1"/>
  <c r="O1025" i="1"/>
  <c r="P1025" i="1"/>
  <c r="Q1025" i="1"/>
  <c r="O1026" i="1"/>
  <c r="P1026" i="1"/>
  <c r="Q1026" i="1"/>
  <c r="O1027" i="1"/>
  <c r="P1027" i="1"/>
  <c r="Q1027" i="1"/>
  <c r="O1028" i="1"/>
  <c r="P1028" i="1"/>
  <c r="Q1028" i="1"/>
  <c r="O1029" i="1"/>
  <c r="P1029" i="1"/>
  <c r="Q1029" i="1"/>
  <c r="O1030" i="1"/>
  <c r="P1030" i="1"/>
  <c r="Q1030" i="1"/>
  <c r="O1031" i="1"/>
  <c r="P1031" i="1"/>
  <c r="Q1031" i="1"/>
  <c r="O1032" i="1"/>
  <c r="P1032" i="1"/>
  <c r="Q1032" i="1"/>
  <c r="O1033" i="1"/>
  <c r="P1033" i="1"/>
  <c r="Q1033" i="1"/>
  <c r="O1034" i="1"/>
  <c r="P1034" i="1"/>
  <c r="Q1034" i="1"/>
  <c r="O1035" i="1"/>
  <c r="P1035" i="1"/>
  <c r="Q1035" i="1"/>
  <c r="O1036" i="1"/>
  <c r="P1036" i="1"/>
  <c r="Q1036" i="1"/>
  <c r="O1037" i="1"/>
  <c r="P1037" i="1"/>
  <c r="Q1037" i="1"/>
  <c r="O1038" i="1"/>
  <c r="P1038" i="1"/>
  <c r="Q1038" i="1"/>
  <c r="O1039" i="1"/>
  <c r="P1039" i="1"/>
  <c r="Q1039" i="1"/>
  <c r="O1040" i="1"/>
  <c r="P1040" i="1"/>
  <c r="Q1040" i="1"/>
  <c r="O1041" i="1"/>
  <c r="P1041" i="1"/>
  <c r="Q1041" i="1"/>
  <c r="O1042" i="1"/>
  <c r="P1042" i="1"/>
  <c r="Q1042" i="1"/>
  <c r="O1043" i="1"/>
  <c r="P1043" i="1"/>
  <c r="Q1043" i="1"/>
  <c r="O1044" i="1"/>
  <c r="P1044" i="1"/>
  <c r="Q1044" i="1"/>
  <c r="O1045" i="1"/>
  <c r="P1045" i="1"/>
  <c r="Q1045" i="1"/>
  <c r="O1046" i="1"/>
  <c r="P1046" i="1"/>
  <c r="Q1046" i="1"/>
  <c r="O1047" i="1"/>
  <c r="P1047" i="1"/>
  <c r="Q1047" i="1"/>
  <c r="O1048" i="1"/>
  <c r="P1048" i="1"/>
  <c r="Q1048" i="1"/>
  <c r="O1049" i="1"/>
  <c r="P1049" i="1"/>
  <c r="Q1049" i="1"/>
  <c r="O1050" i="1"/>
  <c r="P1050" i="1"/>
  <c r="Q1050" i="1"/>
</calcChain>
</file>

<file path=xl/sharedStrings.xml><?xml version="1.0" encoding="utf-8"?>
<sst xmlns="http://schemas.openxmlformats.org/spreadsheetml/2006/main" count="2244" uniqueCount="1247">
  <si>
    <t>Variable</t>
  </si>
  <si>
    <t>Definition</t>
  </si>
  <si>
    <t>ID, date, categorical, or quantitative?</t>
  </si>
  <si>
    <t>Customers Removed</t>
  </si>
  <si>
    <t>Customer ID</t>
  </si>
  <si>
    <t>ID for customer</t>
  </si>
  <si>
    <t>ID</t>
  </si>
  <si>
    <t>First Removal</t>
  </si>
  <si>
    <t>Second Removal</t>
  </si>
  <si>
    <t>Third Removal</t>
  </si>
  <si>
    <t>State</t>
  </si>
  <si>
    <t>State or province of the customer</t>
  </si>
  <si>
    <t>Categorical</t>
  </si>
  <si>
    <t>Postcode</t>
  </si>
  <si>
    <t>Postcode of the customer</t>
  </si>
  <si>
    <t>Registration date</t>
  </si>
  <si>
    <t>Date the customer registered on the website</t>
  </si>
  <si>
    <t>Date</t>
  </si>
  <si>
    <t>Last site visit</t>
  </si>
  <si>
    <t>Date of the last site visit of the customer</t>
  </si>
  <si>
    <t>Number of site visits</t>
  </si>
  <si>
    <t>Number of site visits by the customer</t>
  </si>
  <si>
    <t>Quantitative</t>
  </si>
  <si>
    <t>Number of product page views</t>
  </si>
  <si>
    <t>Number of product page views by the customer</t>
  </si>
  <si>
    <t>Number of add to cart events</t>
  </si>
  <si>
    <t>Number of add to cart events by the customer</t>
  </si>
  <si>
    <t>Number of checkout events</t>
  </si>
  <si>
    <t>Number of checkout events by the customer</t>
  </si>
  <si>
    <t>Number of orders placed</t>
  </si>
  <si>
    <t>Number of orders placed by the customer</t>
  </si>
  <si>
    <t>Items purchased</t>
  </si>
  <si>
    <t>Total items purchased to date</t>
  </si>
  <si>
    <t>First order revenue</t>
  </si>
  <si>
    <t>Revenue from first order of the customer</t>
  </si>
  <si>
    <t>First order purchase date</t>
  </si>
  <si>
    <t>First Order Purchase Day</t>
  </si>
  <si>
    <t>First order purchase date: Day of Month</t>
  </si>
  <si>
    <t>First Order Purchase Weekday</t>
  </si>
  <si>
    <t>First order purchase date: Weekday</t>
  </si>
  <si>
    <t>First Order Purchase Hour</t>
  </si>
  <si>
    <t>First order purchase date: Hour</t>
  </si>
  <si>
    <t>First Order Revenue</t>
  </si>
  <si>
    <t>Count of First Order Revenue</t>
  </si>
  <si>
    <t>Column1</t>
  </si>
  <si>
    <t>6.75-21.75</t>
  </si>
  <si>
    <t>21.75-36.75</t>
  </si>
  <si>
    <t>Mean</t>
  </si>
  <si>
    <t>36.75-51.75</t>
  </si>
  <si>
    <t>Standard Error</t>
  </si>
  <si>
    <t>Bin</t>
  </si>
  <si>
    <t>Frequency</t>
  </si>
  <si>
    <t>51.75-66.75</t>
  </si>
  <si>
    <t>Median</t>
  </si>
  <si>
    <t>66.75-81.75</t>
  </si>
  <si>
    <t>Mode</t>
  </si>
  <si>
    <t>81.75-96.75</t>
  </si>
  <si>
    <t>Standard Deviation</t>
  </si>
  <si>
    <t>96.75-111.75</t>
  </si>
  <si>
    <t>Sample Variance</t>
  </si>
  <si>
    <t>111.75-126.75</t>
  </si>
  <si>
    <t>Kurtosis</t>
  </si>
  <si>
    <t>126.75-141.75</t>
  </si>
  <si>
    <t>Skewness</t>
  </si>
  <si>
    <t>&gt;141.75</t>
  </si>
  <si>
    <t>Range</t>
  </si>
  <si>
    <t>Grand Total</t>
  </si>
  <si>
    <t>Minimum</t>
  </si>
  <si>
    <t>Maximum</t>
  </si>
  <si>
    <t>Sum</t>
  </si>
  <si>
    <t>More</t>
  </si>
  <si>
    <t>Count</t>
  </si>
  <si>
    <t>First Order Purchase Date</t>
  </si>
  <si>
    <t>First Order Purchase day</t>
  </si>
  <si>
    <t>First Order Purchase weekday</t>
  </si>
  <si>
    <t>First Order Purchase hour</t>
  </si>
  <si>
    <t>Georgia</t>
  </si>
  <si>
    <t>30345</t>
  </si>
  <si>
    <t>Arkansas</t>
  </si>
  <si>
    <t>72401</t>
  </si>
  <si>
    <t>Iowa</t>
  </si>
  <si>
    <t>52172</t>
  </si>
  <si>
    <t>50025</t>
  </si>
  <si>
    <t>Virginia</t>
  </si>
  <si>
    <t>24445</t>
  </si>
  <si>
    <t>Florida</t>
  </si>
  <si>
    <t>33472</t>
  </si>
  <si>
    <t>District of Columbia</t>
  </si>
  <si>
    <t>20009</t>
  </si>
  <si>
    <t>Michigan</t>
  </si>
  <si>
    <t>48301</t>
  </si>
  <si>
    <t>Massachusetts</t>
  </si>
  <si>
    <t>02476</t>
  </si>
  <si>
    <t>30329</t>
  </si>
  <si>
    <t>Minnesota</t>
  </si>
  <si>
    <t>55431</t>
  </si>
  <si>
    <t>New York</t>
  </si>
  <si>
    <t>10007</t>
  </si>
  <si>
    <t>Nebraska</t>
  </si>
  <si>
    <t>68128</t>
  </si>
  <si>
    <t>California</t>
  </si>
  <si>
    <t>93460</t>
  </si>
  <si>
    <t>94061</t>
  </si>
  <si>
    <t>Pennsylvania</t>
  </si>
  <si>
    <t>17821</t>
  </si>
  <si>
    <t>16033</t>
  </si>
  <si>
    <t>49201</t>
  </si>
  <si>
    <t>Indiana</t>
  </si>
  <si>
    <t>46601</t>
  </si>
  <si>
    <t>North Carolina</t>
  </si>
  <si>
    <t>28759</t>
  </si>
  <si>
    <t>02072</t>
  </si>
  <si>
    <t>Ohio</t>
  </si>
  <si>
    <t>43402</t>
  </si>
  <si>
    <t>93901</t>
  </si>
  <si>
    <t>33510</t>
  </si>
  <si>
    <t>Colorado</t>
  </si>
  <si>
    <t>81007</t>
  </si>
  <si>
    <t>32832</t>
  </si>
  <si>
    <t>Washington</t>
  </si>
  <si>
    <t>98324</t>
  </si>
  <si>
    <t>01247</t>
  </si>
  <si>
    <t>72211</t>
  </si>
  <si>
    <t>Texas</t>
  </si>
  <si>
    <t>78228</t>
  </si>
  <si>
    <t>98541</t>
  </si>
  <si>
    <t>10038</t>
  </si>
  <si>
    <t>34450</t>
  </si>
  <si>
    <t>90025</t>
  </si>
  <si>
    <t>75904</t>
  </si>
  <si>
    <t>98110</t>
  </si>
  <si>
    <t>New Jersey</t>
  </si>
  <si>
    <t>07631</t>
  </si>
  <si>
    <t>10024</t>
  </si>
  <si>
    <t>Illinois</t>
  </si>
  <si>
    <t>60618</t>
  </si>
  <si>
    <t>95818</t>
  </si>
  <si>
    <t>Oklahoma</t>
  </si>
  <si>
    <t>74137</t>
  </si>
  <si>
    <t>01960</t>
  </si>
  <si>
    <t>28582</t>
  </si>
  <si>
    <t>92067</t>
  </si>
  <si>
    <t>60025</t>
  </si>
  <si>
    <t>46250</t>
  </si>
  <si>
    <t>22205</t>
  </si>
  <si>
    <t>98146</t>
  </si>
  <si>
    <t>08108</t>
  </si>
  <si>
    <t>Maryland</t>
  </si>
  <si>
    <t>21122</t>
  </si>
  <si>
    <t>48092</t>
  </si>
  <si>
    <t>07960</t>
  </si>
  <si>
    <t>11217</t>
  </si>
  <si>
    <t>21286</t>
  </si>
  <si>
    <t>95949</t>
  </si>
  <si>
    <t>01843</t>
  </si>
  <si>
    <t>30308</t>
  </si>
  <si>
    <t>10022</t>
  </si>
  <si>
    <t>10028</t>
  </si>
  <si>
    <t>94596</t>
  </si>
  <si>
    <t>33066</t>
  </si>
  <si>
    <t>95747</t>
  </si>
  <si>
    <t>23455</t>
  </si>
  <si>
    <t>44333</t>
  </si>
  <si>
    <t>27526</t>
  </si>
  <si>
    <t>02038</t>
  </si>
  <si>
    <t>08807</t>
  </si>
  <si>
    <t>01824</t>
  </si>
  <si>
    <t>60559</t>
  </si>
  <si>
    <t>20016</t>
  </si>
  <si>
    <t>17545</t>
  </si>
  <si>
    <t>78739</t>
  </si>
  <si>
    <t>27104</t>
  </si>
  <si>
    <t>14150</t>
  </si>
  <si>
    <t>17313</t>
  </si>
  <si>
    <t>14580</t>
  </si>
  <si>
    <t>90403</t>
  </si>
  <si>
    <t>21001</t>
  </si>
  <si>
    <t>60654</t>
  </si>
  <si>
    <t>33139</t>
  </si>
  <si>
    <t>94109</t>
  </si>
  <si>
    <t>94089</t>
  </si>
  <si>
    <t>32210</t>
  </si>
  <si>
    <t>Utah</t>
  </si>
  <si>
    <t>84108</t>
  </si>
  <si>
    <t>68333</t>
  </si>
  <si>
    <t>77385</t>
  </si>
  <si>
    <t>43035</t>
  </si>
  <si>
    <t>10704</t>
  </si>
  <si>
    <t>77845</t>
  </si>
  <si>
    <t>55125</t>
  </si>
  <si>
    <t>02641</t>
  </si>
  <si>
    <t>10463</t>
  </si>
  <si>
    <t>15120</t>
  </si>
  <si>
    <t>14011</t>
  </si>
  <si>
    <t>74129</t>
  </si>
  <si>
    <t>Kentucky</t>
  </si>
  <si>
    <t>42420</t>
  </si>
  <si>
    <t>31411</t>
  </si>
  <si>
    <t>Louisiana</t>
  </si>
  <si>
    <t>70433</t>
  </si>
  <si>
    <t>75067</t>
  </si>
  <si>
    <t>19422</t>
  </si>
  <si>
    <t>40324</t>
  </si>
  <si>
    <t>98239</t>
  </si>
  <si>
    <t>60178</t>
  </si>
  <si>
    <t>28277</t>
  </si>
  <si>
    <t>14127</t>
  </si>
  <si>
    <t>68818</t>
  </si>
  <si>
    <t>New Hampshire</t>
  </si>
  <si>
    <t>03874</t>
  </si>
  <si>
    <t>Arizona</t>
  </si>
  <si>
    <t>85367</t>
  </si>
  <si>
    <t>Alabama</t>
  </si>
  <si>
    <t>36093</t>
  </si>
  <si>
    <t>33437</t>
  </si>
  <si>
    <t>Rhode Island</t>
  </si>
  <si>
    <t>02888</t>
  </si>
  <si>
    <t>61520</t>
  </si>
  <si>
    <t>16803</t>
  </si>
  <si>
    <t>77079</t>
  </si>
  <si>
    <t>40509</t>
  </si>
  <si>
    <t>14450</t>
  </si>
  <si>
    <t>93401</t>
  </si>
  <si>
    <t>79382</t>
  </si>
  <si>
    <t>03598</t>
  </si>
  <si>
    <t>72015</t>
  </si>
  <si>
    <t>60487</t>
  </si>
  <si>
    <t>77316</t>
  </si>
  <si>
    <t>Mississippi</t>
  </si>
  <si>
    <t>39701</t>
  </si>
  <si>
    <t>92126</t>
  </si>
  <si>
    <t>32320</t>
  </si>
  <si>
    <t>56252</t>
  </si>
  <si>
    <t>94538</t>
  </si>
  <si>
    <t>Oregon</t>
  </si>
  <si>
    <t>97224</t>
  </si>
  <si>
    <t>44212</t>
  </si>
  <si>
    <t>74136</t>
  </si>
  <si>
    <t>33823</t>
  </si>
  <si>
    <t>Missouri</t>
  </si>
  <si>
    <t>63368</t>
  </si>
  <si>
    <t>80128</t>
  </si>
  <si>
    <t>13140</t>
  </si>
  <si>
    <t>76262</t>
  </si>
  <si>
    <t>20171</t>
  </si>
  <si>
    <t>South Carolina</t>
  </si>
  <si>
    <t>29708</t>
  </si>
  <si>
    <t>30307</t>
  </si>
  <si>
    <t>12534</t>
  </si>
  <si>
    <t>40165</t>
  </si>
  <si>
    <t>02035</t>
  </si>
  <si>
    <t>43830</t>
  </si>
  <si>
    <t>44319</t>
  </si>
  <si>
    <t>Idaho</t>
  </si>
  <si>
    <t>83642</t>
  </si>
  <si>
    <t>41101</t>
  </si>
  <si>
    <t>20851</t>
  </si>
  <si>
    <t>07932</t>
  </si>
  <si>
    <t>19057</t>
  </si>
  <si>
    <t>98501</t>
  </si>
  <si>
    <t>27302</t>
  </si>
  <si>
    <t>73034</t>
  </si>
  <si>
    <t>07458</t>
  </si>
  <si>
    <t>44262</t>
  </si>
  <si>
    <t>03103</t>
  </si>
  <si>
    <t>02881</t>
  </si>
  <si>
    <t>78749</t>
  </si>
  <si>
    <t>10021</t>
  </si>
  <si>
    <t>85298</t>
  </si>
  <si>
    <t>03303</t>
  </si>
  <si>
    <t>55357</t>
  </si>
  <si>
    <t>85268</t>
  </si>
  <si>
    <t>91602</t>
  </si>
  <si>
    <t>01020</t>
  </si>
  <si>
    <t>Connecticut</t>
  </si>
  <si>
    <t>06082</t>
  </si>
  <si>
    <t>77379</t>
  </si>
  <si>
    <t>07446</t>
  </si>
  <si>
    <t>55322</t>
  </si>
  <si>
    <t>44122</t>
  </si>
  <si>
    <t>06511</t>
  </si>
  <si>
    <t>55079</t>
  </si>
  <si>
    <t>95410</t>
  </si>
  <si>
    <t>19064</t>
  </si>
  <si>
    <t>22312</t>
  </si>
  <si>
    <t>Tennessee</t>
  </si>
  <si>
    <t>37912</t>
  </si>
  <si>
    <t>94117</t>
  </si>
  <si>
    <t>64155</t>
  </si>
  <si>
    <t>48642</t>
  </si>
  <si>
    <t>33157</t>
  </si>
  <si>
    <t>20003</t>
  </si>
  <si>
    <t>21201</t>
  </si>
  <si>
    <t>20744</t>
  </si>
  <si>
    <t>01845</t>
  </si>
  <si>
    <t>77407</t>
  </si>
  <si>
    <t>60606</t>
  </si>
  <si>
    <t>95123</t>
  </si>
  <si>
    <t>98112</t>
  </si>
  <si>
    <t>97301</t>
  </si>
  <si>
    <t>29201</t>
  </si>
  <si>
    <t>90039</t>
  </si>
  <si>
    <t>97030</t>
  </si>
  <si>
    <t>33897</t>
  </si>
  <si>
    <t>70508</t>
  </si>
  <si>
    <t>40242</t>
  </si>
  <si>
    <t>94530</t>
  </si>
  <si>
    <t>69130</t>
  </si>
  <si>
    <t>94110</t>
  </si>
  <si>
    <t>93619</t>
  </si>
  <si>
    <t>98034</t>
  </si>
  <si>
    <t>23701</t>
  </si>
  <si>
    <t>40516</t>
  </si>
  <si>
    <t>38237</t>
  </si>
  <si>
    <t>30022</t>
  </si>
  <si>
    <t>93428</t>
  </si>
  <si>
    <t>80014</t>
  </si>
  <si>
    <t>23602</t>
  </si>
  <si>
    <t>17603</t>
  </si>
  <si>
    <t>80525</t>
  </si>
  <si>
    <t>43054</t>
  </si>
  <si>
    <t>78741</t>
  </si>
  <si>
    <t>06237</t>
  </si>
  <si>
    <t>98327</t>
  </si>
  <si>
    <t>01945</t>
  </si>
  <si>
    <t>37075</t>
  </si>
  <si>
    <t>60014</t>
  </si>
  <si>
    <t>94044</t>
  </si>
  <si>
    <t>48073</t>
  </si>
  <si>
    <t>19040</t>
  </si>
  <si>
    <t>92833</t>
  </si>
  <si>
    <t>02910</t>
  </si>
  <si>
    <t>33444</t>
  </si>
  <si>
    <t>46077</t>
  </si>
  <si>
    <t>13210</t>
  </si>
  <si>
    <t>90012</t>
  </si>
  <si>
    <t>76567</t>
  </si>
  <si>
    <t>21704</t>
  </si>
  <si>
    <t>78840</t>
  </si>
  <si>
    <t>07039</t>
  </si>
  <si>
    <t>19122</t>
  </si>
  <si>
    <t>Wisconsin</t>
  </si>
  <si>
    <t>53719</t>
  </si>
  <si>
    <t>45014</t>
  </si>
  <si>
    <t>20148</t>
  </si>
  <si>
    <t>02472</t>
  </si>
  <si>
    <t>94164</t>
  </si>
  <si>
    <t>49629</t>
  </si>
  <si>
    <t>52601</t>
  </si>
  <si>
    <t>97212</t>
  </si>
  <si>
    <t>92127</t>
  </si>
  <si>
    <t>20017</t>
  </si>
  <si>
    <t>60130</t>
  </si>
  <si>
    <t>97455</t>
  </si>
  <si>
    <t>Kansas</t>
  </si>
  <si>
    <t>66207</t>
  </si>
  <si>
    <t>90024</t>
  </si>
  <si>
    <t>54304</t>
  </si>
  <si>
    <t>28078</t>
  </si>
  <si>
    <t>55014</t>
  </si>
  <si>
    <t>06854</t>
  </si>
  <si>
    <t>54911</t>
  </si>
  <si>
    <t>11215</t>
  </si>
  <si>
    <t>21231</t>
  </si>
  <si>
    <t>10017</t>
  </si>
  <si>
    <t>37090</t>
  </si>
  <si>
    <t>49684</t>
  </si>
  <si>
    <t>75002</t>
  </si>
  <si>
    <t>29902</t>
  </si>
  <si>
    <t>11754</t>
  </si>
  <si>
    <t>07733</t>
  </si>
  <si>
    <t>15853</t>
  </si>
  <si>
    <t>78411</t>
  </si>
  <si>
    <t>20774</t>
  </si>
  <si>
    <t>66611</t>
  </si>
  <si>
    <t>37129</t>
  </si>
  <si>
    <t>11747</t>
  </si>
  <si>
    <t>32459</t>
  </si>
  <si>
    <t>11554</t>
  </si>
  <si>
    <t>40444</t>
  </si>
  <si>
    <t>35601</t>
  </si>
  <si>
    <t>07030</t>
  </si>
  <si>
    <t>22206</t>
  </si>
  <si>
    <t>23805</t>
  </si>
  <si>
    <t>79423</t>
  </si>
  <si>
    <t>11210</t>
  </si>
  <si>
    <t>32835</t>
  </si>
  <si>
    <t>94028</t>
  </si>
  <si>
    <t>07642</t>
  </si>
  <si>
    <t>20010</t>
  </si>
  <si>
    <t>92866</t>
  </si>
  <si>
    <t>90013</t>
  </si>
  <si>
    <t>93065</t>
  </si>
  <si>
    <t>27603</t>
  </si>
  <si>
    <t>20176</t>
  </si>
  <si>
    <t>77059</t>
  </si>
  <si>
    <t>10567</t>
  </si>
  <si>
    <t>60074</t>
  </si>
  <si>
    <t>97006</t>
  </si>
  <si>
    <t>06880</t>
  </si>
  <si>
    <t>Vermont</t>
  </si>
  <si>
    <t>5486</t>
  </si>
  <si>
    <t>11218</t>
  </si>
  <si>
    <t>21702</t>
  </si>
  <si>
    <t>85392</t>
  </si>
  <si>
    <t>85615</t>
  </si>
  <si>
    <t>62704</t>
  </si>
  <si>
    <t>37221</t>
  </si>
  <si>
    <t>60657</t>
  </si>
  <si>
    <t>48195</t>
  </si>
  <si>
    <t>84040</t>
  </si>
  <si>
    <t>35801</t>
  </si>
  <si>
    <t>27127</t>
  </si>
  <si>
    <t>07078</t>
  </si>
  <si>
    <t>92123</t>
  </si>
  <si>
    <t>30292</t>
  </si>
  <si>
    <t>10010</t>
  </si>
  <si>
    <t>51038</t>
  </si>
  <si>
    <t>60655</t>
  </si>
  <si>
    <t>22311</t>
  </si>
  <si>
    <t>97420</t>
  </si>
  <si>
    <t>27012</t>
  </si>
  <si>
    <t>01267</t>
  </si>
  <si>
    <t>02653</t>
  </si>
  <si>
    <t>28411</t>
  </si>
  <si>
    <t>29715</t>
  </si>
  <si>
    <t>03755</t>
  </si>
  <si>
    <t>18433</t>
  </si>
  <si>
    <t>55419</t>
  </si>
  <si>
    <t>01440</t>
  </si>
  <si>
    <t>98516</t>
  </si>
  <si>
    <t>43606</t>
  </si>
  <si>
    <t>14209</t>
  </si>
  <si>
    <t>30813</t>
  </si>
  <si>
    <t>32164</t>
  </si>
  <si>
    <t>94544</t>
  </si>
  <si>
    <t>94122</t>
  </si>
  <si>
    <t>32792</t>
  </si>
  <si>
    <t>63127</t>
  </si>
  <si>
    <t>48045</t>
  </si>
  <si>
    <t>83702</t>
  </si>
  <si>
    <t>Nevada</t>
  </si>
  <si>
    <t>89121</t>
  </si>
  <si>
    <t>31047</t>
  </si>
  <si>
    <t>21218</t>
  </si>
  <si>
    <t>20882</t>
  </si>
  <si>
    <t>11375</t>
  </si>
  <si>
    <t>50325</t>
  </si>
  <si>
    <t>85016</t>
  </si>
  <si>
    <t>55416</t>
  </si>
  <si>
    <t>20136</t>
  </si>
  <si>
    <t>91107</t>
  </si>
  <si>
    <t>28305</t>
  </si>
  <si>
    <t>94521</t>
  </si>
  <si>
    <t>02019</t>
  </si>
  <si>
    <t>28374</t>
  </si>
  <si>
    <t>30721</t>
  </si>
  <si>
    <t>30224</t>
  </si>
  <si>
    <t>43228</t>
  </si>
  <si>
    <t>43952</t>
  </si>
  <si>
    <t>98074</t>
  </si>
  <si>
    <t>33314</t>
  </si>
  <si>
    <t>35213</t>
  </si>
  <si>
    <t>85304</t>
  </si>
  <si>
    <t>66202</t>
  </si>
  <si>
    <t>7752</t>
  </si>
  <si>
    <t>22101</t>
  </si>
  <si>
    <t>54165</t>
  </si>
  <si>
    <t>92504</t>
  </si>
  <si>
    <t>78732</t>
  </si>
  <si>
    <t>44140</t>
  </si>
  <si>
    <t>21042</t>
  </si>
  <si>
    <t>06825</t>
  </si>
  <si>
    <t>18643</t>
  </si>
  <si>
    <t>47803</t>
  </si>
  <si>
    <t>34275</t>
  </si>
  <si>
    <t>Maine</t>
  </si>
  <si>
    <t>04105</t>
  </si>
  <si>
    <t>91942</t>
  </si>
  <si>
    <t>11229</t>
  </si>
  <si>
    <t>17601</t>
  </si>
  <si>
    <t>08515</t>
  </si>
  <si>
    <t>06801</t>
  </si>
  <si>
    <t>29148</t>
  </si>
  <si>
    <t>98030</t>
  </si>
  <si>
    <t>90049</t>
  </si>
  <si>
    <t>46168</t>
  </si>
  <si>
    <t>06483</t>
  </si>
  <si>
    <t>80022</t>
  </si>
  <si>
    <t>31501</t>
  </si>
  <si>
    <t>32583</t>
  </si>
  <si>
    <t>98371</t>
  </si>
  <si>
    <t>89179</t>
  </si>
  <si>
    <t>28314</t>
  </si>
  <si>
    <t>01057</t>
  </si>
  <si>
    <t>30605</t>
  </si>
  <si>
    <t>10014</t>
  </si>
  <si>
    <t>33315</t>
  </si>
  <si>
    <t>11367</t>
  </si>
  <si>
    <t>08527</t>
  </si>
  <si>
    <t>94070</t>
  </si>
  <si>
    <t>19041</t>
  </si>
  <si>
    <t>85035</t>
  </si>
  <si>
    <t>7631</t>
  </si>
  <si>
    <t>35210</t>
  </si>
  <si>
    <t>49221</t>
  </si>
  <si>
    <t>74135</t>
  </si>
  <si>
    <t>61739</t>
  </si>
  <si>
    <t>12210</t>
  </si>
  <si>
    <t>54481</t>
  </si>
  <si>
    <t>92122</t>
  </si>
  <si>
    <t>46074</t>
  </si>
  <si>
    <t>Delaware</t>
  </si>
  <si>
    <t>19702</t>
  </si>
  <si>
    <t>62278</t>
  </si>
  <si>
    <t>18069</t>
  </si>
  <si>
    <t>28117</t>
  </si>
  <si>
    <t>60137</t>
  </si>
  <si>
    <t>94133</t>
  </si>
  <si>
    <t>75238</t>
  </si>
  <si>
    <t>50009</t>
  </si>
  <si>
    <t>60614</t>
  </si>
  <si>
    <t>51533</t>
  </si>
  <si>
    <t>38732</t>
  </si>
  <si>
    <t>77057</t>
  </si>
  <si>
    <t>32073</t>
  </si>
  <si>
    <t>60093</t>
  </si>
  <si>
    <t>75215</t>
  </si>
  <si>
    <t>66801</t>
  </si>
  <si>
    <t>68372</t>
  </si>
  <si>
    <t>95003</t>
  </si>
  <si>
    <t>29301</t>
  </si>
  <si>
    <t>01776</t>
  </si>
  <si>
    <t>79118</t>
  </si>
  <si>
    <t>94025</t>
  </si>
  <si>
    <t>98499</t>
  </si>
  <si>
    <t>80104</t>
  </si>
  <si>
    <t>92104</t>
  </si>
  <si>
    <t>94582</t>
  </si>
  <si>
    <t>10309</t>
  </si>
  <si>
    <t>53142</t>
  </si>
  <si>
    <t>06902</t>
  </si>
  <si>
    <t>46952</t>
  </si>
  <si>
    <t>11935</t>
  </si>
  <si>
    <t>47712</t>
  </si>
  <si>
    <t>78028</t>
  </si>
  <si>
    <t>19803</t>
  </si>
  <si>
    <t>95382</t>
  </si>
  <si>
    <t>19107</t>
  </si>
  <si>
    <t>22060</t>
  </si>
  <si>
    <t>15012</t>
  </si>
  <si>
    <t>76051</t>
  </si>
  <si>
    <t>22199</t>
  </si>
  <si>
    <t>36305</t>
  </si>
  <si>
    <t>53511</t>
  </si>
  <si>
    <t>08223</t>
  </si>
  <si>
    <t>11561</t>
  </si>
  <si>
    <t>10598</t>
  </si>
  <si>
    <t>60626</t>
  </si>
  <si>
    <t>95126</t>
  </si>
  <si>
    <t>91335</t>
  </si>
  <si>
    <t>35640</t>
  </si>
  <si>
    <t>46544</t>
  </si>
  <si>
    <t>32750</t>
  </si>
  <si>
    <t>06460</t>
  </si>
  <si>
    <t>75065</t>
  </si>
  <si>
    <t>50111</t>
  </si>
  <si>
    <t>19087</t>
  </si>
  <si>
    <t>16134</t>
  </si>
  <si>
    <t>60004</t>
  </si>
  <si>
    <t>80016</t>
  </si>
  <si>
    <t>55417</t>
  </si>
  <si>
    <t>19605</t>
  </si>
  <si>
    <t>48186</t>
  </si>
  <si>
    <t>47630</t>
  </si>
  <si>
    <t>97080</t>
  </si>
  <si>
    <t>38120</t>
  </si>
  <si>
    <t>54403</t>
  </si>
  <si>
    <t>07052</t>
  </si>
  <si>
    <t>27284</t>
  </si>
  <si>
    <t>80443</t>
  </si>
  <si>
    <t>76034</t>
  </si>
  <si>
    <t>02453</t>
  </si>
  <si>
    <t>53228</t>
  </si>
  <si>
    <t>21403</t>
  </si>
  <si>
    <t>15301</t>
  </si>
  <si>
    <t>20910</t>
  </si>
  <si>
    <t>53593</t>
  </si>
  <si>
    <t>40014</t>
  </si>
  <si>
    <t>28173</t>
  </si>
  <si>
    <t>94002</t>
  </si>
  <si>
    <t>85254</t>
  </si>
  <si>
    <t>60189</t>
  </si>
  <si>
    <t>10011</t>
  </si>
  <si>
    <t>29072</t>
  </si>
  <si>
    <t>90807</t>
  </si>
  <si>
    <t>92782</t>
  </si>
  <si>
    <t>06492</t>
  </si>
  <si>
    <t>20005</t>
  </si>
  <si>
    <t>40503</t>
  </si>
  <si>
    <t>29180</t>
  </si>
  <si>
    <t>21102</t>
  </si>
  <si>
    <t>49418</t>
  </si>
  <si>
    <t>30141</t>
  </si>
  <si>
    <t>17815</t>
  </si>
  <si>
    <t>54956</t>
  </si>
  <si>
    <t>53211</t>
  </si>
  <si>
    <t>63139</t>
  </si>
  <si>
    <t>77651</t>
  </si>
  <si>
    <t>48323</t>
  </si>
  <si>
    <t>94558</t>
  </si>
  <si>
    <t>43214</t>
  </si>
  <si>
    <t>94041</t>
  </si>
  <si>
    <t>80021</t>
  </si>
  <si>
    <t>78734</t>
  </si>
  <si>
    <t>53711</t>
  </si>
  <si>
    <t>33324</t>
  </si>
  <si>
    <t>29605</t>
  </si>
  <si>
    <t>48072</t>
  </si>
  <si>
    <t>75070</t>
  </si>
  <si>
    <t>21215</t>
  </si>
  <si>
    <t>73064</t>
  </si>
  <si>
    <t>44030</t>
  </si>
  <si>
    <t>94619</t>
  </si>
  <si>
    <t>91977</t>
  </si>
  <si>
    <t>06516</t>
  </si>
  <si>
    <t>07001</t>
  </si>
  <si>
    <t>46142</t>
  </si>
  <si>
    <t>03063</t>
  </si>
  <si>
    <t>52722</t>
  </si>
  <si>
    <t>77450</t>
  </si>
  <si>
    <t>90245</t>
  </si>
  <si>
    <t>13066</t>
  </si>
  <si>
    <t>20147</t>
  </si>
  <si>
    <t>83646</t>
  </si>
  <si>
    <t>80219</t>
  </si>
  <si>
    <t>60062</t>
  </si>
  <si>
    <t>01746</t>
  </si>
  <si>
    <t>15239</t>
  </si>
  <si>
    <t>54935</t>
  </si>
  <si>
    <t>78757</t>
  </si>
  <si>
    <t>55318</t>
  </si>
  <si>
    <t>30152</t>
  </si>
  <si>
    <t>48823</t>
  </si>
  <si>
    <t>06903</t>
  </si>
  <si>
    <t>29707</t>
  </si>
  <si>
    <t>50401</t>
  </si>
  <si>
    <t>49507</t>
  </si>
  <si>
    <t>48169</t>
  </si>
  <si>
    <t>61103</t>
  </si>
  <si>
    <t>75024</t>
  </si>
  <si>
    <t>92705</t>
  </si>
  <si>
    <t>98027</t>
  </si>
  <si>
    <t>74501</t>
  </si>
  <si>
    <t>01119</t>
  </si>
  <si>
    <t>95134</t>
  </si>
  <si>
    <t>06853</t>
  </si>
  <si>
    <t>48208</t>
  </si>
  <si>
    <t>10027</t>
  </si>
  <si>
    <t>21740</t>
  </si>
  <si>
    <t>98029</t>
  </si>
  <si>
    <t>01085</t>
  </si>
  <si>
    <t>48611</t>
  </si>
  <si>
    <t>06470</t>
  </si>
  <si>
    <t>17960</t>
  </si>
  <si>
    <t>06074</t>
  </si>
  <si>
    <t>98019</t>
  </si>
  <si>
    <t>95993</t>
  </si>
  <si>
    <t>21117</t>
  </si>
  <si>
    <t>28560</t>
  </si>
  <si>
    <t>65203</t>
  </si>
  <si>
    <t>32162</t>
  </si>
  <si>
    <t>52245</t>
  </si>
  <si>
    <t>06824</t>
  </si>
  <si>
    <t>33614</t>
  </si>
  <si>
    <t>08520</t>
  </si>
  <si>
    <t>92240</t>
  </si>
  <si>
    <t>49085</t>
  </si>
  <si>
    <t>55427</t>
  </si>
  <si>
    <t>78729</t>
  </si>
  <si>
    <t>98122</t>
  </si>
  <si>
    <t>45430</t>
  </si>
  <si>
    <t>97231</t>
  </si>
  <si>
    <t>10065</t>
  </si>
  <si>
    <t>80424</t>
  </si>
  <si>
    <t>50658</t>
  </si>
  <si>
    <t>94114</t>
  </si>
  <si>
    <t>91320</t>
  </si>
  <si>
    <t>90746</t>
  </si>
  <si>
    <t>60613</t>
  </si>
  <si>
    <t>11901</t>
  </si>
  <si>
    <t>79705</t>
  </si>
  <si>
    <t>50201</t>
  </si>
  <si>
    <t>11204</t>
  </si>
  <si>
    <t>93712</t>
  </si>
  <si>
    <t>94556</t>
  </si>
  <si>
    <t>29649</t>
  </si>
  <si>
    <t>15068</t>
  </si>
  <si>
    <t>90022</t>
  </si>
  <si>
    <t>45249</t>
  </si>
  <si>
    <t>49321</t>
  </si>
  <si>
    <t>94306</t>
  </si>
  <si>
    <t>92124</t>
  </si>
  <si>
    <t>76903</t>
  </si>
  <si>
    <t>90027</t>
  </si>
  <si>
    <t>94541</t>
  </si>
  <si>
    <t>18914</t>
  </si>
  <si>
    <t>37877</t>
  </si>
  <si>
    <t>Hawaii</t>
  </si>
  <si>
    <t>96789</t>
  </si>
  <si>
    <t>45069</t>
  </si>
  <si>
    <t>46755</t>
  </si>
  <si>
    <t>02889</t>
  </si>
  <si>
    <t>19061</t>
  </si>
  <si>
    <t>60073</t>
  </si>
  <si>
    <t>47459</t>
  </si>
  <si>
    <t>60013</t>
  </si>
  <si>
    <t>22204</t>
  </si>
  <si>
    <t>9030</t>
  </si>
  <si>
    <t>01844</t>
  </si>
  <si>
    <t>02468</t>
  </si>
  <si>
    <t>44094</t>
  </si>
  <si>
    <t>28092</t>
  </si>
  <si>
    <t>38018</t>
  </si>
  <si>
    <t>West Virginia</t>
  </si>
  <si>
    <t>25413</t>
  </si>
  <si>
    <t>30045</t>
  </si>
  <si>
    <t>34608</t>
  </si>
  <si>
    <t>33432</t>
  </si>
  <si>
    <t>92648</t>
  </si>
  <si>
    <t>06437</t>
  </si>
  <si>
    <t>94501</t>
  </si>
  <si>
    <t>95835</t>
  </si>
  <si>
    <t>63025</t>
  </si>
  <si>
    <t>76633</t>
  </si>
  <si>
    <t>20036</t>
  </si>
  <si>
    <t>80917</t>
  </si>
  <si>
    <t>78665</t>
  </si>
  <si>
    <t>72205</t>
  </si>
  <si>
    <t>95926</t>
  </si>
  <si>
    <t>23669</t>
  </si>
  <si>
    <t>37067</t>
  </si>
  <si>
    <t>85248</t>
  </si>
  <si>
    <t>89130</t>
  </si>
  <si>
    <t>18974</t>
  </si>
  <si>
    <t>54944</t>
  </si>
  <si>
    <t>06611</t>
  </si>
  <si>
    <t>84103</t>
  </si>
  <si>
    <t>03301</t>
  </si>
  <si>
    <t>77351</t>
  </si>
  <si>
    <t>30291</t>
  </si>
  <si>
    <t>94941</t>
  </si>
  <si>
    <t>50322</t>
  </si>
  <si>
    <t>60030</t>
  </si>
  <si>
    <t>68059</t>
  </si>
  <si>
    <t>48307</t>
  </si>
  <si>
    <t>41018</t>
  </si>
  <si>
    <t>62062</t>
  </si>
  <si>
    <t>50131</t>
  </si>
  <si>
    <t>75019</t>
  </si>
  <si>
    <t>98550</t>
  </si>
  <si>
    <t>14534</t>
  </si>
  <si>
    <t>06457</t>
  </si>
  <si>
    <t>35079</t>
  </si>
  <si>
    <t>North Dakota</t>
  </si>
  <si>
    <t>58701</t>
  </si>
  <si>
    <t>20111</t>
  </si>
  <si>
    <t>90211</t>
  </si>
  <si>
    <t>78723</t>
  </si>
  <si>
    <t>22308</t>
  </si>
  <si>
    <t>02184</t>
  </si>
  <si>
    <t>16229</t>
  </si>
  <si>
    <t>81621</t>
  </si>
  <si>
    <t>44118</t>
  </si>
  <si>
    <t>55317</t>
  </si>
  <si>
    <t>44120</t>
  </si>
  <si>
    <t>55106</t>
  </si>
  <si>
    <t>32955</t>
  </si>
  <si>
    <t>28540</t>
  </si>
  <si>
    <t>02766</t>
  </si>
  <si>
    <t>81521</t>
  </si>
  <si>
    <t>11226</t>
  </si>
  <si>
    <t>98444</t>
  </si>
  <si>
    <t>53114</t>
  </si>
  <si>
    <t>44805</t>
  </si>
  <si>
    <t>43206</t>
  </si>
  <si>
    <t>95683</t>
  </si>
  <si>
    <t>21771</t>
  </si>
  <si>
    <t>53095</t>
  </si>
  <si>
    <t>10509</t>
  </si>
  <si>
    <t>76227</t>
  </si>
  <si>
    <t>84098</t>
  </si>
  <si>
    <t>22314</t>
  </si>
  <si>
    <t>48144</t>
  </si>
  <si>
    <t>47802</t>
  </si>
  <si>
    <t>08051</t>
  </si>
  <si>
    <t>08857</t>
  </si>
  <si>
    <t>83672</t>
  </si>
  <si>
    <t>76107</t>
  </si>
  <si>
    <t>17109</t>
  </si>
  <si>
    <t>32812</t>
  </si>
  <si>
    <t>New Mexico</t>
  </si>
  <si>
    <t>88201</t>
  </si>
  <si>
    <t>70447</t>
  </si>
  <si>
    <t>44514</t>
  </si>
  <si>
    <t>02904</t>
  </si>
  <si>
    <t>78656</t>
  </si>
  <si>
    <t>98166</t>
  </si>
  <si>
    <t>10023</t>
  </si>
  <si>
    <t>33496</t>
  </si>
  <si>
    <t>75007</t>
  </si>
  <si>
    <t>32134</t>
  </si>
  <si>
    <t>02421</t>
  </si>
  <si>
    <t>11743</t>
  </si>
  <si>
    <t>49093</t>
  </si>
  <si>
    <t>78731</t>
  </si>
  <si>
    <t>92679</t>
  </si>
  <si>
    <t>06905</t>
  </si>
  <si>
    <t>37343</t>
  </si>
  <si>
    <t>08016</t>
  </si>
  <si>
    <t>27804</t>
  </si>
  <si>
    <t>90630</t>
  </si>
  <si>
    <t>48103</t>
  </si>
  <si>
    <t>90732</t>
  </si>
  <si>
    <t>10528</t>
  </si>
  <si>
    <t>78744</t>
  </si>
  <si>
    <t>90404</t>
  </si>
  <si>
    <t>30461</t>
  </si>
  <si>
    <t>55360</t>
  </si>
  <si>
    <t>13104</t>
  </si>
  <si>
    <t>30338</t>
  </si>
  <si>
    <t>19146</t>
  </si>
  <si>
    <t>37932</t>
  </si>
  <si>
    <t>45213</t>
  </si>
  <si>
    <t>85226</t>
  </si>
  <si>
    <t>42431</t>
  </si>
  <si>
    <t>51248</t>
  </si>
  <si>
    <t>94523</t>
  </si>
  <si>
    <t>98264</t>
  </si>
  <si>
    <t>53048</t>
  </si>
  <si>
    <t>98372</t>
  </si>
  <si>
    <t>98012</t>
  </si>
  <si>
    <t>03054</t>
  </si>
  <si>
    <t>55127</t>
  </si>
  <si>
    <t>76426</t>
  </si>
  <si>
    <t>94107</t>
  </si>
  <si>
    <t>32619</t>
  </si>
  <si>
    <t>77539</t>
  </si>
  <si>
    <t>24073</t>
  </si>
  <si>
    <t>44221</t>
  </si>
  <si>
    <t>02129</t>
  </si>
  <si>
    <t>16046</t>
  </si>
  <si>
    <t>60645</t>
  </si>
  <si>
    <t>Wyoming</t>
  </si>
  <si>
    <t>82072</t>
  </si>
  <si>
    <t>94618</t>
  </si>
  <si>
    <t>52544</t>
  </si>
  <si>
    <t>94118</t>
  </si>
  <si>
    <t>54021</t>
  </si>
  <si>
    <t>27948</t>
  </si>
  <si>
    <t>33618</t>
  </si>
  <si>
    <t>08844</t>
  </si>
  <si>
    <t>93238</t>
  </si>
  <si>
    <t>48128</t>
  </si>
  <si>
    <t>77082</t>
  </si>
  <si>
    <t>12901</t>
  </si>
  <si>
    <t>93725</t>
  </si>
  <si>
    <t>60045</t>
  </si>
  <si>
    <t>10003</t>
  </si>
  <si>
    <t>81303</t>
  </si>
  <si>
    <t>70808</t>
  </si>
  <si>
    <t>76021</t>
  </si>
  <si>
    <t>94806</t>
  </si>
  <si>
    <t>80134</t>
  </si>
  <si>
    <t>13760</t>
  </si>
  <si>
    <t>78681</t>
  </si>
  <si>
    <t>36301</t>
  </si>
  <si>
    <t>50035</t>
  </si>
  <si>
    <t>48890</t>
  </si>
  <si>
    <t>53217</t>
  </si>
  <si>
    <t>90720</t>
  </si>
  <si>
    <t>32608</t>
  </si>
  <si>
    <t>92101</t>
  </si>
  <si>
    <t>79407</t>
  </si>
  <si>
    <t>75229</t>
  </si>
  <si>
    <t>37206</t>
  </si>
  <si>
    <t>08560</t>
  </si>
  <si>
    <t>31820</t>
  </si>
  <si>
    <t>40026</t>
  </si>
  <si>
    <t>80504</t>
  </si>
  <si>
    <t>75098</t>
  </si>
  <si>
    <t>63042</t>
  </si>
  <si>
    <t>19086</t>
  </si>
  <si>
    <t>Alaska</t>
  </si>
  <si>
    <t>99901</t>
  </si>
  <si>
    <t>80816</t>
  </si>
  <si>
    <t>44321</t>
  </si>
  <si>
    <t>47720</t>
  </si>
  <si>
    <t>54115</t>
  </si>
  <si>
    <t>85253</t>
  </si>
  <si>
    <t>81242</t>
  </si>
  <si>
    <t>77346</t>
  </si>
  <si>
    <t>32708</t>
  </si>
  <si>
    <t>53562</t>
  </si>
  <si>
    <t>37220</t>
  </si>
  <si>
    <t>35242</t>
  </si>
  <si>
    <t>58104</t>
  </si>
  <si>
    <t>78834</t>
  </si>
  <si>
    <t>45230</t>
  </si>
  <si>
    <t>45429</t>
  </si>
  <si>
    <t>34108</t>
  </si>
  <si>
    <t>45208</t>
  </si>
  <si>
    <t>22947</t>
  </si>
  <si>
    <t>91711</t>
  </si>
  <si>
    <t>97034</t>
  </si>
  <si>
    <t>55904</t>
  </si>
  <si>
    <t>12203</t>
  </si>
  <si>
    <t>94401</t>
  </si>
  <si>
    <t>89149</t>
  </si>
  <si>
    <t>12944</t>
  </si>
  <si>
    <t>75248</t>
  </si>
  <si>
    <t>23322</t>
  </si>
  <si>
    <t>27713</t>
  </si>
  <si>
    <t>49417</t>
  </si>
  <si>
    <t>92625</t>
  </si>
  <si>
    <t>15905</t>
  </si>
  <si>
    <t>98802</t>
  </si>
  <si>
    <t>99518</t>
  </si>
  <si>
    <t>73008</t>
  </si>
  <si>
    <t>05655</t>
  </si>
  <si>
    <t>22611</t>
  </si>
  <si>
    <t>91502</t>
  </si>
  <si>
    <t>40353</t>
  </si>
  <si>
    <t>63130</t>
  </si>
  <si>
    <t>27517</t>
  </si>
  <si>
    <t>66604</t>
  </si>
  <si>
    <t>10301</t>
  </si>
  <si>
    <t>52658</t>
  </si>
  <si>
    <t>55807</t>
  </si>
  <si>
    <t>24018</t>
  </si>
  <si>
    <t>68022</t>
  </si>
  <si>
    <t>53042</t>
  </si>
  <si>
    <t>20817</t>
  </si>
  <si>
    <t>34711</t>
  </si>
  <si>
    <t>17777</t>
  </si>
  <si>
    <t>97305</t>
  </si>
  <si>
    <t>32439</t>
  </si>
  <si>
    <t>07853</t>
  </si>
  <si>
    <t>10018</t>
  </si>
  <si>
    <t>37716</t>
  </si>
  <si>
    <t>94568</t>
  </si>
  <si>
    <t>98837</t>
  </si>
  <si>
    <t>04011</t>
  </si>
  <si>
    <t>56554</t>
  </si>
  <si>
    <t>98321</t>
  </si>
  <si>
    <t>14845</t>
  </si>
  <si>
    <t>48867</t>
  </si>
  <si>
    <t>14216</t>
  </si>
  <si>
    <t>21773</t>
  </si>
  <si>
    <t>77578</t>
  </si>
  <si>
    <t>40057</t>
  </si>
  <si>
    <t>51334</t>
  </si>
  <si>
    <t>02190</t>
  </si>
  <si>
    <t>35756</t>
  </si>
  <si>
    <t>07481</t>
  </si>
  <si>
    <t>10511</t>
  </si>
  <si>
    <t>55369</t>
  </si>
  <si>
    <t>02081</t>
  </si>
  <si>
    <t>90046</t>
  </si>
  <si>
    <t>35126</t>
  </si>
  <si>
    <t>93555</t>
  </si>
  <si>
    <t>14617</t>
  </si>
  <si>
    <t>Row Labels</t>
  </si>
  <si>
    <t>Column Labels</t>
  </si>
  <si>
    <t>First Order Purchase Mo</t>
  </si>
  <si>
    <t>Jan</t>
  </si>
  <si>
    <t>Feb</t>
  </si>
  <si>
    <t>Mar</t>
  </si>
  <si>
    <t>Apr</t>
  </si>
  <si>
    <t>May</t>
  </si>
  <si>
    <t>Jun</t>
  </si>
  <si>
    <t>Jul</t>
  </si>
  <si>
    <t>Aug</t>
  </si>
  <si>
    <t>Sep</t>
  </si>
  <si>
    <t>Average of First Order Revenue</t>
  </si>
  <si>
    <t>2-Jan</t>
  </si>
  <si>
    <t>3-Jan</t>
  </si>
  <si>
    <t>4-Jan</t>
  </si>
  <si>
    <t>5-Jan</t>
  </si>
  <si>
    <t>7-Jan</t>
  </si>
  <si>
    <t>8-Jan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</si>
  <si>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</si>
  <si>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</si>
  <si>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</si>
  <si>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</si>
  <si>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</si>
  <si>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</si>
  <si>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</si>
  <si>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</si>
  <si>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</si>
  <si>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</si>
  <si>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</si>
  <si>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</si>
  <si>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</si>
  <si>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</si>
  <si>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</si>
  <si>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</si>
  <si>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</si>
  <si>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</si>
  <si>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</si>
  <si>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</si>
  <si>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</si>
  <si>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</si>
  <si>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</si>
  <si>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</si>
  <si>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</si>
  <si>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</si>
  <si>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</si>
  <si>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</si>
  <si>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</si>
  <si>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</si>
  <si>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</si>
  <si>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</si>
  <si>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</si>
  <si>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</si>
  <si>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</si>
  <si>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</si>
  <si>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</si>
  <si>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</si>
  <si>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</si>
  <si>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</si>
  <si>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</si>
  <si>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</si>
  <si>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</si>
  <si>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</si>
  <si>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</si>
  <si>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</si>
  <si>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</si>
  <si>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</si>
  <si>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</si>
  <si>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</si>
  <si>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</si>
  <si>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</si>
  <si>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</si>
  <si>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</si>
  <si>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</si>
  <si>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</si>
  <si>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</si>
  <si>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</si>
  <si>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</si>
  <si>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</si>
  <si>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</si>
  <si>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</si>
  <si>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</si>
  <si>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</si>
  <si>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</si>
  <si>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</si>
  <si>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</si>
  <si>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</si>
  <si>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</si>
  <si>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</si>
  <si>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</si>
  <si>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</si>
  <si>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</si>
  <si>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</si>
  <si>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</si>
  <si>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27-Mar</t>
  </si>
  <si>
    <t>28-Mar</t>
  </si>
  <si>
    <t>29-Mar</t>
  </si>
  <si>
    <t>30-Mar</t>
  </si>
  <si>
    <t>1-Apr</t>
  </si>
  <si>
    <t>3-Apr</t>
  </si>
  <si>
    <t>4-Apr</t>
  </si>
  <si>
    <t>5-Apr</t>
  </si>
  <si>
    <t>6-Apr</t>
  </si>
  <si>
    <t>7-Apr</t>
  </si>
  <si>
    <t>8-Apr</t>
  </si>
  <si>
    <t>9-Apr</t>
  </si>
  <si>
    <t>11-Apr</t>
  </si>
  <si>
    <t>12-Apr</t>
  </si>
  <si>
    <t>13-Apr</t>
  </si>
  <si>
    <t>14-Apr</t>
  </si>
  <si>
    <t>15-Apr</t>
  </si>
  <si>
    <t>16-Apr</t>
  </si>
  <si>
    <t>17-Apr</t>
  </si>
  <si>
    <t>18-Apr</t>
  </si>
  <si>
    <t>19-Apr</t>
  </si>
  <si>
    <t>21-Apr</t>
  </si>
  <si>
    <t>23-Apr</t>
  </si>
  <si>
    <t>24-Apr</t>
  </si>
  <si>
    <t>25-Apr</t>
  </si>
  <si>
    <t>26-Apr</t>
  </si>
  <si>
    <t>27-Apr</t>
  </si>
  <si>
    <t>28-Apr</t>
  </si>
  <si>
    <t>30-Apr</t>
  </si>
  <si>
    <t>1-May</t>
  </si>
  <si>
    <t>2-May</t>
  </si>
  <si>
    <t>3-May</t>
  </si>
  <si>
    <t>4-May</t>
  </si>
  <si>
    <t>5-May</t>
  </si>
  <si>
    <t>6-May</t>
  </si>
  <si>
    <t>7-May</t>
  </si>
  <si>
    <t>9-May</t>
  </si>
  <si>
    <t>10-May</t>
  </si>
  <si>
    <t>11-May</t>
  </si>
  <si>
    <t>12-May</t>
  </si>
  <si>
    <t>13-May</t>
  </si>
  <si>
    <t>14-May</t>
  </si>
  <si>
    <t>15-May</t>
  </si>
  <si>
    <t>16-May</t>
  </si>
  <si>
    <t>17-May</t>
  </si>
  <si>
    <t>18-May</t>
  </si>
  <si>
    <t>19-May</t>
  </si>
  <si>
    <t>20-May</t>
  </si>
  <si>
    <t>21-May</t>
  </si>
  <si>
    <t>22-May</t>
  </si>
  <si>
    <t>23-May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</si>
  <si>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</si>
  <si>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</si>
  <si>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</si>
  <si>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</si>
  <si>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</si>
  <si>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</si>
  <si>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</si>
  <si>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</si>
  <si>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</si>
  <si>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</si>
  <si>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</si>
  <si>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</si>
  <si>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</si>
  <si>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</si>
  <si>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</si>
  <si>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</si>
  <si>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</si>
  <si>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</si>
  <si>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</si>
  <si>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</si>
  <si>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</si>
  <si>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</si>
  <si>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</si>
  <si>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</si>
  <si>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</si>
  <si>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</si>
  <si>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</si>
  <si>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</si>
  <si>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</si>
  <si>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</si>
  <si>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</si>
  <si>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</si>
  <si>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</si>
  <si>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</si>
  <si>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</si>
  <si>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</si>
  <si>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</si>
  <si>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</si>
  <si>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</si>
  <si>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</si>
  <si>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</si>
  <si>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</si>
  <si>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</si>
  <si>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</si>
  <si>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</si>
  <si>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</si>
  <si>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</si>
  <si>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</si>
  <si>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</si>
  <si>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</si>
  <si>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</si>
  <si>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</si>
  <si>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</si>
  <si>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</si>
  <si>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</si>
  <si>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</si>
  <si>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</si>
  <si>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</si>
  <si>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</si>
  <si>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</si>
  <si>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</si>
  <si>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</si>
  <si>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</si>
  <si>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</si>
  <si>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</si>
  <si>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</si>
  <si>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</si>
  <si>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</si>
  <si>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</si>
  <si>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</si>
  <si>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</si>
  <si>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</si>
  <si>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</si>
  <si>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</si>
  <si>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</si>
  <si>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</si>
  <si>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</si>
  <si>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</si>
  <si>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</si>
  <si>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</si>
  <si>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</si>
  <si>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</si>
  <si>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</si>
  <si>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</si>
  <si>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</si>
  <si>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</si>
  <si>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</si>
  <si>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</si>
  <si>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</si>
  <si>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</si>
  <si>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</si>
  <si>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</si>
  <si>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</si>
  <si>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</si>
  <si>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</si>
  <si>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</si>
  <si>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</si>
  <si>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</si>
  <si>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</si>
  <si>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</si>
  <si>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</si>
  <si>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</si>
  <si>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</si>
  <si>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</si>
  <si>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</si>
  <si>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</si>
  <si>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</si>
  <si>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</si>
  <si>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</si>
  <si>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</si>
  <si>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15-Sep</t>
  </si>
  <si>
    <t>16-Sep</t>
  </si>
  <si>
    <t>17-Sep</t>
  </si>
  <si>
    <t>18-Sep</t>
  </si>
  <si>
    <t>19-Sep</t>
  </si>
  <si>
    <t>20-Sep</t>
  </si>
  <si>
    <t>22-Sep</t>
  </si>
  <si>
    <t>24-Sep</t>
  </si>
  <si>
    <t>Count of First Order Purchase Date</t>
  </si>
  <si>
    <t>\</t>
  </si>
  <si>
    <t>Count of Items purchased</t>
  </si>
  <si>
    <t>1-2</t>
  </si>
  <si>
    <t>3-4</t>
  </si>
  <si>
    <t>5-6</t>
  </si>
  <si>
    <t>7-8</t>
  </si>
  <si>
    <t>9-10</t>
  </si>
  <si>
    <t>11-12</t>
  </si>
  <si>
    <t>13-14</t>
  </si>
  <si>
    <t>&gt;15</t>
  </si>
  <si>
    <t>Count of First Order Purchase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</si>
</sst>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Red]\-&quot;$&quot;#,##0.00"/>
  </numFmts>
  <fonts count="4" x14ac:knownFonts="1">
    <font>
      <sz val="11"/>
      <color theme="1"/>
      <name val="Calibri"/>
      <family val="2"/>
      <scheme val="minor"/>
    </font>
    <font>
      <sz val="11"/>
      <color theme="1"/>
      <name val="Calibri"/>
      <family val="2"/>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s>
  <borders count="6">
    <border>
      <left/>
      <right/>
      <top/>
      <bottom/>
      <diagonal/>
    </border>
    <border>
      <left/>
      <right/>
      <top/>
      <bottom style="thin">
        <color indexed="64"/>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5">
    <xf numFmtId="0" fontId="0" fillId="0" borderId="0" xfId="0"/>
    <xf numFmtId="0" fontId="1" fillId="0" borderId="0" xfId="0" applyFont="1"/>
    <xf numFmtId="22" fontId="1" fillId="0" borderId="0" xfId="0" applyNumberFormat="1" applyFont="1"/>
    <xf numFmtId="164" fontId="1" fillId="0" borderId="0" xfId="0" applyNumberFormat="1" applyFont="1"/>
    <xf numFmtId="8" fontId="1" fillId="0" borderId="0" xfId="0" applyNumberFormat="1" applyFont="1"/>
    <xf numFmtId="0" fontId="2" fillId="0" borderId="1" xfId="0" applyFont="1" applyBorder="1"/>
    <xf numFmtId="0" fontId="2" fillId="2" borderId="1" xfId="0" applyFont="1" applyFill="1" applyBorder="1" applyAlignment="1">
      <alignment horizontal="center"/>
    </xf>
    <xf numFmtId="0" fontId="0" fillId="2" borderId="0" xfId="0" applyFill="1" applyAlignment="1">
      <alignment horizontal="center"/>
    </xf>
    <xf numFmtId="0" fontId="0" fillId="0" borderId="0" xfId="0" applyAlignment="1">
      <alignment horizontal="center"/>
    </xf>
    <xf numFmtId="0" fontId="2" fillId="3" borderId="2" xfId="0" applyFont="1" applyFill="1" applyBorder="1"/>
    <xf numFmtId="0" fontId="2" fillId="0" borderId="0" xfId="0" applyFont="1"/>
    <xf numFmtId="0" fontId="0" fillId="0" borderId="0" xfId="0" pivotButton="1"/>
    <xf numFmtId="0" fontId="0" fillId="0" borderId="3" xfId="0" applyBorder="1"/>
    <xf numFmtId="0" fontId="3" fillId="0" borderId="4" xfId="0" applyFont="1" applyBorder="1" applyAlignment="1">
      <alignment horizontal="center"/>
    </xf>
    <xf numFmtId="0" fontId="3" fillId="0" borderId="4" xfId="0" applyFont="1" applyBorder="1" applyAlignment="1">
      <alignment horizontal="centerContinuous"/>
    </xf>
    <xf numFmtId="0" fontId="0" fillId="0" borderId="0" xfId="0" applyAlignment="1">
      <alignment horizontal="left"/>
    </xf>
    <xf numFmtId="22" fontId="0" fillId="0" borderId="0" xfId="0" applyNumberFormat="1" applyAlignment="1">
      <alignment horizontal="left" indent="1"/>
    </xf>
    <xf numFmtId="0" fontId="0" fillId="0" borderId="0" xfId="0" applyNumberFormat="1"/>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
    </xf>
    <xf numFmtId="0" fontId="3" fillId="0" borderId="4" xfId="0" applyFont="1" applyFill="1" applyBorder="1" applyAlignment="1">
      <alignment horizontal="centerContinuous"/>
    </xf>
    <xf numFmtId="0" fontId="0" fillId="0" borderId="0" xfId="0" applyNumberFormat="1" applyFill="1" applyBorder="1" applyAlignment="1"/>
    <xf numFmtId="0" fontId="1" fillId="0" borderId="5" xfId="0" applyFont="1" applyBorder="1"/>
    <xf numFmtId="0" fontId="1" fillId="3" borderId="5" xfId="0" applyFont="1" applyFill="1" applyBorder="1"/>
  </cellXfs>
  <cellStyles count="1">
    <cellStyle name="Normal" xfId="0" builtinId="0"/>
  </cellStyles>
  <dxfs count="19">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27" formatCode="m/d/yyyy\ h:mm"/>
    </dxf>
    <dxf>
      <font>
        <b val="0"/>
        <i val="0"/>
        <strike val="0"/>
        <condense val="0"/>
        <extend val="0"/>
        <outline val="0"/>
        <shadow val="0"/>
        <u val="none"/>
        <vertAlign val="baseline"/>
        <sz val="11"/>
        <color theme="1"/>
        <name val="Calibri"/>
        <family val="2"/>
        <scheme val="none"/>
      </font>
      <numFmt numFmtId="164" formatCode="&quot;$&quot;#,##0.00;[Red]\-&quot;$&quot;#,##0.00"/>
    </dxf>
    <dxf>
      <font>
        <b val="0"/>
        <i val="0"/>
        <strike val="0"/>
        <condense val="0"/>
        <extend val="0"/>
        <outline val="0"/>
        <shadow val="0"/>
        <u val="none"/>
        <vertAlign val="baseline"/>
        <sz val="11"/>
        <color theme="1"/>
        <name val="Calibri"/>
        <family val="2"/>
        <scheme val="none"/>
      </font>
      <numFmt numFmtId="164" formatCode="&quot;$&quot;#,##0.00;[Red]\-&quot;$&quot;#,##0.0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27" formatCode="m/d/yyyy\ h:mm"/>
    </dxf>
    <dxf>
      <font>
        <b val="0"/>
        <i val="0"/>
        <strike val="0"/>
        <condense val="0"/>
        <extend val="0"/>
        <outline val="0"/>
        <shadow val="0"/>
        <u val="none"/>
        <vertAlign val="baseline"/>
        <sz val="11"/>
        <color theme="1"/>
        <name val="Calibri"/>
        <family val="2"/>
        <scheme val="none"/>
      </font>
      <numFmt numFmtId="27" formatCode="m/d/yyyy\ h:mm"/>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manualLayout>
          <c:layoutTarget val="inner"/>
          <c:xMode val="edge"/>
          <c:yMode val="edge"/>
          <c:x val="0.1664664574341202"/>
          <c:y val="0.15324518766849993"/>
          <c:w val="0.82840222768942862"/>
          <c:h val="0.65359148964814917"/>
        </c:manualLayout>
      </c:layout>
      <c:barChart>
        <c:barDir val="col"/>
        <c:grouping val="clustered"/>
        <c:varyColors val="0"/>
        <c:ser>
          <c:idx val="0"/>
          <c:order val="0"/>
          <c:tx>
            <c:v>Frequency</c:v>
          </c:tx>
          <c:spPr>
            <a:ln w="0">
              <a:solidFill>
                <a:schemeClr val="accent1"/>
              </a:solidFill>
            </a:ln>
          </c:spPr>
          <c:invertIfNegative val="0"/>
          <c:cat>
            <c:strRef>
              <c:f>'First Order Revenue'!$N$5:$N$14</c:f>
              <c:strCache>
                <c:ptCount val="10"/>
                <c:pt idx="0">
                  <c:v>10</c:v>
                </c:pt>
                <c:pt idx="1">
                  <c:v>25</c:v>
                </c:pt>
                <c:pt idx="2">
                  <c:v>40</c:v>
                </c:pt>
                <c:pt idx="3">
                  <c:v>55</c:v>
                </c:pt>
                <c:pt idx="4">
                  <c:v>70</c:v>
                </c:pt>
                <c:pt idx="5">
                  <c:v>85</c:v>
                </c:pt>
                <c:pt idx="6">
                  <c:v>100</c:v>
                </c:pt>
                <c:pt idx="7">
                  <c:v>115</c:v>
                </c:pt>
                <c:pt idx="8">
                  <c:v>130</c:v>
                </c:pt>
                <c:pt idx="9">
                  <c:v>More</c:v>
                </c:pt>
              </c:strCache>
            </c:strRef>
          </c:cat>
          <c:val>
            <c:numRef>
              <c:f>'First Order Revenue'!$O$5:$O$14</c:f>
              <c:numCache>
                <c:formatCode>General</c:formatCode>
                <c:ptCount val="10"/>
                <c:pt idx="0">
                  <c:v>73</c:v>
                </c:pt>
                <c:pt idx="1">
                  <c:v>166</c:v>
                </c:pt>
                <c:pt idx="2">
                  <c:v>525</c:v>
                </c:pt>
                <c:pt idx="3">
                  <c:v>76</c:v>
                </c:pt>
                <c:pt idx="4">
                  <c:v>112</c:v>
                </c:pt>
                <c:pt idx="5">
                  <c:v>43</c:v>
                </c:pt>
                <c:pt idx="6">
                  <c:v>17</c:v>
                </c:pt>
                <c:pt idx="7">
                  <c:v>7</c:v>
                </c:pt>
                <c:pt idx="8">
                  <c:v>15</c:v>
                </c:pt>
                <c:pt idx="9">
                  <c:v>15</c:v>
                </c:pt>
              </c:numCache>
            </c:numRef>
          </c:val>
          <c:extLst>
            <c:ext xmlns:c16="http://schemas.microsoft.com/office/drawing/2014/chart" uri="{C3380CC4-5D6E-409C-BE32-E72D297353CC}">
              <c16:uniqueId val="{00000000-37B1-4B97-B664-668EC6617F52}"/>
            </c:ext>
          </c:extLst>
        </c:ser>
        <c:dLbls>
          <c:showLegendKey val="0"/>
          <c:showVal val="0"/>
          <c:showCatName val="0"/>
          <c:showSerName val="0"/>
          <c:showPercent val="0"/>
          <c:showBubbleSize val="0"/>
        </c:dLbls>
        <c:gapWidth val="0"/>
        <c:axId val="1709105967"/>
        <c:axId val="1610910879"/>
      </c:barChart>
      <c:catAx>
        <c:axId val="1709105967"/>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1610910879"/>
        <c:crosses val="autoZero"/>
        <c:auto val="1"/>
        <c:lblAlgn val="ctr"/>
        <c:lblOffset val="100"/>
        <c:noMultiLvlLbl val="0"/>
      </c:catAx>
      <c:valAx>
        <c:axId val="161091087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709105967"/>
        <c:crosses val="autoZero"/>
        <c:crossBetween val="between"/>
        <c:majorUnit val="5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Chart of Items Purchased</a:t>
            </a:r>
          </a:p>
        </c:rich>
      </c:tx>
      <c:overlay val="0"/>
    </c:title>
    <c:autoTitleDeleted val="0"/>
    <c:plotArea>
      <c:layout/>
      <c:barChart>
        <c:barDir val="col"/>
        <c:grouping val="clustered"/>
        <c:varyColors val="0"/>
        <c:ser>
          <c:idx val="0"/>
          <c:order val="0"/>
          <c:tx>
            <c:v>Frequency</c:v>
          </c:tx>
          <c:invertIfNegative val="0"/>
          <c:cat>
            <c:strRef>
              <c:f>'Items Purchased'!$V$3:$V$9</c:f>
              <c:strCache>
                <c:ptCount val="7"/>
                <c:pt idx="0">
                  <c:v>1</c:v>
                </c:pt>
                <c:pt idx="1">
                  <c:v>3</c:v>
                </c:pt>
                <c:pt idx="2">
                  <c:v>5</c:v>
                </c:pt>
                <c:pt idx="3">
                  <c:v>7</c:v>
                </c:pt>
                <c:pt idx="4">
                  <c:v>9</c:v>
                </c:pt>
                <c:pt idx="5">
                  <c:v>11</c:v>
                </c:pt>
                <c:pt idx="6">
                  <c:v>More</c:v>
                </c:pt>
              </c:strCache>
            </c:strRef>
          </c:cat>
          <c:val>
            <c:numRef>
              <c:f>'Items Purchased'!$W$3:$W$9</c:f>
              <c:numCache>
                <c:formatCode>General</c:formatCode>
                <c:ptCount val="7"/>
                <c:pt idx="0">
                  <c:v>327</c:v>
                </c:pt>
                <c:pt idx="1">
                  <c:v>338</c:v>
                </c:pt>
                <c:pt idx="2">
                  <c:v>290</c:v>
                </c:pt>
                <c:pt idx="3">
                  <c:v>54</c:v>
                </c:pt>
                <c:pt idx="4">
                  <c:v>22</c:v>
                </c:pt>
                <c:pt idx="5">
                  <c:v>3</c:v>
                </c:pt>
                <c:pt idx="6">
                  <c:v>15</c:v>
                </c:pt>
              </c:numCache>
            </c:numRef>
          </c:val>
          <c:extLst>
            <c:ext xmlns:c16="http://schemas.microsoft.com/office/drawing/2014/chart" uri="{C3380CC4-5D6E-409C-BE32-E72D297353CC}">
              <c16:uniqueId val="{00000000-5B16-40C1-9748-2D1200F322D0}"/>
            </c:ext>
          </c:extLst>
        </c:ser>
        <c:dLbls>
          <c:showLegendKey val="0"/>
          <c:showVal val="0"/>
          <c:showCatName val="0"/>
          <c:showSerName val="0"/>
          <c:showPercent val="0"/>
          <c:showBubbleSize val="0"/>
        </c:dLbls>
        <c:gapWidth val="0"/>
        <c:axId val="623467023"/>
        <c:axId val="623467503"/>
      </c:barChart>
      <c:catAx>
        <c:axId val="623467023"/>
        <c:scaling>
          <c:orientation val="minMax"/>
        </c:scaling>
        <c:delete val="0"/>
        <c:axPos val="b"/>
        <c:title>
          <c:tx>
            <c:rich>
              <a:bodyPr/>
              <a:lstStyle/>
              <a:p>
                <a:pPr>
                  <a:defRPr/>
                </a:pPr>
                <a:r>
                  <a:rPr lang="en-US"/>
                  <a:t>Items</a:t>
                </a:r>
              </a:p>
            </c:rich>
          </c:tx>
          <c:overlay val="0"/>
        </c:title>
        <c:numFmt formatCode="General" sourceLinked="1"/>
        <c:majorTickMark val="out"/>
        <c:minorTickMark val="none"/>
        <c:tickLblPos val="nextTo"/>
        <c:crossAx val="623467503"/>
        <c:crosses val="autoZero"/>
        <c:auto val="1"/>
        <c:lblAlgn val="ctr"/>
        <c:lblOffset val="100"/>
        <c:noMultiLvlLbl val="0"/>
      </c:catAx>
      <c:valAx>
        <c:axId val="623467503"/>
        <c:scaling>
          <c:orientation val="minMax"/>
        </c:scaling>
        <c:delete val="0"/>
        <c:axPos val="l"/>
        <c:title>
          <c:tx>
            <c:rich>
              <a:bodyPr/>
              <a:lstStyle/>
              <a:p>
                <a:pPr>
                  <a:defRPr/>
                </a:pPr>
                <a:r>
                  <a:rPr lang="en-US"/>
                  <a:t>Customers</a:t>
                </a:r>
              </a:p>
            </c:rich>
          </c:tx>
          <c:overlay val="0"/>
        </c:title>
        <c:numFmt formatCode="General" sourceLinked="1"/>
        <c:majorTickMark val="out"/>
        <c:minorTickMark val="none"/>
        <c:tickLblPos val="nextTo"/>
        <c:crossAx val="62346702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[BombasData 1 POST Team 3 Completed.xlsx]First Order Purchase Day!PivotTable4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First Orders by Day of the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'First Order Purchase Day'!$B$1</c:f>
              <c:strCache>
                <c:ptCount val="1"/>
                <c:pt idx="0">
                  <c:v>Total</c:v>
                </c:pt>
              </c:strCache>
            </c:strRef>
          </c:tx>
          <c:spPr>
            <a:solidFill>
              <a:schemeClr val="accent1"/>
            </a:solidFill>
            <a:ln>
              <a:noFill/>
            </a:ln>
            <a:effectLst/>
          </c:spPr>
          <c:invertIfNegative val="0"/>
          <c:cat>
            <c:strRef>
              <c:f>'First Order Purchase Day'!$A$2:$A$33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'First Order Purchase Day'!$B$2:$B$33</c:f>
              <c:numCache>
                <c:formatCode>General</c:formatCode>
                <c:ptCount val="31"/>
                <c:pt idx="0">
                  <c:v>35</c:v>
                </c:pt>
                <c:pt idx="1">
                  <c:v>30</c:v>
                </c:pt>
                <c:pt idx="2">
                  <c:v>38</c:v>
                </c:pt>
                <c:pt idx="3">
                  <c:v>36</c:v>
                </c:pt>
                <c:pt idx="4">
                  <c:v>29</c:v>
                </c:pt>
                <c:pt idx="5">
                  <c:v>37</c:v>
                </c:pt>
                <c:pt idx="6">
                  <c:v>28</c:v>
                </c:pt>
                <c:pt idx="7">
                  <c:v>33</c:v>
                </c:pt>
                <c:pt idx="8">
                  <c:v>32</c:v>
                </c:pt>
                <c:pt idx="9">
                  <c:v>35</c:v>
                </c:pt>
                <c:pt idx="10">
                  <c:v>40</c:v>
                </c:pt>
                <c:pt idx="11">
                  <c:v>41</c:v>
                </c:pt>
                <c:pt idx="12">
                  <c:v>37</c:v>
                </c:pt>
                <c:pt idx="13">
                  <c:v>23</c:v>
                </c:pt>
                <c:pt idx="14">
                  <c:v>41</c:v>
                </c:pt>
                <c:pt idx="15">
                  <c:v>37</c:v>
                </c:pt>
                <c:pt idx="16">
                  <c:v>35</c:v>
                </c:pt>
                <c:pt idx="17">
                  <c:v>41</c:v>
                </c:pt>
                <c:pt idx="18">
                  <c:v>46</c:v>
                </c:pt>
                <c:pt idx="19">
                  <c:v>36</c:v>
                </c:pt>
                <c:pt idx="20">
                  <c:v>38</c:v>
                </c:pt>
                <c:pt idx="21">
                  <c:v>48</c:v>
                </c:pt>
                <c:pt idx="22">
                  <c:v>38</c:v>
                </c:pt>
                <c:pt idx="23">
                  <c:v>30</c:v>
                </c:pt>
                <c:pt idx="24">
                  <c:v>30</c:v>
                </c:pt>
                <c:pt idx="25">
                  <c:v>26</c:v>
                </c:pt>
                <c:pt idx="26">
                  <c:v>25</c:v>
                </c:pt>
                <c:pt idx="27">
                  <c:v>34</c:v>
                </c:pt>
                <c:pt idx="28">
                  <c:v>30</c:v>
                </c:pt>
                <c:pt idx="29">
                  <c:v>30</c:v>
                </c:pt>
                <c:pt idx="30">
                  <c:v>10</c:v>
                </c:pt>
              </c:numCache>
            </c:numRef>
          </c:val>
          <c:extLst>
            <c:ext xmlns:c16="http://schemas.microsoft.com/office/drawing/2014/chart" uri="{C3380CC4-5D6E-409C-BE32-E72D297353CC}">
              <c16:uniqueId val="{00000000-5D84-4DA6-B4E4-8CC9B01F0531}"/>
            </c:ext>
          </c:extLst>
        </c:ser>
        <c:dLbls>
          <c:showLegendKey val="0"/>
          <c:showVal val="0"/>
          <c:showCatName val="0"/>
          <c:showSerName val="0"/>
          <c:showPercent val="0"/>
          <c:showBubbleSize val="0"/>
        </c:dLbls>
        <c:gapWidth val="182"/>
        <c:axId val="1351939824"/>
        <c:axId val="1351940304"/>
      </c:barChart>
      <c:catAx>
        <c:axId val="1351939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 of 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40304"/>
        <c:crosses val="autoZero"/>
        <c:auto val="1"/>
        <c:lblAlgn val="ctr"/>
        <c:lblOffset val="100"/>
        <c:noMultiLvlLbl val="0"/>
      </c:catAx>
      <c:valAx>
        <c:axId val="1351940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[BombasData 1 POST Team 3 Completed.xlsx]Average Revenue by Month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First Order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Revenue by Month '!$B$3</c:f>
              <c:strCache>
                <c:ptCount val="1"/>
                <c:pt idx="0">
                  <c:v>Total</c:v>
                </c:pt>
              </c:strCache>
            </c:strRef>
          </c:tx>
          <c:spPr>
            <a:solidFill>
              <a:schemeClr val="accent1"/>
            </a:solidFill>
            <a:ln>
              <a:noFill/>
            </a:ln>
            <a:effectLst/>
          </c:spPr>
          <c:invertIfNegative val="0"/>
          <c:cat>
            <c:strRef>
              <c:f>'Average Revenue by Month '!$A$4:$A$13</c:f>
              <c:strCache>
                <c:ptCount val="9"/>
                <c:pt idx="0">
                  <c:v>Jan</c:v>
                </c:pt>
                <c:pt idx="1">
                  <c:v>Feb</c:v>
                </c:pt>
                <c:pt idx="2">
                  <c:v>Mar</c:v>
                </c:pt>
                <c:pt idx="3">
                  <c:v>Apr</c:v>
                </c:pt>
                <c:pt idx="4">
                  <c:v>May</c:v>
                </c:pt>
                <c:pt idx="5">
                  <c:v>Jun</c:v>
                </c:pt>
                <c:pt idx="6">
                  <c:v>Jul</c:v>
                </c:pt>
                <c:pt idx="7">
                  <c:v>Aug</c:v>
                </c:pt>
                <c:pt idx="8">
                  <c:v>Sep</c:v>
                </c:pt>
              </c:strCache>
            </c:strRef>
          </c:cat>
          <c:val>
            <c:numRef>
              <c:f>'Average Revenue by Month '!$B$4:$B$13</c:f>
              <c:numCache>
                <c:formatCode>General</c:formatCode>
                <c:ptCount val="9"/>
                <c:pt idx="0">
                  <c:v>30.841059602649025</c:v>
                </c:pt>
                <c:pt idx="1">
                  <c:v>32.239196428571418</c:v>
                </c:pt>
                <c:pt idx="2">
                  <c:v>35.616541353383489</c:v>
                </c:pt>
                <c:pt idx="3">
                  <c:v>33.151515151515135</c:v>
                </c:pt>
                <c:pt idx="4">
                  <c:v>34.615471698113225</c:v>
                </c:pt>
                <c:pt idx="5">
                  <c:v>38.850903225806476</c:v>
                </c:pt>
                <c:pt idx="6">
                  <c:v>47.662589928057592</c:v>
                </c:pt>
                <c:pt idx="7">
                  <c:v>43.385887850467299</c:v>
                </c:pt>
                <c:pt idx="8">
                  <c:v>43.964750000000024</c:v>
                </c:pt>
              </c:numCache>
            </c:numRef>
          </c:val>
          <c:extLst>
            <c:ext xmlns:c16="http://schemas.microsoft.com/office/drawing/2014/chart" uri="{C3380CC4-5D6E-409C-BE32-E72D297353CC}">
              <c16:uniqueId val="{00000000-98E3-4B61-B7A9-42465D121E07}"/>
            </c:ext>
          </c:extLst>
        </c:ser>
        <c:dLbls>
          <c:showLegendKey val="0"/>
          <c:showVal val="0"/>
          <c:showCatName val="0"/>
          <c:showSerName val="0"/>
          <c:showPercent val="0"/>
          <c:showBubbleSize val="0"/>
        </c:dLbls>
        <c:gapWidth val="219"/>
        <c:overlap val="-27"/>
        <c:axId val="995553760"/>
        <c:axId val="995548352"/>
      </c:barChart>
      <c:catAx>
        <c:axId val="99555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48352"/>
        <c:crosses val="autoZero"/>
        <c:auto val="1"/>
        <c:lblAlgn val="ctr"/>
        <c:lblOffset val="100"/>
        <c:noMultiLvlLbl val="0"/>
      </c:catAx>
      <c:valAx>
        <c:axId val="99554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[BombasData 1 POST Team 3 Completed.xlsx]Average Revenue By hour!PivotTable4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First Order 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Revenue By hour'!$B$3</c:f>
              <c:strCache>
                <c:ptCount val="1"/>
                <c:pt idx="0">
                  <c:v>Total</c:v>
                </c:pt>
              </c:strCache>
            </c:strRef>
          </c:tx>
          <c:spPr>
            <a:ln w="28575" cap="rnd">
              <a:solidFill>
                <a:schemeClr val="accent1"/>
              </a:solidFill>
              <a:round/>
            </a:ln>
            <a:effectLst/>
          </c:spPr>
          <c:marker>
            <c:symbol val="none"/>
          </c:marker>
          <c:cat>
            <c:strRef>
              <c:f>'Average Revenue By hour'!$A$4:$A$28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'Average Revenue By hour'!$B$4:$B$28</c:f>
              <c:numCache>
                <c:formatCode>General</c:formatCode>
                <c:ptCount val="24"/>
                <c:pt idx="0">
                  <c:v>43.884615384615387</c:v>
                </c:pt>
                <c:pt idx="1">
                  <c:v>30.57866666666667</c:v>
                </c:pt>
                <c:pt idx="2">
                  <c:v>36.08</c:v>
                </c:pt>
                <c:pt idx="3">
                  <c:v>28.3</c:v>
                </c:pt>
                <c:pt idx="4">
                  <c:v>28.8</c:v>
                </c:pt>
                <c:pt idx="5">
                  <c:v>37.904000000000003</c:v>
                </c:pt>
                <c:pt idx="6">
                  <c:v>34.773333333333341</c:v>
                </c:pt>
                <c:pt idx="7">
                  <c:v>30.332916666666662</c:v>
                </c:pt>
                <c:pt idx="8">
                  <c:v>41.313249999999989</c:v>
                </c:pt>
                <c:pt idx="9">
                  <c:v>37.841428571428573</c:v>
                </c:pt>
                <c:pt idx="10">
                  <c:v>35.17555555555554</c:v>
                </c:pt>
                <c:pt idx="11">
                  <c:v>33.835979381443316</c:v>
                </c:pt>
                <c:pt idx="12">
                  <c:v>37.605921052631579</c:v>
                </c:pt>
                <c:pt idx="13">
                  <c:v>35.732333333333344</c:v>
                </c:pt>
                <c:pt idx="14">
                  <c:v>35.953432835820898</c:v>
                </c:pt>
                <c:pt idx="15">
                  <c:v>35.483225806451607</c:v>
                </c:pt>
                <c:pt idx="16">
                  <c:v>38.290133333333323</c:v>
                </c:pt>
                <c:pt idx="17">
                  <c:v>44.380588235294105</c:v>
                </c:pt>
                <c:pt idx="18">
                  <c:v>49.3421951219512</c:v>
                </c:pt>
                <c:pt idx="19">
                  <c:v>39.627500000000005</c:v>
                </c:pt>
                <c:pt idx="20">
                  <c:v>36.856562500000003</c:v>
                </c:pt>
                <c:pt idx="21">
                  <c:v>36.326551724137921</c:v>
                </c:pt>
                <c:pt idx="22">
                  <c:v>46.334222222222223</c:v>
                </c:pt>
                <c:pt idx="23">
                  <c:v>35.480930232558123</c:v>
                </c:pt>
              </c:numCache>
            </c:numRef>
          </c:val>
          <c:smooth val="0"/>
          <c:extLst>
            <c:ext xmlns:c16="http://schemas.microsoft.com/office/drawing/2014/chart" uri="{C3380CC4-5D6E-409C-BE32-E72D297353CC}">
              <c16:uniqueId val="{00000000-06BC-4710-AAEA-0255D4B7A976}"/>
            </c:ext>
          </c:extLst>
        </c:ser>
        <c:dLbls>
          <c:showLegendKey val="0"/>
          <c:showVal val="0"/>
          <c:showCatName val="0"/>
          <c:showSerName val="0"/>
          <c:showPercent val="0"/>
          <c:showBubbleSize val="0"/>
        </c:dLbls>
        <c:smooth val="0"/>
        <c:axId val="857738368"/>
        <c:axId val="857735456"/>
      </c:lineChart>
      <c:catAx>
        <c:axId val="85773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35456"/>
        <c:crosses val="autoZero"/>
        <c:auto val="1"/>
        <c:lblAlgn val="ctr"/>
        <c:lblOffset val="100"/>
        <c:noMultiLvlLbl val="0"/>
      </c:catAx>
      <c:valAx>
        <c:axId val="857735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[BombasData 1 POST Team 3 Completed.xlsx]First Order Purchase Date!PivotTable5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'First Order Purchase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'First Order Purchase Date'!$A$4:$A$263</c:f>
              <c:multiLvlStrCache>
                <c:ptCount val="250"/>
                <c:lvl>
                  <c:pt idx="0">
                    <c:v>2-Jan</c:v>
                  </c:pt>
                  <c:pt idx="1">
                    <c:v>3-Jan</c:v>
                  </c:pt>
                  <c:pt idx="2">
                    <c:v>4-Jan</c:v>
                  </c:pt>
                  <c:pt idx="3">
                    <c:v>5-Jan</c:v>
                  </c:pt>
                  <c:pt idx="4">
                    <c:v>7-Jan</c:v>
                  </c:pt>
                  <c:pt idx="5">
                    <c:v>8-Jan</c:v>
                  </c:pt>
                  <c:pt idx="6">
                    <c:v>10-Jan</c:v>
                  </c:pt>
                  <c:pt idx="7">
                    <c:v>11-Jan</c:v>
                  </c:pt>
                  <c:pt idx="8">
                    <c:v>12-Jan</c:v>
                  </c:pt>
                  <c:pt idx="9">
                    <c:v>13-Jan</c:v>
                  </c:pt>
                  <c:pt idx="10">
                    <c:v>14-Jan</c:v>
                  </c:pt>
                  <c:pt idx="11">
                    <c:v>15-Jan</c:v>
                  </c:pt>
                  <c:pt idx="12">
                    <c:v>16-Jan</c:v>
                  </c:pt>
                  <c:pt idx="13">
                    <c:v>17-Jan</c:v>
                  </c:pt>
                  <c:pt idx="14">
                    <c:v>18-Jan</c:v>
                  </c:pt>
                  <c:pt idx="15">
                    <c:v>19-Jan</c:v>
                  </c:pt>
                  <c:pt idx="16">
                    <c:v>20-Jan</c:v>
                  </c:pt>
                  <c:pt idx="17">
                    <c:v>21-Jan</c:v>
                  </c:pt>
                  <c:pt idx="18">
                    <c:v>22-Jan</c:v>
                  </c:pt>
                  <c:pt idx="19">
                    <c:v>23-Jan</c:v>
                  </c:pt>
                  <c:pt idx="20">
                    <c:v>24-Jan</c:v>
                  </c:pt>
                  <c:pt idx="21">
                    <c:v>25-Jan</c:v>
                  </c:pt>
                  <c:pt idx="22">
                    <c:v>26-Jan</c:v>
                  </c:pt>
                  <c:pt idx="23">
                    <c:v>27-Jan</c:v>
                  </c:pt>
                  <c:pt idx="24">
                    <c:v>28-Jan</c:v>
                  </c:pt>
                  <c:pt idx="25">
                    <c:v>29-Jan</c:v>
                  </c:pt>
                  <c:pt idx="26">
                    <c:v>30-Jan</c:v>
                  </c:pt>
                  <c:pt idx="27">
                    <c:v>31-Jan</c:v>
                  </c:pt>
                  <c:pt idx="28">
                    <c:v>1-Feb</c:v>
                  </c:pt>
                  <c:pt idx="29">
                    <c:v>2-Feb</c:v>
                  </c:pt>
                  <c:pt idx="30">
                    <c:v>3-Feb</c:v>
                  </c:pt>
                  <c:pt idx="31">
                    <c:v>4-Feb</c:v>
                  </c:pt>
                  <c:pt idx="32">
                    <c:v>5-Feb</c:v>
                  </c:pt>
                  <c:pt idx="33">
                    <c:v>6-Feb</c:v>
                  </c:pt>
                  <c:pt idx="34">
                    <c:v>7-Feb</c:v>
                  </c:pt>
                  <c:pt idx="35">
                    <c:v>8-Feb</c:v>
                  </c:pt>
                  <c:pt idx="36">
                    <c:v>9-Feb</c:v>
                  </c:pt>
                  <c:pt idx="37">
                    <c:v>10-Feb</c:v>
                  </c:pt>
                  <c:pt idx="38">
                    <c:v>11-Feb</c:v>
                  </c:pt>
                  <c:pt idx="39">
                    <c:v>12-Feb</c:v>
                  </c:pt>
                  <c:pt idx="40">
                    <c:v>13-Feb</c:v>
                  </c:pt>
                  <c:pt idx="41">
                    <c:v>14-Feb</c:v>
                  </c:pt>
                  <c:pt idx="42">
                    <c:v>15-Feb</c:v>
                  </c:pt>
                  <c:pt idx="43">
                    <c:v>16-Feb</c:v>
                  </c:pt>
                  <c:pt idx="44">
                    <c:v>17-Feb</c:v>
                  </c:pt>
                  <c:pt idx="45">
                    <c:v>18-Feb</c:v>
                  </c:pt>
                  <c:pt idx="46">
                    <c:v>19-Feb</c:v>
                  </c:pt>
                  <c:pt idx="47">
                    <c:v>20-Feb</c:v>
                  </c:pt>
                  <c:pt idx="48">
                    <c:v>21-Feb</c:v>
                  </c:pt>
                  <c:pt idx="49">
                    <c:v>22-Feb</c:v>
                  </c:pt>
                  <c:pt idx="50">
                    <c:v>23-Feb</c:v>
                  </c:pt>
                  <c:pt idx="51">
                    <c:v>24-Feb</c:v>
                  </c:pt>
                  <c:pt idx="52">
                    <c:v>25-Feb</c:v>
                  </c:pt>
                  <c:pt idx="53">
                    <c:v>26-Feb</c:v>
                  </c:pt>
                  <c:pt idx="54">
                    <c:v>27-Feb</c:v>
                  </c:pt>
                  <c:pt idx="55">
                    <c:v>28-Feb</c:v>
                  </c:pt>
                  <c:pt idx="56">
                    <c:v>1-Mar</c:v>
                  </c:pt>
                  <c:pt idx="57">
                    <c:v>2-Mar</c:v>
                  </c:pt>
                  <c:pt idx="58">
                    <c:v>3-Mar</c:v>
                  </c:pt>
                  <c:pt idx="59">
                    <c:v>4-Mar</c:v>
                  </c:pt>
                  <c:pt idx="60">
                    <c:v>5-Mar</c:v>
                  </c:pt>
                  <c:pt idx="61">
                    <c:v>6-Mar</c:v>
                  </c:pt>
                  <c:pt idx="62">
                    <c:v>7-Mar</c:v>
                  </c:pt>
                  <c:pt idx="63">
                    <c:v>8-Mar</c:v>
                  </c:pt>
                  <c:pt idx="64">
                    <c:v>9-Mar</c:v>
                  </c:pt>
                  <c:pt idx="65">
                    <c:v>10-Mar</c:v>
                  </c:pt>
                  <c:pt idx="66">
                    <c:v>11-Mar</c:v>
                  </c:pt>
                  <c:pt idx="67">
                    <c:v>12-Mar</c:v>
                  </c:pt>
                  <c:pt idx="68">
                    <c:v>13-Mar</c:v>
                  </c:pt>
                  <c:pt idx="69">
                    <c:v>14-Mar</c:v>
                  </c:pt>
                  <c:pt idx="70">
                    <c:v>15-Mar</c:v>
                  </c:pt>
                  <c:pt idx="71">
                    <c:v>16-Mar</c:v>
                  </c:pt>
                  <c:pt idx="72">
                    <c:v>17-Mar</c:v>
                  </c:pt>
                  <c:pt idx="73">
                    <c:v>18-Mar</c:v>
                  </c:pt>
                  <c:pt idx="74">
                    <c:v>19-Mar</c:v>
                  </c:pt>
                  <c:pt idx="75">
                    <c:v>20-Mar</c:v>
                  </c:pt>
                  <c:pt idx="76">
                    <c:v>21-Mar</c:v>
                  </c:pt>
                  <c:pt idx="77">
                    <c:v>22-Mar</c:v>
                  </c:pt>
                  <c:pt idx="78">
                    <c:v>23-Mar</c:v>
                  </c:pt>
                  <c:pt idx="79">
                    <c:v>24-Mar</c:v>
                  </c:pt>
                  <c:pt idx="80">
                    <c:v>25-Mar</c:v>
                  </c:pt>
                  <c:pt idx="81">
                    <c:v>27-Mar</c:v>
                  </c:pt>
                  <c:pt idx="82">
                    <c:v>28-Mar</c:v>
                  </c:pt>
                  <c:pt idx="83">
                    <c:v>29-Mar</c:v>
                  </c:pt>
                  <c:pt idx="84">
                    <c:v>30-Mar</c:v>
                  </c:pt>
                  <c:pt idx="85">
                    <c:v>1-Apr</c:v>
                  </c:pt>
                  <c:pt idx="86">
                    <c:v>3-Apr</c:v>
                  </c:pt>
                  <c:pt idx="87">
                    <c:v>4-Apr</c:v>
                  </c:pt>
                  <c:pt idx="88">
                    <c:v>5-Apr</c:v>
                  </c:pt>
                  <c:pt idx="89">
                    <c:v>6-Apr</c:v>
                  </c:pt>
                  <c:pt idx="90">
                    <c:v>7-Apr</c:v>
                  </c:pt>
                  <c:pt idx="91">
                    <c:v>8-Apr</c:v>
                  </c:pt>
                  <c:pt idx="92">
                    <c:v>9-Apr</c:v>
                  </c:pt>
                  <c:pt idx="93">
                    <c:v>11-Apr</c:v>
                  </c:pt>
                  <c:pt idx="94">
                    <c:v>12-Apr</c:v>
                  </c:pt>
                  <c:pt idx="95">
                    <c:v>13-Apr</c:v>
                  </c:pt>
                  <c:pt idx="96">
                    <c:v>14-Apr</c:v>
                  </c:pt>
                  <c:pt idx="97">
                    <c:v>15-Apr</c:v>
                  </c:pt>
                  <c:pt idx="98">
                    <c:v>16-Apr</c:v>
                  </c:pt>
                  <c:pt idx="99">
                    <c:v>17-Apr</c:v>
                  </c:pt>
                  <c:pt idx="100">
                    <c:v>18-Apr</c:v>
                  </c:pt>
                  <c:pt idx="101">
                    <c:v>19-Apr</c:v>
                  </c:pt>
                  <c:pt idx="102">
                    <c:v>21-Apr</c:v>
                  </c:pt>
                  <c:pt idx="103">
                    <c:v>23-Apr</c:v>
                  </c:pt>
                  <c:pt idx="104">
                    <c:v>24-Apr</c:v>
                  </c:pt>
                  <c:pt idx="105">
                    <c:v>25-Apr</c:v>
                  </c:pt>
                  <c:pt idx="106">
                    <c:v>26-Apr</c:v>
                  </c:pt>
                  <c:pt idx="107">
                    <c:v>27-Apr</c:v>
                  </c:pt>
                  <c:pt idx="108">
                    <c:v>28-Apr</c:v>
                  </c:pt>
                  <c:pt idx="109">
                    <c:v>30-Apr</c:v>
                  </c:pt>
                  <c:pt idx="110">
                    <c:v>1-May</c:v>
                  </c:pt>
                  <c:pt idx="111">
                    <c:v>2-May</c:v>
                  </c:pt>
                  <c:pt idx="112">
                    <c:v>3-May</c:v>
                  </c:pt>
                  <c:pt idx="113">
                    <c:v>4-May</c:v>
                  </c:pt>
                  <c:pt idx="114">
                    <c:v>5-May</c:v>
                  </c:pt>
                  <c:pt idx="115">
                    <c:v>6-May</c:v>
                  </c:pt>
                  <c:pt idx="116">
                    <c:v>7-May</c:v>
                  </c:pt>
                  <c:pt idx="117">
                    <c:v>9-May</c:v>
                  </c:pt>
                  <c:pt idx="118">
                    <c:v>10-May</c:v>
                  </c:pt>
                  <c:pt idx="119">
                    <c:v>11-May</c:v>
                  </c:pt>
                  <c:pt idx="120">
                    <c:v>12-May</c:v>
                  </c:pt>
                  <c:pt idx="121">
                    <c:v>13-May</c:v>
                  </c:pt>
                  <c:pt idx="122">
                    <c:v>14-May</c:v>
                  </c:pt>
                  <c:pt idx="123">
                    <c:v>15-May</c:v>
                  </c:pt>
                  <c:pt idx="124">
                    <c:v>16-May</c:v>
                  </c:pt>
                  <c:pt idx="125">
                    <c:v>17-May</c:v>
                  </c:pt>
                  <c:pt idx="126">
                    <c:v>18-May</c:v>
                  </c:pt>
                  <c:pt idx="127">
                    <c:v>19-May</c:v>
                  </c:pt>
                  <c:pt idx="128">
                    <c:v>20-May</c:v>
                  </c:pt>
                  <c:pt idx="129">
                    <c:v>21-May</c:v>
                  </c:pt>
                  <c:pt idx="130">
                    <c:v>22-May</c:v>
                  </c:pt>
                  <c:pt idx="131">
                    <c:v>23-May</c:v>
                  </c:pt>
                  <c:pt idx="132">
                    <c:v>25-May</c:v>
                  </c:pt>
                  <c:pt idx="133">
                    <c:v>26-May</c:v>
                  </c:pt>
                  <c:pt idx="134">
                    <c:v>27-May</c:v>
                  </c:pt>
                  <c:pt idx="135">
                    <c:v>28-May</c:v>
                  </c:pt>
                  <c:pt idx="136">
                    <c:v>29-May</c:v>
                  </c:pt>
                  <c:pt idx="137">
                    <c:v>30-May</c:v>
                  </c:pt>
                  <c:pt idx="138">
                    <c:v>31-May</c:v>
                  </c:pt>
                  <c:pt idx="139">
                    <c:v>1-Jun</c:v>
                  </c:pt>
                  <c:pt idx="140">
                    <c:v>2-Jun</c:v>
                  </c:pt>
                  <c:pt idx="141">
                    <c:v>3-Jun</c:v>
                  </c:pt>
                  <c:pt idx="142">
                    <c:v>4-Jun</c:v>
                  </c:pt>
                  <c:pt idx="143">
                    <c:v>5-Jun</c:v>
                  </c:pt>
                  <c:pt idx="144">
                    <c:v>6-Jun</c:v>
                  </c:pt>
                  <c:pt idx="145">
                    <c:v>7-Jun</c:v>
                  </c:pt>
                  <c:pt idx="146">
                    <c:v>8-Jun</c:v>
                  </c:pt>
                  <c:pt idx="147">
                    <c:v>9-Jun</c:v>
                  </c:pt>
                  <c:pt idx="148">
                    <c:v>10-Jun</c:v>
                  </c:pt>
                  <c:pt idx="149">
                    <c:v>11-Jun</c:v>
                  </c:pt>
                  <c:pt idx="150">
                    <c:v>12-Jun</c:v>
                  </c:pt>
                  <c:pt idx="151">
                    <c:v>13-Jun</c:v>
                  </c:pt>
                  <c:pt idx="152">
                    <c:v>14-Jun</c:v>
                  </c:pt>
                  <c:pt idx="153">
                    <c:v>15-Jun</c:v>
                  </c:pt>
                  <c:pt idx="154">
                    <c:v>16-Jun</c:v>
                  </c:pt>
                  <c:pt idx="155">
                    <c:v>17-Jun</c:v>
                  </c:pt>
                  <c:pt idx="156">
                    <c:v>18-Jun</c:v>
                  </c:pt>
                  <c:pt idx="157">
                    <c:v>19-Jun</c:v>
                  </c:pt>
                  <c:pt idx="158">
                    <c:v>20-Jun</c:v>
                  </c:pt>
                  <c:pt idx="159">
                    <c:v>21-Jun</c:v>
                  </c:pt>
                  <c:pt idx="160">
                    <c:v>22-Jun</c:v>
                  </c:pt>
                  <c:pt idx="161">
                    <c:v>23-Jun</c:v>
                  </c:pt>
                  <c:pt idx="162">
                    <c:v>24-Jun</c:v>
                  </c:pt>
                  <c:pt idx="163">
                    <c:v>25-Jun</c:v>
                  </c:pt>
                  <c:pt idx="164">
                    <c:v>26-Jun</c:v>
                  </c:pt>
                  <c:pt idx="165">
                    <c:v>27-Jun</c:v>
                  </c:pt>
                  <c:pt idx="166">
                    <c:v>28-Jun</c:v>
                  </c:pt>
                  <c:pt idx="167">
                    <c:v>29-Jun</c:v>
                  </c:pt>
                  <c:pt idx="168">
                    <c:v>30-Jun</c:v>
                  </c:pt>
                  <c:pt idx="169">
                    <c:v>1-Jul</c:v>
                  </c:pt>
                  <c:pt idx="170">
                    <c:v>2-Jul</c:v>
                  </c:pt>
                  <c:pt idx="171">
                    <c:v>3-Jul</c:v>
                  </c:pt>
                  <c:pt idx="172">
                    <c:v>5-Jul</c:v>
                  </c:pt>
                  <c:pt idx="173">
                    <c:v>6-Jul</c:v>
                  </c:pt>
                  <c:pt idx="174">
                    <c:v>7-Jul</c:v>
                  </c:pt>
                  <c:pt idx="175">
                    <c:v>8-Jul</c:v>
                  </c:pt>
                  <c:pt idx="176">
                    <c:v>9-Jul</c:v>
                  </c:pt>
                  <c:pt idx="177">
                    <c:v>10-Jul</c:v>
                  </c:pt>
                  <c:pt idx="178">
                    <c:v>11-Jul</c:v>
                  </c:pt>
                  <c:pt idx="179">
                    <c:v>12-Jul</c:v>
                  </c:pt>
                  <c:pt idx="180">
                    <c:v>13-Jul</c:v>
                  </c:pt>
                  <c:pt idx="181">
                    <c:v>14-Jul</c:v>
                  </c:pt>
                  <c:pt idx="182">
                    <c:v>15-Jul</c:v>
                  </c:pt>
                  <c:pt idx="183">
                    <c:v>16-Jul</c:v>
                  </c:pt>
                  <c:pt idx="184">
                    <c:v>17-Jul</c:v>
                  </c:pt>
                  <c:pt idx="185">
                    <c:v>18-Jul</c:v>
                  </c:pt>
                  <c:pt idx="186">
                    <c:v>19-Jul</c:v>
                  </c:pt>
                  <c:pt idx="187">
                    <c:v>20-Jul</c:v>
                  </c:pt>
                  <c:pt idx="188">
                    <c:v>21-Jul</c:v>
                  </c:pt>
                  <c:pt idx="189">
                    <c:v>22-Jul</c:v>
                  </c:pt>
                  <c:pt idx="190">
                    <c:v>23-Jul</c:v>
                  </c:pt>
                  <c:pt idx="191">
                    <c:v>24-Jul</c:v>
                  </c:pt>
                  <c:pt idx="192">
                    <c:v>25-Jul</c:v>
                  </c:pt>
                  <c:pt idx="193">
                    <c:v>26-Jul</c:v>
                  </c:pt>
                  <c:pt idx="194">
                    <c:v>27-Jul</c:v>
                  </c:pt>
                  <c:pt idx="195">
                    <c:v>28-Jul</c:v>
                  </c:pt>
                  <c:pt idx="196">
                    <c:v>29-Jul</c:v>
                  </c:pt>
                  <c:pt idx="197">
                    <c:v>31-Jul</c:v>
                  </c:pt>
                  <c:pt idx="198">
                    <c:v>1-Aug</c:v>
                  </c:pt>
                  <c:pt idx="199">
                    <c:v>2-Aug</c:v>
                  </c:pt>
                  <c:pt idx="200">
                    <c:v>3-Aug</c:v>
                  </c:pt>
                  <c:pt idx="201">
                    <c:v>4-Aug</c:v>
                  </c:pt>
                  <c:pt idx="202">
                    <c:v>5-Aug</c:v>
                  </c:pt>
                  <c:pt idx="203">
                    <c:v>6-Aug</c:v>
                  </c:pt>
                  <c:pt idx="204">
                    <c:v>7-Aug</c:v>
                  </c:pt>
                  <c:pt idx="205">
                    <c:v>8-Aug</c:v>
                  </c:pt>
                  <c:pt idx="206">
                    <c:v>9-Aug</c:v>
                  </c:pt>
                  <c:pt idx="207">
                    <c:v>10-Aug</c:v>
                  </c:pt>
                  <c:pt idx="208">
                    <c:v>11-Aug</c:v>
                  </c:pt>
                  <c:pt idx="209">
                    <c:v>12-Aug</c:v>
                  </c:pt>
                  <c:pt idx="210">
                    <c:v>13-Aug</c:v>
                  </c:pt>
                  <c:pt idx="211">
                    <c:v>14-Aug</c:v>
                  </c:pt>
                  <c:pt idx="212">
                    <c:v>15-Aug</c:v>
                  </c:pt>
                  <c:pt idx="213">
                    <c:v>16-Aug</c:v>
                  </c:pt>
                  <c:pt idx="214">
                    <c:v>17-Aug</c:v>
                  </c:pt>
                  <c:pt idx="215">
                    <c:v>18-Aug</c:v>
                  </c:pt>
                  <c:pt idx="216">
                    <c:v>19-Aug</c:v>
                  </c:pt>
                  <c:pt idx="217">
                    <c:v>20-Aug</c:v>
                  </c:pt>
                  <c:pt idx="218">
                    <c:v>21-Aug</c:v>
                  </c:pt>
                  <c:pt idx="219">
                    <c:v>22-Aug</c:v>
                  </c:pt>
                  <c:pt idx="220">
                    <c:v>23-Aug</c:v>
                  </c:pt>
                  <c:pt idx="221">
                    <c:v>24-Aug</c:v>
                  </c:pt>
                  <c:pt idx="222">
                    <c:v>25-Aug</c:v>
                  </c:pt>
                  <c:pt idx="223">
                    <c:v>26-Aug</c:v>
                  </c:pt>
                  <c:pt idx="224">
                    <c:v>27-Aug</c:v>
                  </c:pt>
                  <c:pt idx="225">
                    <c:v>28-Aug</c:v>
                  </c:pt>
                  <c:pt idx="226">
                    <c:v>29-Aug</c:v>
                  </c:pt>
                  <c:pt idx="227">
                    <c:v>30-Aug</c:v>
                  </c:pt>
                  <c:pt idx="228">
                    <c:v>31-Aug</c:v>
                  </c:pt>
                  <c:pt idx="229">
                    <c:v>1-Sep</c:v>
                  </c:pt>
                  <c:pt idx="230">
                    <c:v>2-Sep</c:v>
                  </c:pt>
                  <c:pt idx="231">
                    <c:v>3-Sep</c:v>
                  </c:pt>
                  <c:pt idx="232">
                    <c:v>4-Sep</c:v>
                  </c:pt>
                  <c:pt idx="233">
                    <c:v>5-Sep</c:v>
                  </c:pt>
                  <c:pt idx="234">
                    <c:v>6-Sep</c:v>
                  </c:pt>
                  <c:pt idx="235">
                    <c:v>7-Sep</c:v>
                  </c:pt>
                  <c:pt idx="236">
                    <c:v>8-Sep</c:v>
                  </c:pt>
                  <c:pt idx="237">
                    <c:v>9-Sep</c:v>
                  </c:pt>
                  <c:pt idx="238">
                    <c:v>10-Sep</c:v>
                  </c:pt>
                  <c:pt idx="239">
                    <c:v>11-Sep</c:v>
                  </c:pt>
                  <c:pt idx="240">
                    <c:v>12-Sep</c:v>
                  </c:pt>
                  <c:pt idx="241">
                    <c:v>13-Sep</c:v>
                  </c:pt>
                  <c:pt idx="242">
                    <c:v>15-Sep</c:v>
                  </c:pt>
                  <c:pt idx="243">
                    <c:v>16-Sep</c:v>
                  </c:pt>
                  <c:pt idx="244">
                    <c:v>17-Sep</c:v>
                  </c:pt>
                  <c:pt idx="245">
                    <c:v>18-Sep</c:v>
                  </c:pt>
                  <c:pt idx="246">
                    <c:v>19-Sep</c:v>
                  </c:pt>
                  <c:pt idx="247">
                    <c:v>20-Sep</c:v>
                  </c:pt>
                  <c:pt idx="248">
                    <c:v>22-Sep</c:v>
                  </c:pt>
                  <c:pt idx="249">
                    <c:v>24-Sep</c:v>
                  </c:pt>
                </c:lvl>
                <c:lvl>
                  <c:pt idx="0">
                    <c:v>Jan</c:v>
                  </c:pt>
                  <c:pt idx="28">
                    <c:v>Feb</c:v>
                  </c:pt>
                  <c:pt idx="56">
                    <c:v>Mar</c:v>
                  </c:pt>
                  <c:pt idx="85">
                    <c:v>Apr</c:v>
                  </c:pt>
                  <c:pt idx="110">
                    <c:v>May</c:v>
                  </c:pt>
                  <c:pt idx="139">
                    <c:v>Jun</c:v>
                  </c:pt>
                  <c:pt idx="169">
                    <c:v>Jul</c:v>
                  </c:pt>
                  <c:pt idx="198">
                    <c:v>Aug</c:v>
                  </c:pt>
                  <c:pt idx="229">
                    <c:v>Sep</c:v>
                  </c:pt>
                </c:lvl>
              </c:multiLvlStrCache>
            </c:multiLvlStrRef>
          </c:cat>
          <c:val>
            <c:numRef>
              <c:f>'First Order Purchase Date'!$B$4:$B$263</c:f>
              <c:numCache>
                <c:formatCode>General</c:formatCode>
                <c:ptCount val="250"/>
                <c:pt idx="0">
                  <c:v>3</c:v>
                </c:pt>
                <c:pt idx="1">
                  <c:v>5</c:v>
                </c:pt>
                <c:pt idx="2">
                  <c:v>4</c:v>
                </c:pt>
                <c:pt idx="3">
                  <c:v>1</c:v>
                </c:pt>
                <c:pt idx="4">
                  <c:v>1</c:v>
                </c:pt>
                <c:pt idx="5">
                  <c:v>1</c:v>
                </c:pt>
                <c:pt idx="6">
                  <c:v>4</c:v>
                </c:pt>
                <c:pt idx="7">
                  <c:v>2</c:v>
                </c:pt>
                <c:pt idx="8">
                  <c:v>4</c:v>
                </c:pt>
                <c:pt idx="9">
                  <c:v>3</c:v>
                </c:pt>
                <c:pt idx="10">
                  <c:v>2</c:v>
                </c:pt>
                <c:pt idx="11">
                  <c:v>6</c:v>
                </c:pt>
                <c:pt idx="12">
                  <c:v>7</c:v>
                </c:pt>
                <c:pt idx="13">
                  <c:v>10</c:v>
                </c:pt>
                <c:pt idx="14">
                  <c:v>9</c:v>
                </c:pt>
                <c:pt idx="15">
                  <c:v>8</c:v>
                </c:pt>
                <c:pt idx="16">
                  <c:v>6</c:v>
                </c:pt>
                <c:pt idx="17">
                  <c:v>9</c:v>
                </c:pt>
                <c:pt idx="18">
                  <c:v>15</c:v>
                </c:pt>
                <c:pt idx="19">
                  <c:v>9</c:v>
                </c:pt>
                <c:pt idx="20">
                  <c:v>3</c:v>
                </c:pt>
                <c:pt idx="21">
                  <c:v>3</c:v>
                </c:pt>
                <c:pt idx="22">
                  <c:v>6</c:v>
                </c:pt>
                <c:pt idx="23">
                  <c:v>9</c:v>
                </c:pt>
                <c:pt idx="24">
                  <c:v>6</c:v>
                </c:pt>
                <c:pt idx="25">
                  <c:v>6</c:v>
                </c:pt>
                <c:pt idx="26">
                  <c:v>7</c:v>
                </c:pt>
                <c:pt idx="27">
                  <c:v>2</c:v>
                </c:pt>
                <c:pt idx="28">
                  <c:v>2</c:v>
                </c:pt>
                <c:pt idx="29">
                  <c:v>4</c:v>
                </c:pt>
                <c:pt idx="30">
                  <c:v>2</c:v>
                </c:pt>
                <c:pt idx="31">
                  <c:v>5</c:v>
                </c:pt>
                <c:pt idx="32">
                  <c:v>3</c:v>
                </c:pt>
                <c:pt idx="33">
                  <c:v>6</c:v>
                </c:pt>
                <c:pt idx="34">
                  <c:v>3</c:v>
                </c:pt>
                <c:pt idx="35">
                  <c:v>6</c:v>
                </c:pt>
                <c:pt idx="36">
                  <c:v>4</c:v>
                </c:pt>
                <c:pt idx="37">
                  <c:v>6</c:v>
                </c:pt>
                <c:pt idx="38">
                  <c:v>2</c:v>
                </c:pt>
                <c:pt idx="39">
                  <c:v>3</c:v>
                </c:pt>
                <c:pt idx="40">
                  <c:v>4</c:v>
                </c:pt>
                <c:pt idx="41">
                  <c:v>4</c:v>
                </c:pt>
                <c:pt idx="42">
                  <c:v>5</c:v>
                </c:pt>
                <c:pt idx="43">
                  <c:v>1</c:v>
                </c:pt>
                <c:pt idx="44">
                  <c:v>1</c:v>
                </c:pt>
                <c:pt idx="45">
                  <c:v>8</c:v>
                </c:pt>
                <c:pt idx="46">
                  <c:v>7</c:v>
                </c:pt>
                <c:pt idx="47">
                  <c:v>3</c:v>
                </c:pt>
                <c:pt idx="48">
                  <c:v>2</c:v>
                </c:pt>
                <c:pt idx="49">
                  <c:v>4</c:v>
                </c:pt>
                <c:pt idx="50">
                  <c:v>6</c:v>
                </c:pt>
                <c:pt idx="51">
                  <c:v>5</c:v>
                </c:pt>
                <c:pt idx="52">
                  <c:v>5</c:v>
                </c:pt>
                <c:pt idx="53">
                  <c:v>3</c:v>
                </c:pt>
                <c:pt idx="54">
                  <c:v>1</c:v>
                </c:pt>
                <c:pt idx="55">
                  <c:v>7</c:v>
                </c:pt>
                <c:pt idx="56">
                  <c:v>3</c:v>
                </c:pt>
                <c:pt idx="57">
                  <c:v>5</c:v>
                </c:pt>
                <c:pt idx="58">
                  <c:v>7</c:v>
                </c:pt>
                <c:pt idx="59">
                  <c:v>11</c:v>
                </c:pt>
                <c:pt idx="60">
                  <c:v>5</c:v>
                </c:pt>
                <c:pt idx="61">
                  <c:v>1</c:v>
                </c:pt>
                <c:pt idx="62">
                  <c:v>5</c:v>
                </c:pt>
                <c:pt idx="63">
                  <c:v>5</c:v>
                </c:pt>
                <c:pt idx="64">
                  <c:v>4</c:v>
                </c:pt>
                <c:pt idx="65">
                  <c:v>6</c:v>
                </c:pt>
                <c:pt idx="66">
                  <c:v>6</c:v>
                </c:pt>
                <c:pt idx="67">
                  <c:v>5</c:v>
                </c:pt>
                <c:pt idx="68">
                  <c:v>2</c:v>
                </c:pt>
                <c:pt idx="69">
                  <c:v>4</c:v>
                </c:pt>
                <c:pt idx="70">
                  <c:v>5</c:v>
                </c:pt>
                <c:pt idx="71">
                  <c:v>3</c:v>
                </c:pt>
                <c:pt idx="72">
                  <c:v>6</c:v>
                </c:pt>
                <c:pt idx="73">
                  <c:v>6</c:v>
                </c:pt>
                <c:pt idx="74">
                  <c:v>5</c:v>
                </c:pt>
                <c:pt idx="75">
                  <c:v>3</c:v>
                </c:pt>
                <c:pt idx="76">
                  <c:v>4</c:v>
                </c:pt>
                <c:pt idx="77">
                  <c:v>7</c:v>
                </c:pt>
                <c:pt idx="78">
                  <c:v>4</c:v>
                </c:pt>
                <c:pt idx="79">
                  <c:v>9</c:v>
                </c:pt>
                <c:pt idx="80">
                  <c:v>5</c:v>
                </c:pt>
                <c:pt idx="81">
                  <c:v>1</c:v>
                </c:pt>
                <c:pt idx="82">
                  <c:v>3</c:v>
                </c:pt>
                <c:pt idx="83">
                  <c:v>1</c:v>
                </c:pt>
                <c:pt idx="84">
                  <c:v>2</c:v>
                </c:pt>
                <c:pt idx="85">
                  <c:v>6</c:v>
                </c:pt>
                <c:pt idx="86">
                  <c:v>3</c:v>
                </c:pt>
                <c:pt idx="87">
                  <c:v>4</c:v>
                </c:pt>
                <c:pt idx="88">
                  <c:v>3</c:v>
                </c:pt>
                <c:pt idx="89">
                  <c:v>3</c:v>
                </c:pt>
                <c:pt idx="90">
                  <c:v>3</c:v>
                </c:pt>
                <c:pt idx="91">
                  <c:v>3</c:v>
                </c:pt>
                <c:pt idx="92">
                  <c:v>2</c:v>
                </c:pt>
                <c:pt idx="93">
                  <c:v>1</c:v>
                </c:pt>
                <c:pt idx="94">
                  <c:v>2</c:v>
                </c:pt>
                <c:pt idx="95">
                  <c:v>2</c:v>
                </c:pt>
                <c:pt idx="96">
                  <c:v>1</c:v>
                </c:pt>
                <c:pt idx="97">
                  <c:v>2</c:v>
                </c:pt>
                <c:pt idx="98">
                  <c:v>4</c:v>
                </c:pt>
                <c:pt idx="99">
                  <c:v>1</c:v>
                </c:pt>
                <c:pt idx="100">
                  <c:v>2</c:v>
                </c:pt>
                <c:pt idx="101">
                  <c:v>4</c:v>
                </c:pt>
                <c:pt idx="102">
                  <c:v>3</c:v>
                </c:pt>
                <c:pt idx="103">
                  <c:v>5</c:v>
                </c:pt>
                <c:pt idx="104">
                  <c:v>1</c:v>
                </c:pt>
                <c:pt idx="105">
                  <c:v>1</c:v>
                </c:pt>
                <c:pt idx="106">
                  <c:v>1</c:v>
                </c:pt>
                <c:pt idx="107">
                  <c:v>1</c:v>
                </c:pt>
                <c:pt idx="108">
                  <c:v>5</c:v>
                </c:pt>
                <c:pt idx="109">
                  <c:v>3</c:v>
                </c:pt>
                <c:pt idx="110">
                  <c:v>4</c:v>
                </c:pt>
                <c:pt idx="111">
                  <c:v>1</c:v>
                </c:pt>
                <c:pt idx="112">
                  <c:v>1</c:v>
                </c:pt>
                <c:pt idx="113">
                  <c:v>1</c:v>
                </c:pt>
                <c:pt idx="114">
                  <c:v>1</c:v>
                </c:pt>
                <c:pt idx="115">
                  <c:v>1</c:v>
                </c:pt>
                <c:pt idx="116">
                  <c:v>2</c:v>
                </c:pt>
                <c:pt idx="117">
                  <c:v>4</c:v>
                </c:pt>
                <c:pt idx="118">
                  <c:v>2</c:v>
                </c:pt>
                <c:pt idx="119">
                  <c:v>2</c:v>
                </c:pt>
                <c:pt idx="120">
                  <c:v>2</c:v>
                </c:pt>
                <c:pt idx="121">
                  <c:v>2</c:v>
                </c:pt>
                <c:pt idx="122">
                  <c:v>2</c:v>
                </c:pt>
                <c:pt idx="123">
                  <c:v>5</c:v>
                </c:pt>
                <c:pt idx="124">
                  <c:v>1</c:v>
                </c:pt>
                <c:pt idx="125">
                  <c:v>1</c:v>
                </c:pt>
                <c:pt idx="126">
                  <c:v>6</c:v>
                </c:pt>
                <c:pt idx="127">
                  <c:v>8</c:v>
                </c:pt>
                <c:pt idx="128">
                  <c:v>6</c:v>
                </c:pt>
                <c:pt idx="129">
                  <c:v>11</c:v>
                </c:pt>
                <c:pt idx="130">
                  <c:v>10</c:v>
                </c:pt>
                <c:pt idx="131">
                  <c:v>5</c:v>
                </c:pt>
                <c:pt idx="132">
                  <c:v>5</c:v>
                </c:pt>
                <c:pt idx="133">
                  <c:v>4</c:v>
                </c:pt>
                <c:pt idx="134">
                  <c:v>1</c:v>
                </c:pt>
                <c:pt idx="135">
                  <c:v>5</c:v>
                </c:pt>
                <c:pt idx="136">
                  <c:v>6</c:v>
                </c:pt>
                <c:pt idx="137">
                  <c:v>3</c:v>
                </c:pt>
                <c:pt idx="138">
                  <c:v>4</c:v>
                </c:pt>
                <c:pt idx="139">
                  <c:v>5</c:v>
                </c:pt>
                <c:pt idx="140">
                  <c:v>6</c:v>
                </c:pt>
                <c:pt idx="141">
                  <c:v>9</c:v>
                </c:pt>
                <c:pt idx="142">
                  <c:v>5</c:v>
                </c:pt>
                <c:pt idx="143">
                  <c:v>3</c:v>
                </c:pt>
                <c:pt idx="144">
                  <c:v>7</c:v>
                </c:pt>
                <c:pt idx="145">
                  <c:v>3</c:v>
                </c:pt>
                <c:pt idx="146">
                  <c:v>9</c:v>
                </c:pt>
                <c:pt idx="147">
                  <c:v>5</c:v>
                </c:pt>
                <c:pt idx="148">
                  <c:v>5</c:v>
                </c:pt>
                <c:pt idx="149">
                  <c:v>10</c:v>
                </c:pt>
                <c:pt idx="150">
                  <c:v>8</c:v>
                </c:pt>
                <c:pt idx="151">
                  <c:v>3</c:v>
                </c:pt>
                <c:pt idx="152">
                  <c:v>2</c:v>
                </c:pt>
                <c:pt idx="153">
                  <c:v>7</c:v>
                </c:pt>
                <c:pt idx="154">
                  <c:v>7</c:v>
                </c:pt>
                <c:pt idx="155">
                  <c:v>8</c:v>
                </c:pt>
                <c:pt idx="156">
                  <c:v>2</c:v>
                </c:pt>
                <c:pt idx="157">
                  <c:v>6</c:v>
                </c:pt>
                <c:pt idx="158">
                  <c:v>1</c:v>
                </c:pt>
                <c:pt idx="159">
                  <c:v>2</c:v>
                </c:pt>
                <c:pt idx="160">
                  <c:v>3</c:v>
                </c:pt>
                <c:pt idx="161">
                  <c:v>4</c:v>
                </c:pt>
                <c:pt idx="162">
                  <c:v>5</c:v>
                </c:pt>
                <c:pt idx="163">
                  <c:v>4</c:v>
                </c:pt>
                <c:pt idx="164">
                  <c:v>5</c:v>
                </c:pt>
                <c:pt idx="165">
                  <c:v>4</c:v>
                </c:pt>
                <c:pt idx="166">
                  <c:v>2</c:v>
                </c:pt>
                <c:pt idx="167">
                  <c:v>9</c:v>
                </c:pt>
                <c:pt idx="168">
                  <c:v>6</c:v>
                </c:pt>
                <c:pt idx="169">
                  <c:v>6</c:v>
                </c:pt>
                <c:pt idx="170">
                  <c:v>4</c:v>
                </c:pt>
                <c:pt idx="171">
                  <c:v>4</c:v>
                </c:pt>
                <c:pt idx="172">
                  <c:v>4</c:v>
                </c:pt>
                <c:pt idx="173">
                  <c:v>12</c:v>
                </c:pt>
                <c:pt idx="174">
                  <c:v>8</c:v>
                </c:pt>
                <c:pt idx="175">
                  <c:v>3</c:v>
                </c:pt>
                <c:pt idx="176">
                  <c:v>7</c:v>
                </c:pt>
                <c:pt idx="177">
                  <c:v>3</c:v>
                </c:pt>
                <c:pt idx="178">
                  <c:v>6</c:v>
                </c:pt>
                <c:pt idx="179">
                  <c:v>6</c:v>
                </c:pt>
                <c:pt idx="180">
                  <c:v>14</c:v>
                </c:pt>
                <c:pt idx="181">
                  <c:v>4</c:v>
                </c:pt>
                <c:pt idx="182">
                  <c:v>3</c:v>
                </c:pt>
                <c:pt idx="183">
                  <c:v>8</c:v>
                </c:pt>
                <c:pt idx="184">
                  <c:v>1</c:v>
                </c:pt>
                <c:pt idx="185">
                  <c:v>1</c:v>
                </c:pt>
                <c:pt idx="186">
                  <c:v>1</c:v>
                </c:pt>
                <c:pt idx="187">
                  <c:v>9</c:v>
                </c:pt>
                <c:pt idx="188">
                  <c:v>2</c:v>
                </c:pt>
                <c:pt idx="189">
                  <c:v>5</c:v>
                </c:pt>
                <c:pt idx="190">
                  <c:v>3</c:v>
                </c:pt>
                <c:pt idx="191">
                  <c:v>2</c:v>
                </c:pt>
                <c:pt idx="192">
                  <c:v>6</c:v>
                </c:pt>
                <c:pt idx="193">
                  <c:v>4</c:v>
                </c:pt>
                <c:pt idx="194">
                  <c:v>5</c:v>
                </c:pt>
                <c:pt idx="195">
                  <c:v>3</c:v>
                </c:pt>
                <c:pt idx="196">
                  <c:v>4</c:v>
                </c:pt>
                <c:pt idx="197">
                  <c:v>1</c:v>
                </c:pt>
                <c:pt idx="198">
                  <c:v>4</c:v>
                </c:pt>
                <c:pt idx="199">
                  <c:v>2</c:v>
                </c:pt>
                <c:pt idx="200">
                  <c:v>1</c:v>
                </c:pt>
                <c:pt idx="201">
                  <c:v>1</c:v>
                </c:pt>
                <c:pt idx="202">
                  <c:v>2</c:v>
                </c:pt>
                <c:pt idx="203">
                  <c:v>2</c:v>
                </c:pt>
                <c:pt idx="204">
                  <c:v>1</c:v>
                </c:pt>
                <c:pt idx="205">
                  <c:v>3</c:v>
                </c:pt>
                <c:pt idx="206">
                  <c:v>3</c:v>
                </c:pt>
                <c:pt idx="207">
                  <c:v>8</c:v>
                </c:pt>
                <c:pt idx="208">
                  <c:v>5</c:v>
                </c:pt>
                <c:pt idx="209">
                  <c:v>6</c:v>
                </c:pt>
                <c:pt idx="210">
                  <c:v>2</c:v>
                </c:pt>
                <c:pt idx="211">
                  <c:v>4</c:v>
                </c:pt>
                <c:pt idx="212">
                  <c:v>6</c:v>
                </c:pt>
                <c:pt idx="213">
                  <c:v>5</c:v>
                </c:pt>
                <c:pt idx="214">
                  <c:v>2</c:v>
                </c:pt>
                <c:pt idx="215">
                  <c:v>5</c:v>
                </c:pt>
                <c:pt idx="216">
                  <c:v>2</c:v>
                </c:pt>
                <c:pt idx="217">
                  <c:v>5</c:v>
                </c:pt>
                <c:pt idx="218">
                  <c:v>5</c:v>
                </c:pt>
                <c:pt idx="219">
                  <c:v>2</c:v>
                </c:pt>
                <c:pt idx="220">
                  <c:v>2</c:v>
                </c:pt>
                <c:pt idx="221">
                  <c:v>3</c:v>
                </c:pt>
                <c:pt idx="222">
                  <c:v>1</c:v>
                </c:pt>
                <c:pt idx="223">
                  <c:v>3</c:v>
                </c:pt>
                <c:pt idx="224">
                  <c:v>3</c:v>
                </c:pt>
                <c:pt idx="225">
                  <c:v>3</c:v>
                </c:pt>
                <c:pt idx="226">
                  <c:v>4</c:v>
                </c:pt>
                <c:pt idx="227">
                  <c:v>9</c:v>
                </c:pt>
                <c:pt idx="228">
                  <c:v>3</c:v>
                </c:pt>
                <c:pt idx="229">
                  <c:v>5</c:v>
                </c:pt>
                <c:pt idx="230">
                  <c:v>5</c:v>
                </c:pt>
                <c:pt idx="231">
                  <c:v>6</c:v>
                </c:pt>
                <c:pt idx="232">
                  <c:v>5</c:v>
                </c:pt>
                <c:pt idx="233">
                  <c:v>7</c:v>
                </c:pt>
                <c:pt idx="234">
                  <c:v>5</c:v>
                </c:pt>
                <c:pt idx="235">
                  <c:v>2</c:v>
                </c:pt>
                <c:pt idx="236">
                  <c:v>3</c:v>
                </c:pt>
                <c:pt idx="237">
                  <c:v>3</c:v>
                </c:pt>
                <c:pt idx="238">
                  <c:v>1</c:v>
                </c:pt>
                <c:pt idx="239">
                  <c:v>6</c:v>
                </c:pt>
                <c:pt idx="240">
                  <c:v>5</c:v>
                </c:pt>
                <c:pt idx="241">
                  <c:v>5</c:v>
                </c:pt>
                <c:pt idx="242">
                  <c:v>2</c:v>
                </c:pt>
                <c:pt idx="243">
                  <c:v>1</c:v>
                </c:pt>
                <c:pt idx="244">
                  <c:v>5</c:v>
                </c:pt>
                <c:pt idx="245">
                  <c:v>2</c:v>
                </c:pt>
                <c:pt idx="246">
                  <c:v>5</c:v>
                </c:pt>
                <c:pt idx="247">
                  <c:v>3</c:v>
                </c:pt>
                <c:pt idx="248">
                  <c:v>2</c:v>
                </c:pt>
                <c:pt idx="249">
                  <c:v>2</c:v>
                </c:pt>
              </c:numCache>
            </c:numRef>
          </c:val>
          <c:smooth val="0"/>
          <c:extLst>
            <c:ext xmlns:c16="http://schemas.microsoft.com/office/drawing/2014/chart" uri="{C3380CC4-5D6E-409C-BE32-E72D297353CC}">
              <c16:uniqueId val="{00000000-AA7F-48ED-ADF8-BBB3C4D44926}"/>
            </c:ext>
          </c:extLst>
        </c:ser>
        <c:dLbls>
          <c:showLegendKey val="0"/>
          <c:showVal val="0"/>
          <c:showCatName val="0"/>
          <c:showSerName val="0"/>
          <c:showPercent val="0"/>
          <c:showBubbleSize val="0"/>
        </c:dLbls>
        <c:marker val="1"/>
        <c:smooth val="0"/>
        <c:axId val="1195842816"/>
        <c:axId val="1195839072"/>
      </c:lineChart>
      <c:catAx>
        <c:axId val="119584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39072"/>
        <c:crosses val="autoZero"/>
        <c:auto val="1"/>
        <c:lblAlgn val="ctr"/>
        <c:lblOffset val="100"/>
        <c:noMultiLvlLbl val="0"/>
      </c:catAx>
      <c:valAx>
        <c:axId val="119583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First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First Order Revenue vs Items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Data!$L$1</c:f>
              <c:strCache>
                <c:ptCount val="1"/>
                <c:pt idx="0">
                  <c:v>First Order Revenue</c:v>
                </c:pt>
              </c:strCache>
            </c:strRef>
          </c:tx>
          <c:spPr>
            <a:ln w="19050" cap="rnd">
              <a:noFill/>
              <a:round/>
            </a:ln>
            <a:effectLst/>
          </c:spPr>
          <c:marker>
            <c:symbol val="circle"/>
            <c:size val="5"/>
            <c:spPr>
              <a:solidFill>
                <a:schemeClr val="accent2"/>
              </a:solidFill>
              <a:ln w="9525">
                <a:solidFill>
                  <a:schemeClr val="accent2"/>
                </a:solidFill>
              </a:ln>
              <a:effectLst/>
            </c:spPr>
          </c:marker>
          <c:yVal>
            <c:numRef>
              <c:f>Data!$L$2:$L$1050</c:f>
              <c:numCache>
                <c:formatCode>"$"#,##0.00_);[Red]\("$"#,##0.00\)</c:formatCode>
                <c:ptCount val="1049"/>
                <c:pt idx="0" formatCode="&quot;$&quot;#,##0.00;[Red]\-&quot;$&quot;#,##0.00">
                  <c:v>56.32</c:v>
                </c:pt>
                <c:pt idx="1">
                  <c:v>27</c:v>
                </c:pt>
                <c:pt idx="2" formatCode="&quot;$&quot;#,##0.00;[Red]\-&quot;$&quot;#,##0.00">
                  <c:v>28.8</c:v>
                </c:pt>
                <c:pt idx="3" formatCode="&quot;$&quot;#,##0.00;[Red]\-&quot;$&quot;#,##0.00">
                  <c:v>28.05</c:v>
                </c:pt>
                <c:pt idx="4">
                  <c:v>9</c:v>
                </c:pt>
                <c:pt idx="5">
                  <c:v>9</c:v>
                </c:pt>
                <c:pt idx="6">
                  <c:v>18</c:v>
                </c:pt>
                <c:pt idx="7" formatCode="&quot;$&quot;#,##0.00;[Red]\-&quot;$&quot;#,##0.00">
                  <c:v>29.92</c:v>
                </c:pt>
                <c:pt idx="8" formatCode="&quot;$&quot;#,##0.00;[Red]\-&quot;$&quot;#,##0.00">
                  <c:v>51.75</c:v>
                </c:pt>
                <c:pt idx="9" formatCode="&quot;$&quot;#,##0.00;[Red]\-&quot;$&quot;#,##0.00">
                  <c:v>28.8</c:v>
                </c:pt>
                <c:pt idx="10">
                  <c:v>21.6</c:v>
                </c:pt>
                <c:pt idx="11" formatCode="&quot;$&quot;#,##0.00;[Red]\-&quot;$&quot;#,##0.00">
                  <c:v>27</c:v>
                </c:pt>
                <c:pt idx="12">
                  <c:v>64.8</c:v>
                </c:pt>
                <c:pt idx="13">
                  <c:v>27</c:v>
                </c:pt>
                <c:pt idx="14">
                  <c:v>43.2</c:v>
                </c:pt>
                <c:pt idx="15" formatCode="&quot;$&quot;#,##0.00;[Red]\-&quot;$&quot;#,##0.00">
                  <c:v>81.599999999999994</c:v>
                </c:pt>
                <c:pt idx="16" formatCode="&quot;$&quot;#,##0.00;[Red]\-&quot;$&quot;#,##0.00">
                  <c:v>28.8</c:v>
                </c:pt>
                <c:pt idx="17">
                  <c:v>28.8</c:v>
                </c:pt>
                <c:pt idx="18" formatCode="&quot;$&quot;#,##0.00;[Red]\-&quot;$&quot;#,##0.00">
                  <c:v>29.92</c:v>
                </c:pt>
                <c:pt idx="19" formatCode="&quot;$&quot;#,##0.00;[Red]\-&quot;$&quot;#,##0.00">
                  <c:v>56.32</c:v>
                </c:pt>
                <c:pt idx="20" formatCode="&quot;$&quot;#,##0.00;[Red]\-&quot;$&quot;#,##0.00">
                  <c:v>44</c:v>
                </c:pt>
                <c:pt idx="21" formatCode="&quot;$&quot;#,##0.00;[Red]\-&quot;$&quot;#,##0.00">
                  <c:v>28.8</c:v>
                </c:pt>
                <c:pt idx="22">
                  <c:v>27</c:v>
                </c:pt>
                <c:pt idx="23">
                  <c:v>14.4</c:v>
                </c:pt>
                <c:pt idx="24">
                  <c:v>28.8</c:v>
                </c:pt>
                <c:pt idx="25" formatCode="&quot;$&quot;#,##0.00;[Red]\-&quot;$&quot;#,##0.00">
                  <c:v>36</c:v>
                </c:pt>
                <c:pt idx="26" formatCode="&quot;$&quot;#,##0.00;[Red]\-&quot;$&quot;#,##0.00">
                  <c:v>8.8000000000000007</c:v>
                </c:pt>
                <c:pt idx="27" formatCode="&quot;$&quot;#,##0.00;[Red]\-&quot;$&quot;#,##0.00">
                  <c:v>115.2</c:v>
                </c:pt>
                <c:pt idx="28">
                  <c:v>27</c:v>
                </c:pt>
                <c:pt idx="29">
                  <c:v>36</c:v>
                </c:pt>
                <c:pt idx="30" formatCode="&quot;$&quot;#,##0.00;[Red]\-&quot;$&quot;#,##0.00">
                  <c:v>28.8</c:v>
                </c:pt>
                <c:pt idx="31">
                  <c:v>36</c:v>
                </c:pt>
                <c:pt idx="32">
                  <c:v>36</c:v>
                </c:pt>
                <c:pt idx="33" formatCode="&quot;$&quot;#,##0.00;[Red]\-&quot;$&quot;#,##0.00">
                  <c:v>28.8</c:v>
                </c:pt>
                <c:pt idx="34">
                  <c:v>27</c:v>
                </c:pt>
                <c:pt idx="35" formatCode="&quot;$&quot;#,##0.00;[Red]\-&quot;$&quot;#,##0.00">
                  <c:v>20</c:v>
                </c:pt>
                <c:pt idx="36">
                  <c:v>9</c:v>
                </c:pt>
                <c:pt idx="37">
                  <c:v>27</c:v>
                </c:pt>
                <c:pt idx="38" formatCode="&quot;$&quot;#,##0.00;[Red]\-&quot;$&quot;#,##0.00">
                  <c:v>32.799999999999997</c:v>
                </c:pt>
                <c:pt idx="39">
                  <c:v>28.8</c:v>
                </c:pt>
                <c:pt idx="40" formatCode="&quot;$&quot;#,##0.00;[Red]\-&quot;$&quot;#,##0.00">
                  <c:v>28.8</c:v>
                </c:pt>
                <c:pt idx="41">
                  <c:v>9</c:v>
                </c:pt>
                <c:pt idx="42" formatCode="&quot;$&quot;#,##0.00;[Red]\-&quot;$&quot;#,##0.00">
                  <c:v>48</c:v>
                </c:pt>
                <c:pt idx="43" formatCode="&quot;$&quot;#,##0.00;[Red]\-&quot;$&quot;#,##0.00">
                  <c:v>86.4</c:v>
                </c:pt>
                <c:pt idx="44">
                  <c:v>28.8</c:v>
                </c:pt>
                <c:pt idx="45" formatCode="&quot;$&quot;#,##0.00;[Red]\-&quot;$&quot;#,##0.00">
                  <c:v>36</c:v>
                </c:pt>
                <c:pt idx="46" formatCode="&quot;$&quot;#,##0.00;[Red]\-&quot;$&quot;#,##0.00">
                  <c:v>36</c:v>
                </c:pt>
                <c:pt idx="47" formatCode="&quot;$&quot;#,##0.00;[Red]\-&quot;$&quot;#,##0.00">
                  <c:v>18</c:v>
                </c:pt>
                <c:pt idx="48">
                  <c:v>28.8</c:v>
                </c:pt>
                <c:pt idx="49">
                  <c:v>57.6</c:v>
                </c:pt>
                <c:pt idx="50">
                  <c:v>28.8</c:v>
                </c:pt>
                <c:pt idx="51" formatCode="&quot;$&quot;#,##0.00;[Red]\-&quot;$&quot;#,##0.00">
                  <c:v>28.8</c:v>
                </c:pt>
                <c:pt idx="52">
                  <c:v>57.6</c:v>
                </c:pt>
                <c:pt idx="53" formatCode="&quot;$&quot;#,##0.00;[Red]\-&quot;$&quot;#,##0.00">
                  <c:v>35.200000000000003</c:v>
                </c:pt>
                <c:pt idx="54">
                  <c:v>9</c:v>
                </c:pt>
                <c:pt idx="55">
                  <c:v>18</c:v>
                </c:pt>
                <c:pt idx="56" formatCode="&quot;$&quot;#,##0.00;[Red]\-&quot;$&quot;#,##0.00">
                  <c:v>27</c:v>
                </c:pt>
                <c:pt idx="57" formatCode="&quot;$&quot;#,##0.00;[Red]\-&quot;$&quot;#,##0.00">
                  <c:v>36</c:v>
                </c:pt>
                <c:pt idx="58">
                  <c:v>72</c:v>
                </c:pt>
                <c:pt idx="59" formatCode="&quot;$&quot;#,##0.00;[Red]\-&quot;$&quot;#,##0.00">
                  <c:v>36</c:v>
                </c:pt>
                <c:pt idx="60" formatCode="&quot;$&quot;#,##0.00;[Red]\-&quot;$&quot;#,##0.00">
                  <c:v>17.600000000000001</c:v>
                </c:pt>
                <c:pt idx="61">
                  <c:v>27</c:v>
                </c:pt>
                <c:pt idx="62" formatCode="&quot;$&quot;#,##0.00;[Red]\-&quot;$&quot;#,##0.00">
                  <c:v>51.8</c:v>
                </c:pt>
                <c:pt idx="63" formatCode="&quot;$&quot;#,##0.00;[Red]\-&quot;$&quot;#,##0.00">
                  <c:v>18</c:v>
                </c:pt>
                <c:pt idx="64">
                  <c:v>28.8</c:v>
                </c:pt>
                <c:pt idx="65">
                  <c:v>28.8</c:v>
                </c:pt>
                <c:pt idx="66" formatCode="&quot;$&quot;#,##0.00;[Red]\-&quot;$&quot;#,##0.00">
                  <c:v>86.4</c:v>
                </c:pt>
                <c:pt idx="67">
                  <c:v>36</c:v>
                </c:pt>
                <c:pt idx="68" formatCode="&quot;$&quot;#,##0.00;[Red]\-&quot;$&quot;#,##0.00">
                  <c:v>28.8</c:v>
                </c:pt>
                <c:pt idx="69">
                  <c:v>45.6</c:v>
                </c:pt>
                <c:pt idx="70">
                  <c:v>28.8</c:v>
                </c:pt>
                <c:pt idx="71">
                  <c:v>36</c:v>
                </c:pt>
                <c:pt idx="72">
                  <c:v>28.8</c:v>
                </c:pt>
                <c:pt idx="73" formatCode="&quot;$&quot;#,##0.00;[Red]\-&quot;$&quot;#,##0.00">
                  <c:v>36</c:v>
                </c:pt>
                <c:pt idx="74">
                  <c:v>27</c:v>
                </c:pt>
                <c:pt idx="75">
                  <c:v>30</c:v>
                </c:pt>
                <c:pt idx="76" formatCode="&quot;$&quot;#,##0.00;[Red]\-&quot;$&quot;#,##0.00">
                  <c:v>36</c:v>
                </c:pt>
                <c:pt idx="77" formatCode="&quot;$&quot;#,##0.00;[Red]\-&quot;$&quot;#,##0.00">
                  <c:v>28.8</c:v>
                </c:pt>
                <c:pt idx="78" formatCode="&quot;$&quot;#,##0.00;[Red]\-&quot;$&quot;#,##0.00">
                  <c:v>38.4</c:v>
                </c:pt>
                <c:pt idx="79" formatCode="&quot;$&quot;#,##0.00;[Red]\-&quot;$&quot;#,##0.00">
                  <c:v>35.200000000000003</c:v>
                </c:pt>
                <c:pt idx="80" formatCode="&quot;$&quot;#,##0.00;[Red]\-&quot;$&quot;#,##0.00">
                  <c:v>28.8</c:v>
                </c:pt>
                <c:pt idx="81">
                  <c:v>28.8</c:v>
                </c:pt>
                <c:pt idx="82" formatCode="&quot;$&quot;#,##0.00;[Red]\-&quot;$&quot;#,##0.00">
                  <c:v>30.4</c:v>
                </c:pt>
                <c:pt idx="83">
                  <c:v>127</c:v>
                </c:pt>
                <c:pt idx="84" formatCode="&quot;$&quot;#,##0.00;[Red]\-&quot;$&quot;#,##0.00">
                  <c:v>15</c:v>
                </c:pt>
                <c:pt idx="85">
                  <c:v>86.4</c:v>
                </c:pt>
                <c:pt idx="86">
                  <c:v>57.6</c:v>
                </c:pt>
                <c:pt idx="87">
                  <c:v>28.8</c:v>
                </c:pt>
                <c:pt idx="88">
                  <c:v>9</c:v>
                </c:pt>
                <c:pt idx="89">
                  <c:v>36</c:v>
                </c:pt>
                <c:pt idx="90">
                  <c:v>9</c:v>
                </c:pt>
                <c:pt idx="91">
                  <c:v>45</c:v>
                </c:pt>
                <c:pt idx="92">
                  <c:v>28.8</c:v>
                </c:pt>
                <c:pt idx="93">
                  <c:v>28.8</c:v>
                </c:pt>
                <c:pt idx="94">
                  <c:v>28.8</c:v>
                </c:pt>
                <c:pt idx="95" formatCode="&quot;$&quot;#,##0.00;[Red]\-&quot;$&quot;#,##0.00">
                  <c:v>29.92</c:v>
                </c:pt>
                <c:pt idx="96" formatCode="&quot;$&quot;#,##0.00;[Red]\-&quot;$&quot;#,##0.00">
                  <c:v>38.4</c:v>
                </c:pt>
                <c:pt idx="97">
                  <c:v>28.8</c:v>
                </c:pt>
                <c:pt idx="98" formatCode="&quot;$&quot;#,##0.00;[Red]\-&quot;$&quot;#,##0.00">
                  <c:v>28.8</c:v>
                </c:pt>
                <c:pt idx="99">
                  <c:v>28.8</c:v>
                </c:pt>
                <c:pt idx="100">
                  <c:v>36</c:v>
                </c:pt>
                <c:pt idx="101">
                  <c:v>28.8</c:v>
                </c:pt>
                <c:pt idx="102">
                  <c:v>14.4</c:v>
                </c:pt>
                <c:pt idx="103" formatCode="&quot;$&quot;#,##0.00;[Red]\-&quot;$&quot;#,##0.00">
                  <c:v>72</c:v>
                </c:pt>
                <c:pt idx="104" formatCode="&quot;$&quot;#,##0.00;[Red]\-&quot;$&quot;#,##0.00">
                  <c:v>29.92</c:v>
                </c:pt>
                <c:pt idx="105">
                  <c:v>28.8</c:v>
                </c:pt>
                <c:pt idx="106">
                  <c:v>28.8</c:v>
                </c:pt>
                <c:pt idx="107">
                  <c:v>42.4</c:v>
                </c:pt>
                <c:pt idx="108">
                  <c:v>36</c:v>
                </c:pt>
                <c:pt idx="109" formatCode="&quot;$&quot;#,##0.00;[Red]\-&quot;$&quot;#,##0.00">
                  <c:v>38.4</c:v>
                </c:pt>
                <c:pt idx="110">
                  <c:v>81</c:v>
                </c:pt>
                <c:pt idx="111" formatCode="&quot;$&quot;#,##0.00;[Red]\-&quot;$&quot;#,##0.00">
                  <c:v>28.8</c:v>
                </c:pt>
                <c:pt idx="112" formatCode="&quot;$&quot;#,##0.00;[Red]\-&quot;$&quot;#,##0.00">
                  <c:v>28.8</c:v>
                </c:pt>
                <c:pt idx="113">
                  <c:v>28.8</c:v>
                </c:pt>
                <c:pt idx="114" formatCode="&quot;$&quot;#,##0.00;[Red]\-&quot;$&quot;#,##0.00">
                  <c:v>14.4</c:v>
                </c:pt>
                <c:pt idx="115" formatCode="&quot;$&quot;#,##0.00;[Red]\-&quot;$&quot;#,##0.00">
                  <c:v>28.8</c:v>
                </c:pt>
                <c:pt idx="116" formatCode="&quot;$&quot;#,##0.00;[Red]\-&quot;$&quot;#,##0.00">
                  <c:v>35.200000000000003</c:v>
                </c:pt>
                <c:pt idx="117">
                  <c:v>28.8</c:v>
                </c:pt>
                <c:pt idx="118">
                  <c:v>28.8</c:v>
                </c:pt>
                <c:pt idx="119">
                  <c:v>9</c:v>
                </c:pt>
                <c:pt idx="120">
                  <c:v>18</c:v>
                </c:pt>
                <c:pt idx="121">
                  <c:v>28.8</c:v>
                </c:pt>
                <c:pt idx="122" formatCode="&quot;$&quot;#,##0.00;[Red]\-&quot;$&quot;#,##0.00">
                  <c:v>28.8</c:v>
                </c:pt>
                <c:pt idx="123" formatCode="&quot;$&quot;#,##0.00;[Red]\-&quot;$&quot;#,##0.00">
                  <c:v>36</c:v>
                </c:pt>
                <c:pt idx="124" formatCode="&quot;$&quot;#,##0.00;[Red]\-&quot;$&quot;#,##0.00">
                  <c:v>70.400000000000006</c:v>
                </c:pt>
                <c:pt idx="125">
                  <c:v>18</c:v>
                </c:pt>
                <c:pt idx="126" formatCode="&quot;$&quot;#,##0.00;[Red]\-&quot;$&quot;#,##0.00">
                  <c:v>11</c:v>
                </c:pt>
                <c:pt idx="127" formatCode="&quot;$&quot;#,##0.00;[Red]\-&quot;$&quot;#,##0.00">
                  <c:v>13.5</c:v>
                </c:pt>
                <c:pt idx="128" formatCode="&quot;$&quot;#,##0.00;[Red]\-&quot;$&quot;#,##0.00">
                  <c:v>29.92</c:v>
                </c:pt>
                <c:pt idx="129" formatCode="&quot;$&quot;#,##0.00;[Red]\-&quot;$&quot;#,##0.00">
                  <c:v>36.799999999999997</c:v>
                </c:pt>
                <c:pt idx="130" formatCode="&quot;$&quot;#,##0.00;[Red]\-&quot;$&quot;#,##0.00">
                  <c:v>52.8</c:v>
                </c:pt>
                <c:pt idx="131">
                  <c:v>28.8</c:v>
                </c:pt>
                <c:pt idx="132" formatCode="&quot;$&quot;#,##0.00;[Red]\-&quot;$&quot;#,##0.00">
                  <c:v>28.8</c:v>
                </c:pt>
                <c:pt idx="133">
                  <c:v>115.2</c:v>
                </c:pt>
                <c:pt idx="134">
                  <c:v>27</c:v>
                </c:pt>
                <c:pt idx="135" formatCode="&quot;$&quot;#,##0.00;[Red]\-&quot;$&quot;#,##0.00">
                  <c:v>35.200000000000003</c:v>
                </c:pt>
                <c:pt idx="136">
                  <c:v>28.8</c:v>
                </c:pt>
                <c:pt idx="137">
                  <c:v>57.6</c:v>
                </c:pt>
                <c:pt idx="138">
                  <c:v>36</c:v>
                </c:pt>
                <c:pt idx="139" formatCode="&quot;$&quot;#,##0.00;[Red]\-&quot;$&quot;#,##0.00">
                  <c:v>21</c:v>
                </c:pt>
                <c:pt idx="140" formatCode="&quot;$&quot;#,##0.00;[Red]\-&quot;$&quot;#,##0.00">
                  <c:v>36</c:v>
                </c:pt>
                <c:pt idx="141">
                  <c:v>28.8</c:v>
                </c:pt>
                <c:pt idx="142" formatCode="&quot;$&quot;#,##0.00;[Red]\-&quot;$&quot;#,##0.00">
                  <c:v>17.600000000000001</c:v>
                </c:pt>
                <c:pt idx="143">
                  <c:v>28.8</c:v>
                </c:pt>
                <c:pt idx="144" formatCode="&quot;$&quot;#,##0.00;[Red]\-&quot;$&quot;#,##0.00">
                  <c:v>28.8</c:v>
                </c:pt>
                <c:pt idx="145" formatCode="&quot;$&quot;#,##0.00;[Red]\-&quot;$&quot;#,##0.00">
                  <c:v>33.6</c:v>
                </c:pt>
                <c:pt idx="146" formatCode="&quot;$&quot;#,##0.00;[Red]\-&quot;$&quot;#,##0.00">
                  <c:v>57.6</c:v>
                </c:pt>
                <c:pt idx="147" formatCode="&quot;$&quot;#,##0.00;[Red]\-&quot;$&quot;#,##0.00">
                  <c:v>28.8</c:v>
                </c:pt>
                <c:pt idx="148" formatCode="&quot;$&quot;#,##0.00;[Red]\-&quot;$&quot;#,##0.00">
                  <c:v>59.84</c:v>
                </c:pt>
                <c:pt idx="149">
                  <c:v>9</c:v>
                </c:pt>
                <c:pt idx="150">
                  <c:v>9</c:v>
                </c:pt>
                <c:pt idx="151">
                  <c:v>28.8</c:v>
                </c:pt>
                <c:pt idx="152">
                  <c:v>23.04</c:v>
                </c:pt>
                <c:pt idx="153">
                  <c:v>18</c:v>
                </c:pt>
                <c:pt idx="154">
                  <c:v>57.6</c:v>
                </c:pt>
                <c:pt idx="155">
                  <c:v>9</c:v>
                </c:pt>
                <c:pt idx="156" formatCode="&quot;$&quot;#,##0.00;[Red]\-&quot;$&quot;#,##0.00">
                  <c:v>18</c:v>
                </c:pt>
                <c:pt idx="157" formatCode="&quot;$&quot;#,##0.00;[Red]\-&quot;$&quot;#,##0.00">
                  <c:v>28.8</c:v>
                </c:pt>
                <c:pt idx="158" formatCode="&quot;$&quot;#,##0.00;[Red]\-&quot;$&quot;#,##0.00">
                  <c:v>27</c:v>
                </c:pt>
                <c:pt idx="159">
                  <c:v>18</c:v>
                </c:pt>
                <c:pt idx="160">
                  <c:v>28.8</c:v>
                </c:pt>
                <c:pt idx="161" formatCode="&quot;$&quot;#,##0.00;[Red]\-&quot;$&quot;#,##0.00">
                  <c:v>36</c:v>
                </c:pt>
                <c:pt idx="162" formatCode="&quot;$&quot;#,##0.00;[Red]\-&quot;$&quot;#,##0.00">
                  <c:v>28.8</c:v>
                </c:pt>
                <c:pt idx="163" formatCode="&quot;$&quot;#,##0.00;[Red]\-&quot;$&quot;#,##0.00">
                  <c:v>54</c:v>
                </c:pt>
                <c:pt idx="164" formatCode="&quot;$&quot;#,##0.00;[Red]\-&quot;$&quot;#,##0.00">
                  <c:v>78</c:v>
                </c:pt>
                <c:pt idx="165" formatCode="&quot;$&quot;#,##0.00;[Red]\-&quot;$&quot;#,##0.00">
                  <c:v>49.76</c:v>
                </c:pt>
                <c:pt idx="166">
                  <c:v>28.8</c:v>
                </c:pt>
                <c:pt idx="167">
                  <c:v>27</c:v>
                </c:pt>
                <c:pt idx="168" formatCode="&quot;$&quot;#,##0.00;[Red]\-&quot;$&quot;#,##0.00">
                  <c:v>70.400000000000006</c:v>
                </c:pt>
                <c:pt idx="169">
                  <c:v>52.8</c:v>
                </c:pt>
                <c:pt idx="170">
                  <c:v>9</c:v>
                </c:pt>
                <c:pt idx="171">
                  <c:v>43.2</c:v>
                </c:pt>
                <c:pt idx="172" formatCode="&quot;$&quot;#,##0.00;[Red]\-&quot;$&quot;#,##0.00">
                  <c:v>48</c:v>
                </c:pt>
                <c:pt idx="173">
                  <c:v>36</c:v>
                </c:pt>
                <c:pt idx="174">
                  <c:v>63.2</c:v>
                </c:pt>
                <c:pt idx="175">
                  <c:v>28.8</c:v>
                </c:pt>
                <c:pt idx="176" formatCode="&quot;$&quot;#,##0.00;[Red]\-&quot;$&quot;#,##0.00">
                  <c:v>65.92</c:v>
                </c:pt>
                <c:pt idx="177" formatCode="&quot;$&quot;#,##0.00;[Red]\-&quot;$&quot;#,##0.00">
                  <c:v>36</c:v>
                </c:pt>
                <c:pt idx="178" formatCode="&quot;$&quot;#,##0.00;[Red]\-&quot;$&quot;#,##0.00">
                  <c:v>52.8</c:v>
                </c:pt>
                <c:pt idx="179" formatCode="&quot;$&quot;#,##0.00;[Red]\-&quot;$&quot;#,##0.00">
                  <c:v>28.8</c:v>
                </c:pt>
                <c:pt idx="180">
                  <c:v>9</c:v>
                </c:pt>
                <c:pt idx="181">
                  <c:v>28.8</c:v>
                </c:pt>
                <c:pt idx="182">
                  <c:v>36</c:v>
                </c:pt>
                <c:pt idx="183">
                  <c:v>28.8</c:v>
                </c:pt>
                <c:pt idx="184">
                  <c:v>54</c:v>
                </c:pt>
                <c:pt idx="185">
                  <c:v>27</c:v>
                </c:pt>
                <c:pt idx="186" formatCode="&quot;$&quot;#,##0.00;[Red]\-&quot;$&quot;#,##0.00">
                  <c:v>28.8</c:v>
                </c:pt>
                <c:pt idx="187" formatCode="&quot;$&quot;#,##0.00;[Red]\-&quot;$&quot;#,##0.00">
                  <c:v>18</c:v>
                </c:pt>
                <c:pt idx="188" formatCode="&quot;$&quot;#,##0.00;[Red]\-&quot;$&quot;#,##0.00">
                  <c:v>56.32</c:v>
                </c:pt>
                <c:pt idx="189">
                  <c:v>61.6</c:v>
                </c:pt>
                <c:pt idx="190">
                  <c:v>28.8</c:v>
                </c:pt>
                <c:pt idx="191">
                  <c:v>18</c:v>
                </c:pt>
                <c:pt idx="192">
                  <c:v>36</c:v>
                </c:pt>
                <c:pt idx="193" formatCode="&quot;$&quot;#,##0.00;[Red]\-&quot;$&quot;#,##0.00">
                  <c:v>64.8</c:v>
                </c:pt>
                <c:pt idx="194">
                  <c:v>9</c:v>
                </c:pt>
                <c:pt idx="195">
                  <c:v>14.4</c:v>
                </c:pt>
                <c:pt idx="196">
                  <c:v>21.6</c:v>
                </c:pt>
                <c:pt idx="197">
                  <c:v>9</c:v>
                </c:pt>
                <c:pt idx="198" formatCode="&quot;$&quot;#,##0.00;[Red]\-&quot;$&quot;#,##0.00">
                  <c:v>29.92</c:v>
                </c:pt>
                <c:pt idx="199" formatCode="&quot;$&quot;#,##0.00;[Red]\-&quot;$&quot;#,##0.00">
                  <c:v>172.8</c:v>
                </c:pt>
                <c:pt idx="200">
                  <c:v>18</c:v>
                </c:pt>
                <c:pt idx="201" formatCode="&quot;$&quot;#,##0.00;[Red]\-&quot;$&quot;#,##0.00">
                  <c:v>86.4</c:v>
                </c:pt>
                <c:pt idx="202">
                  <c:v>9</c:v>
                </c:pt>
                <c:pt idx="203" formatCode="&quot;$&quot;#,##0.00;[Red]\-&quot;$&quot;#,##0.00">
                  <c:v>38.72</c:v>
                </c:pt>
                <c:pt idx="204" formatCode="&quot;$&quot;#,##0.00;[Red]\-&quot;$&quot;#,##0.00">
                  <c:v>31.5</c:v>
                </c:pt>
                <c:pt idx="205">
                  <c:v>18</c:v>
                </c:pt>
                <c:pt idx="206">
                  <c:v>28.8</c:v>
                </c:pt>
                <c:pt idx="207" formatCode="&quot;$&quot;#,##0.00;[Red]\-&quot;$&quot;#,##0.00">
                  <c:v>47.25</c:v>
                </c:pt>
                <c:pt idx="208">
                  <c:v>70</c:v>
                </c:pt>
                <c:pt idx="209">
                  <c:v>28.8</c:v>
                </c:pt>
                <c:pt idx="210">
                  <c:v>201.6</c:v>
                </c:pt>
                <c:pt idx="211" formatCode="&quot;$&quot;#,##0.00;[Red]\-&quot;$&quot;#,##0.00">
                  <c:v>59.84</c:v>
                </c:pt>
                <c:pt idx="212" formatCode="&quot;$&quot;#,##0.00;[Red]\-&quot;$&quot;#,##0.00">
                  <c:v>22</c:v>
                </c:pt>
                <c:pt idx="213">
                  <c:v>36</c:v>
                </c:pt>
                <c:pt idx="214">
                  <c:v>21.6</c:v>
                </c:pt>
                <c:pt idx="215">
                  <c:v>28.8</c:v>
                </c:pt>
                <c:pt idx="216">
                  <c:v>57.6</c:v>
                </c:pt>
                <c:pt idx="217" formatCode="&quot;$&quot;#,##0.00;[Red]\-&quot;$&quot;#,##0.00">
                  <c:v>28.8</c:v>
                </c:pt>
                <c:pt idx="218" formatCode="&quot;$&quot;#,##0.00;[Red]\-&quot;$&quot;#,##0.00">
                  <c:v>28.05</c:v>
                </c:pt>
                <c:pt idx="219">
                  <c:v>28.8</c:v>
                </c:pt>
                <c:pt idx="220">
                  <c:v>36</c:v>
                </c:pt>
                <c:pt idx="221">
                  <c:v>18</c:v>
                </c:pt>
                <c:pt idx="222" formatCode="&quot;$&quot;#,##0.00;[Red]\-&quot;$&quot;#,##0.00">
                  <c:v>124.96</c:v>
                </c:pt>
                <c:pt idx="223" formatCode="&quot;$&quot;#,##0.00;[Red]\-&quot;$&quot;#,##0.00">
                  <c:v>14.4</c:v>
                </c:pt>
                <c:pt idx="224">
                  <c:v>30.6</c:v>
                </c:pt>
                <c:pt idx="225" formatCode="&quot;$&quot;#,##0.00;[Red]\-&quot;$&quot;#,##0.00">
                  <c:v>35.200000000000003</c:v>
                </c:pt>
                <c:pt idx="226" formatCode="&quot;$&quot;#,##0.00;[Red]\-&quot;$&quot;#,##0.00">
                  <c:v>28.8</c:v>
                </c:pt>
                <c:pt idx="227" formatCode="&quot;$&quot;#,##0.00;[Red]\-&quot;$&quot;#,##0.00">
                  <c:v>6.75</c:v>
                </c:pt>
                <c:pt idx="228">
                  <c:v>18</c:v>
                </c:pt>
                <c:pt idx="229" formatCode="&quot;$&quot;#,##0.00;[Red]\-&quot;$&quot;#,##0.00">
                  <c:v>112.64</c:v>
                </c:pt>
                <c:pt idx="230" formatCode="&quot;$&quot;#,##0.00;[Red]\-&quot;$&quot;#,##0.00">
                  <c:v>56.32</c:v>
                </c:pt>
                <c:pt idx="231">
                  <c:v>28.8</c:v>
                </c:pt>
                <c:pt idx="232">
                  <c:v>27</c:v>
                </c:pt>
                <c:pt idx="233" formatCode="&quot;$&quot;#,##0.00;[Red]\-&quot;$&quot;#,##0.00">
                  <c:v>33</c:v>
                </c:pt>
                <c:pt idx="234" formatCode="&quot;$&quot;#,##0.00;[Red]\-&quot;$&quot;#,##0.00">
                  <c:v>35.200000000000003</c:v>
                </c:pt>
                <c:pt idx="235">
                  <c:v>21.6</c:v>
                </c:pt>
                <c:pt idx="236" formatCode="&quot;$&quot;#,##0.00;[Red]\-&quot;$&quot;#,##0.00">
                  <c:v>28.8</c:v>
                </c:pt>
                <c:pt idx="237" formatCode="&quot;$&quot;#,##0.00;[Red]\-&quot;$&quot;#,##0.00">
                  <c:v>28.8</c:v>
                </c:pt>
                <c:pt idx="238" formatCode="&quot;$&quot;#,##0.00;[Red]\-&quot;$&quot;#,##0.00">
                  <c:v>57.6</c:v>
                </c:pt>
                <c:pt idx="239">
                  <c:v>28.8</c:v>
                </c:pt>
                <c:pt idx="240" formatCode="&quot;$&quot;#,##0.00;[Red]\-&quot;$&quot;#,##0.00">
                  <c:v>59.84</c:v>
                </c:pt>
                <c:pt idx="241">
                  <c:v>18</c:v>
                </c:pt>
                <c:pt idx="242" formatCode="&quot;$&quot;#,##0.00;[Red]\-&quot;$&quot;#,##0.00">
                  <c:v>47.2</c:v>
                </c:pt>
                <c:pt idx="243" formatCode="&quot;$&quot;#,##0.00;[Red]\-&quot;$&quot;#,##0.00">
                  <c:v>68</c:v>
                </c:pt>
                <c:pt idx="244" formatCode="&quot;$&quot;#,##0.00;[Red]\-&quot;$&quot;#,##0.00">
                  <c:v>27</c:v>
                </c:pt>
                <c:pt idx="245" formatCode="&quot;$&quot;#,##0.00;[Red]\-&quot;$&quot;#,##0.00">
                  <c:v>36</c:v>
                </c:pt>
                <c:pt idx="246" formatCode="&quot;$&quot;#,##0.00;[Red]\-&quot;$&quot;#,##0.00">
                  <c:v>36</c:v>
                </c:pt>
                <c:pt idx="247">
                  <c:v>9</c:v>
                </c:pt>
                <c:pt idx="248" formatCode="&quot;$&quot;#,##0.00;[Red]\-&quot;$&quot;#,##0.00">
                  <c:v>45</c:v>
                </c:pt>
                <c:pt idx="249" formatCode="&quot;$&quot;#,##0.00;[Red]\-&quot;$&quot;#,##0.00">
                  <c:v>14.4</c:v>
                </c:pt>
                <c:pt idx="250">
                  <c:v>57.6</c:v>
                </c:pt>
                <c:pt idx="251">
                  <c:v>14.4</c:v>
                </c:pt>
                <c:pt idx="252" formatCode="&quot;$&quot;#,##0.00;[Red]\-&quot;$&quot;#,##0.00">
                  <c:v>121.44</c:v>
                </c:pt>
                <c:pt idx="253">
                  <c:v>30.6</c:v>
                </c:pt>
                <c:pt idx="254" formatCode="&quot;$&quot;#,##0.00;[Red]\-&quot;$&quot;#,##0.00">
                  <c:v>14.4</c:v>
                </c:pt>
                <c:pt idx="255" formatCode="&quot;$&quot;#,##0.00;[Red]\-&quot;$&quot;#,##0.00">
                  <c:v>112.64</c:v>
                </c:pt>
                <c:pt idx="256">
                  <c:v>30.6</c:v>
                </c:pt>
                <c:pt idx="257">
                  <c:v>18</c:v>
                </c:pt>
                <c:pt idx="258">
                  <c:v>57.6</c:v>
                </c:pt>
                <c:pt idx="259" formatCode="&quot;$&quot;#,##0.00;[Red]\-&quot;$&quot;#,##0.00">
                  <c:v>36</c:v>
                </c:pt>
                <c:pt idx="260">
                  <c:v>14.4</c:v>
                </c:pt>
                <c:pt idx="261">
                  <c:v>9</c:v>
                </c:pt>
                <c:pt idx="262">
                  <c:v>9</c:v>
                </c:pt>
                <c:pt idx="263" formatCode="&quot;$&quot;#,##0.00;[Red]\-&quot;$&quot;#,##0.00">
                  <c:v>29.92</c:v>
                </c:pt>
                <c:pt idx="264" formatCode="&quot;$&quot;#,##0.00;[Red]\-&quot;$&quot;#,##0.00">
                  <c:v>38.4</c:v>
                </c:pt>
                <c:pt idx="265" formatCode="&quot;$&quot;#,##0.00;[Red]\-&quot;$&quot;#,##0.00">
                  <c:v>45</c:v>
                </c:pt>
                <c:pt idx="266" formatCode="&quot;$&quot;#,##0.00;[Red]\-&quot;$&quot;#,##0.00">
                  <c:v>56.32</c:v>
                </c:pt>
                <c:pt idx="267">
                  <c:v>27.2</c:v>
                </c:pt>
                <c:pt idx="268">
                  <c:v>36</c:v>
                </c:pt>
                <c:pt idx="269" formatCode="&quot;$&quot;#,##0.00;[Red]\-&quot;$&quot;#,##0.00">
                  <c:v>56.32</c:v>
                </c:pt>
                <c:pt idx="270" formatCode="&quot;$&quot;#,##0.00;[Red]\-&quot;$&quot;#,##0.00">
                  <c:v>35.200000000000003</c:v>
                </c:pt>
                <c:pt idx="271">
                  <c:v>28.8</c:v>
                </c:pt>
                <c:pt idx="272" formatCode="&quot;$&quot;#,##0.00;[Red]\-&quot;$&quot;#,##0.00">
                  <c:v>70.400000000000006</c:v>
                </c:pt>
                <c:pt idx="273" formatCode="&quot;$&quot;#,##0.00;[Red]\-&quot;$&quot;#,##0.00">
                  <c:v>28.8</c:v>
                </c:pt>
                <c:pt idx="274">
                  <c:v>36</c:v>
                </c:pt>
                <c:pt idx="275" formatCode="&quot;$&quot;#,##0.00;[Red]\-&quot;$&quot;#,##0.00">
                  <c:v>28.8</c:v>
                </c:pt>
                <c:pt idx="276">
                  <c:v>28.8</c:v>
                </c:pt>
                <c:pt idx="277" formatCode="&quot;$&quot;#,##0.00;[Red]\-&quot;$&quot;#,##0.00">
                  <c:v>140.80000000000001</c:v>
                </c:pt>
                <c:pt idx="278" formatCode="&quot;$&quot;#,##0.00;[Red]\-&quot;$&quot;#,##0.00">
                  <c:v>45.6</c:v>
                </c:pt>
                <c:pt idx="279">
                  <c:v>36</c:v>
                </c:pt>
                <c:pt idx="280">
                  <c:v>36</c:v>
                </c:pt>
                <c:pt idx="281">
                  <c:v>36</c:v>
                </c:pt>
                <c:pt idx="282" formatCode="&quot;$&quot;#,##0.00;[Red]\-&quot;$&quot;#,##0.00">
                  <c:v>74.8</c:v>
                </c:pt>
                <c:pt idx="283" formatCode="&quot;$&quot;#,##0.00;[Red]\-&quot;$&quot;#,##0.00">
                  <c:v>56.32</c:v>
                </c:pt>
                <c:pt idx="284">
                  <c:v>9</c:v>
                </c:pt>
                <c:pt idx="285">
                  <c:v>9</c:v>
                </c:pt>
                <c:pt idx="286">
                  <c:v>9</c:v>
                </c:pt>
                <c:pt idx="287">
                  <c:v>36</c:v>
                </c:pt>
                <c:pt idx="288" formatCode="&quot;$&quot;#,##0.00;[Red]\-&quot;$&quot;#,##0.00">
                  <c:v>29.92</c:v>
                </c:pt>
                <c:pt idx="289" formatCode="&quot;$&quot;#,##0.00;[Red]\-&quot;$&quot;#,##0.00">
                  <c:v>28.8</c:v>
                </c:pt>
                <c:pt idx="290">
                  <c:v>9</c:v>
                </c:pt>
                <c:pt idx="291">
                  <c:v>8</c:v>
                </c:pt>
                <c:pt idx="292" formatCode="&quot;$&quot;#,##0.00;[Red]\-&quot;$&quot;#,##0.00">
                  <c:v>40.799999999999997</c:v>
                </c:pt>
                <c:pt idx="293" formatCode="&quot;$&quot;#,##0.00;[Red]\-&quot;$&quot;#,##0.00">
                  <c:v>25.6</c:v>
                </c:pt>
                <c:pt idx="294" formatCode="&quot;$&quot;#,##0.00;[Red]\-&quot;$&quot;#,##0.00">
                  <c:v>29.92</c:v>
                </c:pt>
                <c:pt idx="295">
                  <c:v>36</c:v>
                </c:pt>
                <c:pt idx="296" formatCode="&quot;$&quot;#,##0.00;[Red]\-&quot;$&quot;#,##0.00">
                  <c:v>28.8</c:v>
                </c:pt>
                <c:pt idx="297">
                  <c:v>14.4</c:v>
                </c:pt>
                <c:pt idx="298">
                  <c:v>28.8</c:v>
                </c:pt>
                <c:pt idx="299" formatCode="&quot;$&quot;#,##0.00;[Red]\-&quot;$&quot;#,##0.00">
                  <c:v>28.8</c:v>
                </c:pt>
                <c:pt idx="300">
                  <c:v>36</c:v>
                </c:pt>
                <c:pt idx="301" formatCode="&quot;$&quot;#,##0.00;[Red]\-&quot;$&quot;#,##0.00">
                  <c:v>29.92</c:v>
                </c:pt>
                <c:pt idx="302">
                  <c:v>27</c:v>
                </c:pt>
                <c:pt idx="303">
                  <c:v>57.6</c:v>
                </c:pt>
                <c:pt idx="304" formatCode="&quot;$&quot;#,##0.00;[Red]\-&quot;$&quot;#,##0.00">
                  <c:v>32.799999999999997</c:v>
                </c:pt>
                <c:pt idx="305" formatCode="&quot;$&quot;#,##0.00;[Red]\-&quot;$&quot;#,##0.00">
                  <c:v>26.4</c:v>
                </c:pt>
                <c:pt idx="306" formatCode="&quot;$&quot;#,##0.00;[Red]\-&quot;$&quot;#,##0.00">
                  <c:v>29.92</c:v>
                </c:pt>
                <c:pt idx="307" formatCode="&quot;$&quot;#,##0.00;[Red]\-&quot;$&quot;#,##0.00">
                  <c:v>18</c:v>
                </c:pt>
                <c:pt idx="308">
                  <c:v>9</c:v>
                </c:pt>
                <c:pt idx="309">
                  <c:v>28.8</c:v>
                </c:pt>
                <c:pt idx="310">
                  <c:v>36</c:v>
                </c:pt>
                <c:pt idx="311">
                  <c:v>28.8</c:v>
                </c:pt>
                <c:pt idx="312" formatCode="&quot;$&quot;#,##0.00;[Red]\-&quot;$&quot;#,##0.00">
                  <c:v>28.8</c:v>
                </c:pt>
                <c:pt idx="313" formatCode="&quot;$&quot;#,##0.00;[Red]\-&quot;$&quot;#,##0.00">
                  <c:v>35.200000000000003</c:v>
                </c:pt>
                <c:pt idx="314" formatCode="&quot;$&quot;#,##0.00;[Red]\-&quot;$&quot;#,##0.00">
                  <c:v>56.32</c:v>
                </c:pt>
                <c:pt idx="315">
                  <c:v>36</c:v>
                </c:pt>
                <c:pt idx="316" formatCode="&quot;$&quot;#,##0.00;[Red]\-&quot;$&quot;#,##0.00">
                  <c:v>57.6</c:v>
                </c:pt>
                <c:pt idx="317">
                  <c:v>18</c:v>
                </c:pt>
                <c:pt idx="318">
                  <c:v>36</c:v>
                </c:pt>
                <c:pt idx="319">
                  <c:v>86.4</c:v>
                </c:pt>
                <c:pt idx="320">
                  <c:v>9</c:v>
                </c:pt>
                <c:pt idx="321" formatCode="&quot;$&quot;#,##0.00;[Red]\-&quot;$&quot;#,##0.00">
                  <c:v>28.8</c:v>
                </c:pt>
                <c:pt idx="322">
                  <c:v>64.8</c:v>
                </c:pt>
                <c:pt idx="323">
                  <c:v>28.8</c:v>
                </c:pt>
                <c:pt idx="324">
                  <c:v>28.8</c:v>
                </c:pt>
                <c:pt idx="325">
                  <c:v>57.6</c:v>
                </c:pt>
                <c:pt idx="326">
                  <c:v>28.8</c:v>
                </c:pt>
                <c:pt idx="327" formatCode="&quot;$&quot;#,##0.00;[Red]\-&quot;$&quot;#,##0.00">
                  <c:v>29.92</c:v>
                </c:pt>
                <c:pt idx="328" formatCode="&quot;$&quot;#,##0.00;[Red]\-&quot;$&quot;#,##0.00">
                  <c:v>86.4</c:v>
                </c:pt>
                <c:pt idx="329">
                  <c:v>27.2</c:v>
                </c:pt>
                <c:pt idx="330" formatCode="&quot;$&quot;#,##0.00;[Red]\-&quot;$&quot;#,##0.00">
                  <c:v>25.6</c:v>
                </c:pt>
                <c:pt idx="331">
                  <c:v>9</c:v>
                </c:pt>
                <c:pt idx="332" formatCode="&quot;$&quot;#,##0.00;[Red]\-&quot;$&quot;#,##0.00">
                  <c:v>119.68</c:v>
                </c:pt>
                <c:pt idx="333">
                  <c:v>28.8</c:v>
                </c:pt>
                <c:pt idx="334">
                  <c:v>9</c:v>
                </c:pt>
                <c:pt idx="335">
                  <c:v>25.6</c:v>
                </c:pt>
                <c:pt idx="336" formatCode="&quot;$&quot;#,##0.00;[Red]\-&quot;$&quot;#,##0.00">
                  <c:v>36</c:v>
                </c:pt>
                <c:pt idx="337" formatCode="&quot;$&quot;#,##0.00;[Red]\-&quot;$&quot;#,##0.00">
                  <c:v>111.2</c:v>
                </c:pt>
                <c:pt idx="338">
                  <c:v>27</c:v>
                </c:pt>
                <c:pt idx="339" formatCode="&quot;$&quot;#,##0.00;[Red]\-&quot;$&quot;#,##0.00">
                  <c:v>29.92</c:v>
                </c:pt>
                <c:pt idx="340" formatCode="&quot;$&quot;#,##0.00;[Red]\-&quot;$&quot;#,##0.00">
                  <c:v>28.8</c:v>
                </c:pt>
                <c:pt idx="341">
                  <c:v>18</c:v>
                </c:pt>
                <c:pt idx="342" formatCode="&quot;$&quot;#,##0.00;[Red]\-&quot;$&quot;#,##0.00">
                  <c:v>29.92</c:v>
                </c:pt>
                <c:pt idx="343" formatCode="&quot;$&quot;#,##0.00;[Red]\-&quot;$&quot;#,##0.00">
                  <c:v>29.92</c:v>
                </c:pt>
                <c:pt idx="344">
                  <c:v>36</c:v>
                </c:pt>
                <c:pt idx="345">
                  <c:v>28.8</c:v>
                </c:pt>
                <c:pt idx="346" formatCode="&quot;$&quot;#,##0.00;[Red]\-&quot;$&quot;#,##0.00">
                  <c:v>81</c:v>
                </c:pt>
                <c:pt idx="347">
                  <c:v>14.4</c:v>
                </c:pt>
                <c:pt idx="348" formatCode="&quot;$&quot;#,##0.00;[Red]\-&quot;$&quot;#,##0.00">
                  <c:v>73.8</c:v>
                </c:pt>
                <c:pt idx="349">
                  <c:v>18</c:v>
                </c:pt>
                <c:pt idx="350" formatCode="&quot;$&quot;#,##0.00;[Red]\-&quot;$&quot;#,##0.00">
                  <c:v>11</c:v>
                </c:pt>
                <c:pt idx="351" formatCode="&quot;$&quot;#,##0.00;[Red]\-&quot;$&quot;#,##0.00">
                  <c:v>22</c:v>
                </c:pt>
                <c:pt idx="352">
                  <c:v>9</c:v>
                </c:pt>
                <c:pt idx="353">
                  <c:v>30.6</c:v>
                </c:pt>
                <c:pt idx="354" formatCode="&quot;$&quot;#,##0.00;[Red]\-&quot;$&quot;#,##0.00">
                  <c:v>29.92</c:v>
                </c:pt>
                <c:pt idx="355" formatCode="&quot;$&quot;#,##0.00;[Red]\-&quot;$&quot;#,##0.00">
                  <c:v>56.32</c:v>
                </c:pt>
                <c:pt idx="356" formatCode="&quot;$&quot;#,##0.00;[Red]\-&quot;$&quot;#,##0.00">
                  <c:v>72</c:v>
                </c:pt>
                <c:pt idx="357" formatCode="&quot;$&quot;#,##0.00;[Red]\-&quot;$&quot;#,##0.00">
                  <c:v>18</c:v>
                </c:pt>
                <c:pt idx="358" formatCode="&quot;$&quot;#,##0.00;[Red]\-&quot;$&quot;#,##0.00">
                  <c:v>18.399999999999999</c:v>
                </c:pt>
                <c:pt idx="359">
                  <c:v>91.8</c:v>
                </c:pt>
                <c:pt idx="360" formatCode="&quot;$&quot;#,##0.00;[Red]\-&quot;$&quot;#,##0.00">
                  <c:v>28.8</c:v>
                </c:pt>
                <c:pt idx="361">
                  <c:v>27</c:v>
                </c:pt>
                <c:pt idx="362" formatCode="&quot;$&quot;#,##0.00;[Red]\-&quot;$&quot;#,##0.00">
                  <c:v>105.6</c:v>
                </c:pt>
                <c:pt idx="363" formatCode="&quot;$&quot;#,##0.00;[Red]\-&quot;$&quot;#,##0.00">
                  <c:v>36</c:v>
                </c:pt>
                <c:pt idx="364">
                  <c:v>18</c:v>
                </c:pt>
                <c:pt idx="365" formatCode="&quot;$&quot;#,##0.00;[Red]\-&quot;$&quot;#,##0.00">
                  <c:v>28.8</c:v>
                </c:pt>
                <c:pt idx="366" formatCode="&quot;$&quot;#,##0.00;[Red]\-&quot;$&quot;#,##0.00">
                  <c:v>28.8</c:v>
                </c:pt>
                <c:pt idx="367">
                  <c:v>28.8</c:v>
                </c:pt>
                <c:pt idx="368">
                  <c:v>28.8</c:v>
                </c:pt>
                <c:pt idx="369" formatCode="&quot;$&quot;#,##0.00;[Red]\-&quot;$&quot;#,##0.00">
                  <c:v>57.6</c:v>
                </c:pt>
                <c:pt idx="370">
                  <c:v>43.2</c:v>
                </c:pt>
                <c:pt idx="371">
                  <c:v>9</c:v>
                </c:pt>
                <c:pt idx="372" formatCode="&quot;$&quot;#,##0.00;[Red]\-&quot;$&quot;#,##0.00">
                  <c:v>28.8</c:v>
                </c:pt>
                <c:pt idx="373">
                  <c:v>28.8</c:v>
                </c:pt>
                <c:pt idx="374">
                  <c:v>18</c:v>
                </c:pt>
                <c:pt idx="375">
                  <c:v>9</c:v>
                </c:pt>
                <c:pt idx="376">
                  <c:v>28.8</c:v>
                </c:pt>
                <c:pt idx="377" formatCode="&quot;$&quot;#,##0.00;[Red]\-&quot;$&quot;#,##0.00">
                  <c:v>52</c:v>
                </c:pt>
                <c:pt idx="378">
                  <c:v>9</c:v>
                </c:pt>
                <c:pt idx="379" formatCode="&quot;$&quot;#,##0.00;[Red]\-&quot;$&quot;#,##0.00">
                  <c:v>28.8</c:v>
                </c:pt>
                <c:pt idx="380" formatCode="&quot;$&quot;#,##0.00;[Red]\-&quot;$&quot;#,##0.00">
                  <c:v>28.05</c:v>
                </c:pt>
                <c:pt idx="381">
                  <c:v>57.6</c:v>
                </c:pt>
                <c:pt idx="382">
                  <c:v>54</c:v>
                </c:pt>
                <c:pt idx="383">
                  <c:v>28.8</c:v>
                </c:pt>
                <c:pt idx="384" formatCode="&quot;$&quot;#,##0.00;[Red]\-&quot;$&quot;#,##0.00">
                  <c:v>72</c:v>
                </c:pt>
                <c:pt idx="385">
                  <c:v>28.8</c:v>
                </c:pt>
                <c:pt idx="386">
                  <c:v>21.6</c:v>
                </c:pt>
                <c:pt idx="387">
                  <c:v>43.2</c:v>
                </c:pt>
                <c:pt idx="388">
                  <c:v>9</c:v>
                </c:pt>
                <c:pt idx="389" formatCode="&quot;$&quot;#,##0.00;[Red]\-&quot;$&quot;#,##0.00">
                  <c:v>28.8</c:v>
                </c:pt>
                <c:pt idx="390" formatCode="&quot;$&quot;#,##0.00;[Red]\-&quot;$&quot;#,##0.00">
                  <c:v>74.8</c:v>
                </c:pt>
                <c:pt idx="391">
                  <c:v>57.6</c:v>
                </c:pt>
                <c:pt idx="392" formatCode="&quot;$&quot;#,##0.00;[Red]\-&quot;$&quot;#,##0.00">
                  <c:v>86.8</c:v>
                </c:pt>
                <c:pt idx="393" formatCode="&quot;$&quot;#,##0.00;[Red]\-&quot;$&quot;#,##0.00">
                  <c:v>29.92</c:v>
                </c:pt>
                <c:pt idx="394" formatCode="&quot;$&quot;#,##0.00;[Red]\-&quot;$&quot;#,##0.00">
                  <c:v>77.55</c:v>
                </c:pt>
                <c:pt idx="395" formatCode="&quot;$&quot;#,##0.00;[Red]\-&quot;$&quot;#,##0.00">
                  <c:v>144</c:v>
                </c:pt>
                <c:pt idx="396">
                  <c:v>57.6</c:v>
                </c:pt>
                <c:pt idx="397">
                  <c:v>14.4</c:v>
                </c:pt>
                <c:pt idx="398" formatCode="&quot;$&quot;#,##0.00;[Red]\-&quot;$&quot;#,##0.00">
                  <c:v>37.4</c:v>
                </c:pt>
                <c:pt idx="399">
                  <c:v>9</c:v>
                </c:pt>
                <c:pt idx="400" formatCode="&quot;$&quot;#,##0.00;[Red]\-&quot;$&quot;#,##0.00">
                  <c:v>12</c:v>
                </c:pt>
                <c:pt idx="401" formatCode="&quot;$&quot;#,##0.00;[Red]\-&quot;$&quot;#,##0.00">
                  <c:v>80.849999999999994</c:v>
                </c:pt>
                <c:pt idx="402" formatCode="&quot;$&quot;#,##0.00;[Red]\-&quot;$&quot;#,##0.00">
                  <c:v>81.599999999999994</c:v>
                </c:pt>
                <c:pt idx="403" formatCode="&quot;$&quot;#,##0.00;[Red]\-&quot;$&quot;#,##0.00">
                  <c:v>36</c:v>
                </c:pt>
                <c:pt idx="404" formatCode="&quot;$&quot;#,##0.00;[Red]\-&quot;$&quot;#,##0.00">
                  <c:v>56.32</c:v>
                </c:pt>
                <c:pt idx="405">
                  <c:v>9</c:v>
                </c:pt>
                <c:pt idx="406" formatCode="&quot;$&quot;#,##0.00;[Red]\-&quot;$&quot;#,##0.00">
                  <c:v>11</c:v>
                </c:pt>
                <c:pt idx="407" formatCode="&quot;$&quot;#,##0.00;[Red]\-&quot;$&quot;#,##0.00">
                  <c:v>28.8</c:v>
                </c:pt>
                <c:pt idx="408" formatCode="&quot;$&quot;#,##0.00;[Red]\-&quot;$&quot;#,##0.00">
                  <c:v>28.8</c:v>
                </c:pt>
                <c:pt idx="409" formatCode="&quot;$&quot;#,##0.00;[Red]\-&quot;$&quot;#,##0.00">
                  <c:v>29.92</c:v>
                </c:pt>
                <c:pt idx="410">
                  <c:v>18</c:v>
                </c:pt>
                <c:pt idx="411" formatCode="&quot;$&quot;#,##0.00;[Red]\-&quot;$&quot;#,##0.00">
                  <c:v>57.6</c:v>
                </c:pt>
                <c:pt idx="412" formatCode="&quot;$&quot;#,##0.00;[Red]\-&quot;$&quot;#,##0.00">
                  <c:v>28.8</c:v>
                </c:pt>
                <c:pt idx="413" formatCode="&quot;$&quot;#,##0.00;[Red]\-&quot;$&quot;#,##0.00">
                  <c:v>29.92</c:v>
                </c:pt>
                <c:pt idx="414" formatCode="&quot;$&quot;#,##0.00;[Red]\-&quot;$&quot;#,##0.00">
                  <c:v>22</c:v>
                </c:pt>
                <c:pt idx="415" formatCode="&quot;$&quot;#,##0.00;[Red]\-&quot;$&quot;#,##0.00">
                  <c:v>28.8</c:v>
                </c:pt>
                <c:pt idx="416">
                  <c:v>28.8</c:v>
                </c:pt>
                <c:pt idx="417">
                  <c:v>57.6</c:v>
                </c:pt>
                <c:pt idx="418">
                  <c:v>28.8</c:v>
                </c:pt>
                <c:pt idx="419">
                  <c:v>50.4</c:v>
                </c:pt>
                <c:pt idx="420">
                  <c:v>50.4</c:v>
                </c:pt>
                <c:pt idx="421">
                  <c:v>28.8</c:v>
                </c:pt>
                <c:pt idx="422" formatCode="&quot;$&quot;#,##0.00;[Red]\-&quot;$&quot;#,##0.00">
                  <c:v>36</c:v>
                </c:pt>
                <c:pt idx="423">
                  <c:v>28.8</c:v>
                </c:pt>
                <c:pt idx="424" formatCode="&quot;$&quot;#,##0.00;[Red]\-&quot;$&quot;#,##0.00">
                  <c:v>28.8</c:v>
                </c:pt>
                <c:pt idx="425">
                  <c:v>27</c:v>
                </c:pt>
                <c:pt idx="426">
                  <c:v>52.8</c:v>
                </c:pt>
                <c:pt idx="427">
                  <c:v>18</c:v>
                </c:pt>
                <c:pt idx="428" formatCode="&quot;$&quot;#,##0.00;[Red]\-&quot;$&quot;#,##0.00">
                  <c:v>29.92</c:v>
                </c:pt>
                <c:pt idx="429">
                  <c:v>18</c:v>
                </c:pt>
                <c:pt idx="430" formatCode="&quot;$&quot;#,##0.00;[Red]\-&quot;$&quot;#,##0.00">
                  <c:v>29.92</c:v>
                </c:pt>
                <c:pt idx="431">
                  <c:v>18</c:v>
                </c:pt>
                <c:pt idx="432">
                  <c:v>28.8</c:v>
                </c:pt>
                <c:pt idx="433" formatCode="&quot;$&quot;#,##0.00;[Red]\-&quot;$&quot;#,##0.00">
                  <c:v>59.84</c:v>
                </c:pt>
                <c:pt idx="434" formatCode="&quot;$&quot;#,##0.00;[Red]\-&quot;$&quot;#,##0.00">
                  <c:v>14.4</c:v>
                </c:pt>
                <c:pt idx="435">
                  <c:v>115.2</c:v>
                </c:pt>
                <c:pt idx="436" formatCode="&quot;$&quot;#,##0.00;[Red]\-&quot;$&quot;#,##0.00">
                  <c:v>29.92</c:v>
                </c:pt>
                <c:pt idx="437">
                  <c:v>57.6</c:v>
                </c:pt>
                <c:pt idx="438" formatCode="&quot;$&quot;#,##0.00;[Red]\-&quot;$&quot;#,##0.00">
                  <c:v>28.8</c:v>
                </c:pt>
                <c:pt idx="439">
                  <c:v>28.8</c:v>
                </c:pt>
                <c:pt idx="440" formatCode="&quot;$&quot;#,##0.00;[Red]\-&quot;$&quot;#,##0.00">
                  <c:v>30.6</c:v>
                </c:pt>
                <c:pt idx="441" formatCode="&quot;$&quot;#,##0.00;[Red]\-&quot;$&quot;#,##0.00">
                  <c:v>37.4</c:v>
                </c:pt>
                <c:pt idx="442" formatCode="&quot;$&quot;#,##0.00;[Red]\-&quot;$&quot;#,##0.00">
                  <c:v>54</c:v>
                </c:pt>
                <c:pt idx="443">
                  <c:v>9</c:v>
                </c:pt>
                <c:pt idx="444" formatCode="&quot;$&quot;#,##0.00;[Red]\-&quot;$&quot;#,##0.00">
                  <c:v>32.64</c:v>
                </c:pt>
                <c:pt idx="445">
                  <c:v>14.4</c:v>
                </c:pt>
                <c:pt idx="446" formatCode="&quot;$&quot;#,##0.00;[Red]\-&quot;$&quot;#,##0.00">
                  <c:v>28.8</c:v>
                </c:pt>
                <c:pt idx="447" formatCode="&quot;$&quot;#,##0.00;[Red]\-&quot;$&quot;#,##0.00">
                  <c:v>28.8</c:v>
                </c:pt>
                <c:pt idx="448" formatCode="&quot;$&quot;#,##0.00;[Red]\-&quot;$&quot;#,##0.00">
                  <c:v>28.8</c:v>
                </c:pt>
                <c:pt idx="449" formatCode="&quot;$&quot;#,##0.00;[Red]\-&quot;$&quot;#,##0.00">
                  <c:v>21.6</c:v>
                </c:pt>
                <c:pt idx="450">
                  <c:v>21.6</c:v>
                </c:pt>
                <c:pt idx="451">
                  <c:v>28.8</c:v>
                </c:pt>
                <c:pt idx="452" formatCode="&quot;$&quot;#,##0.00;[Red]\-&quot;$&quot;#,##0.00">
                  <c:v>29.92</c:v>
                </c:pt>
                <c:pt idx="453">
                  <c:v>28.8</c:v>
                </c:pt>
                <c:pt idx="454" formatCode="&quot;$&quot;#,##0.00;[Red]\-&quot;$&quot;#,##0.00">
                  <c:v>18</c:v>
                </c:pt>
                <c:pt idx="455" formatCode="&quot;$&quot;#,##0.00;[Red]\-&quot;$&quot;#,##0.00">
                  <c:v>56.32</c:v>
                </c:pt>
                <c:pt idx="456" formatCode="&quot;$&quot;#,##0.00;[Red]\-&quot;$&quot;#,##0.00">
                  <c:v>56.32</c:v>
                </c:pt>
                <c:pt idx="457" formatCode="&quot;$&quot;#,##0.00;[Red]\-&quot;$&quot;#,##0.00">
                  <c:v>39</c:v>
                </c:pt>
                <c:pt idx="458" formatCode="&quot;$&quot;#,##0.00;[Red]\-&quot;$&quot;#,##0.00">
                  <c:v>35.200000000000003</c:v>
                </c:pt>
                <c:pt idx="459">
                  <c:v>18</c:v>
                </c:pt>
                <c:pt idx="460">
                  <c:v>43.2</c:v>
                </c:pt>
                <c:pt idx="461" formatCode="&quot;$&quot;#,##0.00;[Red]\-&quot;$&quot;#,##0.00">
                  <c:v>57.6</c:v>
                </c:pt>
                <c:pt idx="462">
                  <c:v>27</c:v>
                </c:pt>
                <c:pt idx="463">
                  <c:v>144</c:v>
                </c:pt>
                <c:pt idx="464">
                  <c:v>28.8</c:v>
                </c:pt>
                <c:pt idx="465" formatCode="&quot;$&quot;#,##0.00;[Red]\-&quot;$&quot;#,##0.00">
                  <c:v>36</c:v>
                </c:pt>
                <c:pt idx="466">
                  <c:v>9</c:v>
                </c:pt>
                <c:pt idx="467">
                  <c:v>27</c:v>
                </c:pt>
                <c:pt idx="468">
                  <c:v>28.8</c:v>
                </c:pt>
                <c:pt idx="469">
                  <c:v>14.4</c:v>
                </c:pt>
                <c:pt idx="470">
                  <c:v>41.6</c:v>
                </c:pt>
                <c:pt idx="471" formatCode="&quot;$&quot;#,##0.00;[Red]\-&quot;$&quot;#,##0.00">
                  <c:v>72</c:v>
                </c:pt>
                <c:pt idx="472" formatCode="&quot;$&quot;#,##0.00;[Red]\-&quot;$&quot;#,##0.00">
                  <c:v>28.8</c:v>
                </c:pt>
                <c:pt idx="473">
                  <c:v>57.6</c:v>
                </c:pt>
                <c:pt idx="474">
                  <c:v>9</c:v>
                </c:pt>
                <c:pt idx="475" formatCode="&quot;$&quot;#,##0.00;[Red]\-&quot;$&quot;#,##0.00">
                  <c:v>51.2</c:v>
                </c:pt>
                <c:pt idx="476">
                  <c:v>27</c:v>
                </c:pt>
                <c:pt idx="477" formatCode="&quot;$&quot;#,##0.00;[Red]\-&quot;$&quot;#,##0.00">
                  <c:v>56.32</c:v>
                </c:pt>
                <c:pt idx="478">
                  <c:v>14.4</c:v>
                </c:pt>
                <c:pt idx="479">
                  <c:v>9</c:v>
                </c:pt>
                <c:pt idx="480" formatCode="&quot;$&quot;#,##0.00;[Red]\-&quot;$&quot;#,##0.00">
                  <c:v>18</c:v>
                </c:pt>
                <c:pt idx="481" formatCode="&quot;$&quot;#,##0.00;[Red]\-&quot;$&quot;#,##0.00">
                  <c:v>28.8</c:v>
                </c:pt>
                <c:pt idx="482" formatCode="&quot;$&quot;#,##0.00;[Red]\-&quot;$&quot;#,##0.00">
                  <c:v>11</c:v>
                </c:pt>
                <c:pt idx="483">
                  <c:v>18</c:v>
                </c:pt>
                <c:pt idx="484" formatCode="&quot;$&quot;#,##0.00;[Red]\-&quot;$&quot;#,##0.00">
                  <c:v>52.8</c:v>
                </c:pt>
                <c:pt idx="485" formatCode="&quot;$&quot;#,##0.00;[Red]\-&quot;$&quot;#,##0.00">
                  <c:v>29.92</c:v>
                </c:pt>
                <c:pt idx="486" formatCode="&quot;$&quot;#,##0.00;[Red]\-&quot;$&quot;#,##0.00">
                  <c:v>22</c:v>
                </c:pt>
                <c:pt idx="487">
                  <c:v>27</c:v>
                </c:pt>
                <c:pt idx="488">
                  <c:v>18</c:v>
                </c:pt>
                <c:pt idx="489" formatCode="&quot;$&quot;#,##0.00;[Red]\-&quot;$&quot;#,##0.00">
                  <c:v>28.8</c:v>
                </c:pt>
                <c:pt idx="490" formatCode="&quot;$&quot;#,##0.00;[Red]\-&quot;$&quot;#,##0.00">
                  <c:v>57.6</c:v>
                </c:pt>
                <c:pt idx="491" formatCode="&quot;$&quot;#,##0.00;[Red]\-&quot;$&quot;#,##0.00">
                  <c:v>65.92</c:v>
                </c:pt>
                <c:pt idx="492">
                  <c:v>9</c:v>
                </c:pt>
                <c:pt idx="493">
                  <c:v>43.2</c:v>
                </c:pt>
                <c:pt idx="494">
                  <c:v>28.8</c:v>
                </c:pt>
                <c:pt idx="495" formatCode="&quot;$&quot;#,##0.00;[Red]\-&quot;$&quot;#,##0.00">
                  <c:v>29.92</c:v>
                </c:pt>
                <c:pt idx="496" formatCode="&quot;$&quot;#,##0.00;[Red]\-&quot;$&quot;#,##0.00">
                  <c:v>30.6</c:v>
                </c:pt>
                <c:pt idx="497" formatCode="&quot;$&quot;#,##0.00;[Red]\-&quot;$&quot;#,##0.00">
                  <c:v>28.8</c:v>
                </c:pt>
                <c:pt idx="498">
                  <c:v>18</c:v>
                </c:pt>
                <c:pt idx="499" formatCode="&quot;$&quot;#,##0.00;[Red]\-&quot;$&quot;#,##0.00">
                  <c:v>56.32</c:v>
                </c:pt>
                <c:pt idx="500">
                  <c:v>57.6</c:v>
                </c:pt>
                <c:pt idx="501">
                  <c:v>28.8</c:v>
                </c:pt>
                <c:pt idx="502">
                  <c:v>28.8</c:v>
                </c:pt>
                <c:pt idx="503" formatCode="&quot;$&quot;#,##0.00;[Red]\-&quot;$&quot;#,##0.00">
                  <c:v>86.4</c:v>
                </c:pt>
                <c:pt idx="504" formatCode="&quot;$&quot;#,##0.00;[Red]\-&quot;$&quot;#,##0.00">
                  <c:v>21</c:v>
                </c:pt>
                <c:pt idx="505" formatCode="&quot;$&quot;#,##0.00;[Red]\-&quot;$&quot;#,##0.00">
                  <c:v>40.799999999999997</c:v>
                </c:pt>
                <c:pt idx="506">
                  <c:v>72</c:v>
                </c:pt>
                <c:pt idx="507" formatCode="&quot;$&quot;#,##0.00;[Red]\-&quot;$&quot;#,##0.00">
                  <c:v>22</c:v>
                </c:pt>
                <c:pt idx="508">
                  <c:v>28.8</c:v>
                </c:pt>
                <c:pt idx="509" formatCode="&quot;$&quot;#,##0.00;[Red]\-&quot;$&quot;#,##0.00">
                  <c:v>29.92</c:v>
                </c:pt>
                <c:pt idx="510" formatCode="&quot;$&quot;#,##0.00;[Red]\-&quot;$&quot;#,##0.00">
                  <c:v>28.8</c:v>
                </c:pt>
                <c:pt idx="511">
                  <c:v>28.8</c:v>
                </c:pt>
                <c:pt idx="512">
                  <c:v>36</c:v>
                </c:pt>
                <c:pt idx="513" formatCode="&quot;$&quot;#,##0.00;[Red]\-&quot;$&quot;#,##0.00">
                  <c:v>30.6</c:v>
                </c:pt>
                <c:pt idx="514">
                  <c:v>18</c:v>
                </c:pt>
                <c:pt idx="515" formatCode="&quot;$&quot;#,##0.00;[Red]\-&quot;$&quot;#,##0.00">
                  <c:v>36</c:v>
                </c:pt>
                <c:pt idx="516">
                  <c:v>57.6</c:v>
                </c:pt>
                <c:pt idx="517" formatCode="&quot;$&quot;#,##0.00;[Red]\-&quot;$&quot;#,##0.00">
                  <c:v>36</c:v>
                </c:pt>
                <c:pt idx="518">
                  <c:v>28.8</c:v>
                </c:pt>
                <c:pt idx="519">
                  <c:v>28.8</c:v>
                </c:pt>
                <c:pt idx="520" formatCode="&quot;$&quot;#,##0.00;[Red]\-&quot;$&quot;#,##0.00">
                  <c:v>43.2</c:v>
                </c:pt>
                <c:pt idx="521" formatCode="&quot;$&quot;#,##0.00;[Red]\-&quot;$&quot;#,##0.00">
                  <c:v>57.6</c:v>
                </c:pt>
                <c:pt idx="522">
                  <c:v>18</c:v>
                </c:pt>
                <c:pt idx="523">
                  <c:v>9</c:v>
                </c:pt>
                <c:pt idx="524">
                  <c:v>28.8</c:v>
                </c:pt>
                <c:pt idx="525">
                  <c:v>9</c:v>
                </c:pt>
                <c:pt idx="526" formatCode="&quot;$&quot;#,##0.00;[Red]\-&quot;$&quot;#,##0.00">
                  <c:v>21</c:v>
                </c:pt>
                <c:pt idx="527" formatCode="&quot;$&quot;#,##0.00;[Red]\-&quot;$&quot;#,##0.00">
                  <c:v>36</c:v>
                </c:pt>
                <c:pt idx="528" formatCode="&quot;$&quot;#,##0.00;[Red]\-&quot;$&quot;#,##0.00">
                  <c:v>36</c:v>
                </c:pt>
                <c:pt idx="529" formatCode="&quot;$&quot;#,##0.00;[Red]\-&quot;$&quot;#,##0.00">
                  <c:v>56.32</c:v>
                </c:pt>
                <c:pt idx="530">
                  <c:v>28.8</c:v>
                </c:pt>
                <c:pt idx="531" formatCode="&quot;$&quot;#,##0.00;[Red]\-&quot;$&quot;#,##0.00">
                  <c:v>28.8</c:v>
                </c:pt>
                <c:pt idx="532" formatCode="&quot;$&quot;#,##0.00;[Red]\-&quot;$&quot;#,##0.00">
                  <c:v>29.92</c:v>
                </c:pt>
                <c:pt idx="533" formatCode="&quot;$&quot;#,##0.00;[Red]\-&quot;$&quot;#,##0.00">
                  <c:v>36</c:v>
                </c:pt>
                <c:pt idx="534" formatCode="&quot;$&quot;#,##0.00;[Red]\-&quot;$&quot;#,##0.00">
                  <c:v>11</c:v>
                </c:pt>
                <c:pt idx="535">
                  <c:v>28.8</c:v>
                </c:pt>
                <c:pt idx="536">
                  <c:v>28.8</c:v>
                </c:pt>
                <c:pt idx="537">
                  <c:v>36</c:v>
                </c:pt>
                <c:pt idx="538" formatCode="&quot;$&quot;#,##0.00;[Red]\-&quot;$&quot;#,##0.00">
                  <c:v>86.24</c:v>
                </c:pt>
                <c:pt idx="539">
                  <c:v>57.6</c:v>
                </c:pt>
                <c:pt idx="540" formatCode="&quot;$&quot;#,##0.00;[Red]\-&quot;$&quot;#,##0.00">
                  <c:v>153.6</c:v>
                </c:pt>
                <c:pt idx="541">
                  <c:v>57.6</c:v>
                </c:pt>
                <c:pt idx="542">
                  <c:v>18</c:v>
                </c:pt>
                <c:pt idx="543" formatCode="&quot;$&quot;#,##0.00;[Red]\-&quot;$&quot;#,##0.00">
                  <c:v>29.92</c:v>
                </c:pt>
                <c:pt idx="544">
                  <c:v>28.8</c:v>
                </c:pt>
                <c:pt idx="545">
                  <c:v>36</c:v>
                </c:pt>
                <c:pt idx="546" formatCode="&quot;$&quot;#,##0.00;[Red]\-&quot;$&quot;#,##0.00">
                  <c:v>12</c:v>
                </c:pt>
                <c:pt idx="547">
                  <c:v>7</c:v>
                </c:pt>
                <c:pt idx="548" formatCode="&quot;$&quot;#,##0.00;[Red]\-&quot;$&quot;#,##0.00">
                  <c:v>28.8</c:v>
                </c:pt>
                <c:pt idx="549" formatCode="&quot;$&quot;#,##0.00;[Red]\-&quot;$&quot;#,##0.00">
                  <c:v>37.4</c:v>
                </c:pt>
                <c:pt idx="550" formatCode="&quot;$&quot;#,##0.00;[Red]\-&quot;$&quot;#,##0.00">
                  <c:v>22</c:v>
                </c:pt>
                <c:pt idx="551" formatCode="&quot;$&quot;#,##0.00;[Red]\-&quot;$&quot;#,##0.00">
                  <c:v>27</c:v>
                </c:pt>
                <c:pt idx="552">
                  <c:v>28.8</c:v>
                </c:pt>
                <c:pt idx="553" formatCode="&quot;$&quot;#,##0.00;[Red]\-&quot;$&quot;#,##0.00">
                  <c:v>29.92</c:v>
                </c:pt>
                <c:pt idx="554" formatCode="&quot;$&quot;#,##0.00;[Red]\-&quot;$&quot;#,##0.00">
                  <c:v>68.64</c:v>
                </c:pt>
                <c:pt idx="555">
                  <c:v>30.6</c:v>
                </c:pt>
                <c:pt idx="556">
                  <c:v>27</c:v>
                </c:pt>
                <c:pt idx="557">
                  <c:v>18</c:v>
                </c:pt>
                <c:pt idx="558" formatCode="&quot;$&quot;#,##0.00;[Red]\-&quot;$&quot;#,##0.00">
                  <c:v>27</c:v>
                </c:pt>
                <c:pt idx="559">
                  <c:v>18</c:v>
                </c:pt>
                <c:pt idx="560" formatCode="&quot;$&quot;#,##0.00;[Red]\-&quot;$&quot;#,##0.00">
                  <c:v>72</c:v>
                </c:pt>
                <c:pt idx="561">
                  <c:v>30.6</c:v>
                </c:pt>
                <c:pt idx="562">
                  <c:v>57.6</c:v>
                </c:pt>
                <c:pt idx="563">
                  <c:v>9</c:v>
                </c:pt>
                <c:pt idx="564">
                  <c:v>28.8</c:v>
                </c:pt>
                <c:pt idx="565" formatCode="&quot;$&quot;#,##0.00;[Red]\-&quot;$&quot;#,##0.00">
                  <c:v>172.8</c:v>
                </c:pt>
                <c:pt idx="566" formatCode="&quot;$&quot;#,##0.00;[Red]\-&quot;$&quot;#,##0.00">
                  <c:v>29.92</c:v>
                </c:pt>
                <c:pt idx="567" formatCode="&quot;$&quot;#,##0.00;[Red]\-&quot;$&quot;#,##0.00">
                  <c:v>56.32</c:v>
                </c:pt>
                <c:pt idx="568">
                  <c:v>50.4</c:v>
                </c:pt>
                <c:pt idx="569">
                  <c:v>72</c:v>
                </c:pt>
                <c:pt idx="570">
                  <c:v>57.6</c:v>
                </c:pt>
                <c:pt idx="571" formatCode="&quot;$&quot;#,##0.00;[Red]\-&quot;$&quot;#,##0.00">
                  <c:v>9</c:v>
                </c:pt>
                <c:pt idx="572" formatCode="&quot;$&quot;#,##0.00;[Red]\-&quot;$&quot;#,##0.00">
                  <c:v>108.9</c:v>
                </c:pt>
                <c:pt idx="573">
                  <c:v>36</c:v>
                </c:pt>
                <c:pt idx="574">
                  <c:v>28.8</c:v>
                </c:pt>
                <c:pt idx="575" formatCode="&quot;$&quot;#,##0.00;[Red]\-&quot;$&quot;#,##0.00">
                  <c:v>12</c:v>
                </c:pt>
                <c:pt idx="576">
                  <c:v>28.8</c:v>
                </c:pt>
                <c:pt idx="577">
                  <c:v>28.8</c:v>
                </c:pt>
                <c:pt idx="578" formatCode="&quot;$&quot;#,##0.00;[Red]\-&quot;$&quot;#,##0.00">
                  <c:v>28.8</c:v>
                </c:pt>
                <c:pt idx="579">
                  <c:v>18</c:v>
                </c:pt>
                <c:pt idx="580" formatCode="&quot;$&quot;#,##0.00;[Red]\-&quot;$&quot;#,##0.00">
                  <c:v>27</c:v>
                </c:pt>
                <c:pt idx="581" formatCode="&quot;$&quot;#,##0.00;[Red]\-&quot;$&quot;#,##0.00">
                  <c:v>22</c:v>
                </c:pt>
                <c:pt idx="582">
                  <c:v>28.8</c:v>
                </c:pt>
                <c:pt idx="583" formatCode="&quot;$&quot;#,##0.00;[Red]\-&quot;$&quot;#,##0.00">
                  <c:v>35.200000000000003</c:v>
                </c:pt>
                <c:pt idx="584">
                  <c:v>9</c:v>
                </c:pt>
                <c:pt idx="585" formatCode="&quot;$&quot;#,##0.00;[Red]\-&quot;$&quot;#,##0.00">
                  <c:v>88.6</c:v>
                </c:pt>
                <c:pt idx="586">
                  <c:v>14.4</c:v>
                </c:pt>
                <c:pt idx="587" formatCode="&quot;$&quot;#,##0.00;[Red]\-&quot;$&quot;#,##0.00">
                  <c:v>57.6</c:v>
                </c:pt>
                <c:pt idx="588" formatCode="&quot;$&quot;#,##0.00;[Red]\-&quot;$&quot;#,##0.00">
                  <c:v>37.4</c:v>
                </c:pt>
                <c:pt idx="589" formatCode="&quot;$&quot;#,##0.00;[Red]\-&quot;$&quot;#,##0.00">
                  <c:v>22</c:v>
                </c:pt>
                <c:pt idx="590">
                  <c:v>28.8</c:v>
                </c:pt>
                <c:pt idx="591" formatCode="&quot;$&quot;#,##0.00;[Red]\-&quot;$&quot;#,##0.00">
                  <c:v>22</c:v>
                </c:pt>
                <c:pt idx="592">
                  <c:v>64.8</c:v>
                </c:pt>
                <c:pt idx="593">
                  <c:v>28.8</c:v>
                </c:pt>
                <c:pt idx="594">
                  <c:v>9</c:v>
                </c:pt>
                <c:pt idx="595">
                  <c:v>9</c:v>
                </c:pt>
                <c:pt idx="596" formatCode="&quot;$&quot;#,##0.00;[Red]\-&quot;$&quot;#,##0.00">
                  <c:v>28.8</c:v>
                </c:pt>
                <c:pt idx="597" formatCode="&quot;$&quot;#,##0.00;[Red]\-&quot;$&quot;#,##0.00">
                  <c:v>72</c:v>
                </c:pt>
                <c:pt idx="598">
                  <c:v>18</c:v>
                </c:pt>
                <c:pt idx="599">
                  <c:v>27</c:v>
                </c:pt>
                <c:pt idx="600">
                  <c:v>57.6</c:v>
                </c:pt>
                <c:pt idx="601" formatCode="&quot;$&quot;#,##0.00;[Red]\-&quot;$&quot;#,##0.00">
                  <c:v>37.4</c:v>
                </c:pt>
                <c:pt idx="602">
                  <c:v>57.6</c:v>
                </c:pt>
                <c:pt idx="603" formatCode="&quot;$&quot;#,##0.00;[Red]\-&quot;$&quot;#,##0.00">
                  <c:v>43.2</c:v>
                </c:pt>
                <c:pt idx="604" formatCode="&quot;$&quot;#,##0.00;[Red]\-&quot;$&quot;#,##0.00">
                  <c:v>37.4</c:v>
                </c:pt>
                <c:pt idx="605">
                  <c:v>27.2</c:v>
                </c:pt>
                <c:pt idx="606" formatCode="&quot;$&quot;#,##0.00;[Red]\-&quot;$&quot;#,##0.00">
                  <c:v>29.92</c:v>
                </c:pt>
                <c:pt idx="607">
                  <c:v>9</c:v>
                </c:pt>
                <c:pt idx="608" formatCode="&quot;$&quot;#,##0.00;[Red]\-&quot;$&quot;#,##0.00">
                  <c:v>36</c:v>
                </c:pt>
                <c:pt idx="609" formatCode="&quot;$&quot;#,##0.00;[Red]\-&quot;$&quot;#,##0.00">
                  <c:v>28.8</c:v>
                </c:pt>
                <c:pt idx="610">
                  <c:v>72</c:v>
                </c:pt>
                <c:pt idx="611" formatCode="&quot;$&quot;#,##0.00;[Red]\-&quot;$&quot;#,##0.00">
                  <c:v>29.92</c:v>
                </c:pt>
                <c:pt idx="612" formatCode="&quot;$&quot;#,##0.00;[Red]\-&quot;$&quot;#,##0.00">
                  <c:v>36</c:v>
                </c:pt>
                <c:pt idx="613">
                  <c:v>28.8</c:v>
                </c:pt>
                <c:pt idx="614" formatCode="&quot;$&quot;#,##0.00;[Red]\-&quot;$&quot;#,##0.00">
                  <c:v>28.8</c:v>
                </c:pt>
                <c:pt idx="615" formatCode="&quot;$&quot;#,##0.00;[Red]\-&quot;$&quot;#,##0.00">
                  <c:v>27</c:v>
                </c:pt>
                <c:pt idx="616" formatCode="&quot;$&quot;#,##0.00;[Red]\-&quot;$&quot;#,##0.00">
                  <c:v>27.2</c:v>
                </c:pt>
                <c:pt idx="617">
                  <c:v>14.4</c:v>
                </c:pt>
                <c:pt idx="618" formatCode="&quot;$&quot;#,##0.00;[Red]\-&quot;$&quot;#,##0.00">
                  <c:v>57.6</c:v>
                </c:pt>
                <c:pt idx="619" formatCode="&quot;$&quot;#,##0.00;[Red]\-&quot;$&quot;#,##0.00">
                  <c:v>36</c:v>
                </c:pt>
                <c:pt idx="620" formatCode="&quot;$&quot;#,##0.00;[Red]\-&quot;$&quot;#,##0.00">
                  <c:v>50.4</c:v>
                </c:pt>
                <c:pt idx="621">
                  <c:v>28.8</c:v>
                </c:pt>
                <c:pt idx="622" formatCode="&quot;$&quot;#,##0.00;[Red]\-&quot;$&quot;#,##0.00">
                  <c:v>97.28</c:v>
                </c:pt>
                <c:pt idx="623">
                  <c:v>14.4</c:v>
                </c:pt>
                <c:pt idx="624">
                  <c:v>9</c:v>
                </c:pt>
                <c:pt idx="625">
                  <c:v>18</c:v>
                </c:pt>
                <c:pt idx="626" formatCode="&quot;$&quot;#,##0.00;[Red]\-&quot;$&quot;#,##0.00">
                  <c:v>36</c:v>
                </c:pt>
                <c:pt idx="627" formatCode="&quot;$&quot;#,##0.00;[Red]\-&quot;$&quot;#,##0.00">
                  <c:v>56.32</c:v>
                </c:pt>
                <c:pt idx="628">
                  <c:v>28.8</c:v>
                </c:pt>
                <c:pt idx="629" formatCode="&quot;$&quot;#,##0.00;[Red]\-&quot;$&quot;#,##0.00">
                  <c:v>36.799999999999997</c:v>
                </c:pt>
                <c:pt idx="630" formatCode="&quot;$&quot;#,##0.00;[Red]\-&quot;$&quot;#,##0.00">
                  <c:v>22</c:v>
                </c:pt>
                <c:pt idx="631">
                  <c:v>18</c:v>
                </c:pt>
                <c:pt idx="632" formatCode="&quot;$&quot;#,##0.00;[Red]\-&quot;$&quot;#,##0.00">
                  <c:v>38.72</c:v>
                </c:pt>
                <c:pt idx="633" formatCode="&quot;$&quot;#,##0.00;[Red]\-&quot;$&quot;#,##0.00">
                  <c:v>28.8</c:v>
                </c:pt>
                <c:pt idx="634" formatCode="&quot;$&quot;#,##0.00;[Red]\-&quot;$&quot;#,##0.00">
                  <c:v>35.200000000000003</c:v>
                </c:pt>
                <c:pt idx="635">
                  <c:v>43.2</c:v>
                </c:pt>
                <c:pt idx="636" formatCode="&quot;$&quot;#,##0.00;[Red]\-&quot;$&quot;#,##0.00">
                  <c:v>48</c:v>
                </c:pt>
                <c:pt idx="637" formatCode="&quot;$&quot;#,##0.00;[Red]\-&quot;$&quot;#,##0.00">
                  <c:v>28.8</c:v>
                </c:pt>
                <c:pt idx="638">
                  <c:v>14.4</c:v>
                </c:pt>
                <c:pt idx="639">
                  <c:v>28.8</c:v>
                </c:pt>
                <c:pt idx="640">
                  <c:v>50.4</c:v>
                </c:pt>
                <c:pt idx="641">
                  <c:v>54</c:v>
                </c:pt>
                <c:pt idx="642">
                  <c:v>28.8</c:v>
                </c:pt>
                <c:pt idx="643" formatCode="&quot;$&quot;#,##0.00;[Red]\-&quot;$&quot;#,##0.00">
                  <c:v>43.2</c:v>
                </c:pt>
                <c:pt idx="644">
                  <c:v>34.4</c:v>
                </c:pt>
                <c:pt idx="645" formatCode="&quot;$&quot;#,##0.00;[Red]\-&quot;$&quot;#,##0.00">
                  <c:v>56.32</c:v>
                </c:pt>
                <c:pt idx="646" formatCode="&quot;$&quot;#,##0.00;[Red]\-&quot;$&quot;#,##0.00">
                  <c:v>72</c:v>
                </c:pt>
                <c:pt idx="647" formatCode="&quot;$&quot;#,##0.00;[Red]\-&quot;$&quot;#,##0.00">
                  <c:v>18</c:v>
                </c:pt>
                <c:pt idx="648" formatCode="&quot;$&quot;#,##0.00;[Red]\-&quot;$&quot;#,##0.00">
                  <c:v>18</c:v>
                </c:pt>
                <c:pt idx="649">
                  <c:v>9</c:v>
                </c:pt>
                <c:pt idx="650" formatCode="&quot;$&quot;#,##0.00;[Red]\-&quot;$&quot;#,##0.00">
                  <c:v>267.3</c:v>
                </c:pt>
                <c:pt idx="651">
                  <c:v>28.8</c:v>
                </c:pt>
                <c:pt idx="652" formatCode="&quot;$&quot;#,##0.00;[Red]\-&quot;$&quot;#,##0.00">
                  <c:v>29.92</c:v>
                </c:pt>
                <c:pt idx="653">
                  <c:v>30.6</c:v>
                </c:pt>
                <c:pt idx="654" formatCode="&quot;$&quot;#,##0.00;[Red]\-&quot;$&quot;#,##0.00">
                  <c:v>35.200000000000003</c:v>
                </c:pt>
                <c:pt idx="655">
                  <c:v>18</c:v>
                </c:pt>
                <c:pt idx="656" formatCode="&quot;$&quot;#,##0.00;[Red]\-&quot;$&quot;#,##0.00">
                  <c:v>28.8</c:v>
                </c:pt>
                <c:pt idx="657">
                  <c:v>56</c:v>
                </c:pt>
                <c:pt idx="658">
                  <c:v>57.6</c:v>
                </c:pt>
                <c:pt idx="659">
                  <c:v>57.6</c:v>
                </c:pt>
                <c:pt idx="660" formatCode="&quot;$&quot;#,##0.00;[Red]\-&quot;$&quot;#,##0.00">
                  <c:v>38.72</c:v>
                </c:pt>
                <c:pt idx="661">
                  <c:v>28.8</c:v>
                </c:pt>
                <c:pt idx="662">
                  <c:v>28.8</c:v>
                </c:pt>
                <c:pt idx="663">
                  <c:v>45</c:v>
                </c:pt>
                <c:pt idx="664">
                  <c:v>57.6</c:v>
                </c:pt>
                <c:pt idx="665">
                  <c:v>36</c:v>
                </c:pt>
                <c:pt idx="666" formatCode="&quot;$&quot;#,##0.00;[Red]\-&quot;$&quot;#,##0.00">
                  <c:v>28.8</c:v>
                </c:pt>
                <c:pt idx="667">
                  <c:v>28.8</c:v>
                </c:pt>
                <c:pt idx="668">
                  <c:v>14.4</c:v>
                </c:pt>
                <c:pt idx="669" formatCode="&quot;$&quot;#,##0.00;[Red]\-&quot;$&quot;#,##0.00">
                  <c:v>28.8</c:v>
                </c:pt>
                <c:pt idx="670">
                  <c:v>27</c:v>
                </c:pt>
                <c:pt idx="671">
                  <c:v>36</c:v>
                </c:pt>
                <c:pt idx="672">
                  <c:v>28.8</c:v>
                </c:pt>
                <c:pt idx="673" formatCode="&quot;$&quot;#,##0.00;[Red]\-&quot;$&quot;#,##0.00">
                  <c:v>86.4</c:v>
                </c:pt>
                <c:pt idx="674">
                  <c:v>28.8</c:v>
                </c:pt>
                <c:pt idx="675">
                  <c:v>28.8</c:v>
                </c:pt>
                <c:pt idx="676">
                  <c:v>27</c:v>
                </c:pt>
                <c:pt idx="677" formatCode="&quot;$&quot;#,##0.00;[Red]\-&quot;$&quot;#,##0.00">
                  <c:v>13</c:v>
                </c:pt>
                <c:pt idx="678">
                  <c:v>28.8</c:v>
                </c:pt>
                <c:pt idx="679" formatCode="&quot;$&quot;#,##0.00;[Red]\-&quot;$&quot;#,##0.00">
                  <c:v>12</c:v>
                </c:pt>
                <c:pt idx="680">
                  <c:v>28.8</c:v>
                </c:pt>
                <c:pt idx="681">
                  <c:v>14.4</c:v>
                </c:pt>
                <c:pt idx="682">
                  <c:v>43.2</c:v>
                </c:pt>
                <c:pt idx="683" formatCode="&quot;$&quot;#,##0.00;[Red]\-&quot;$&quot;#,##0.00">
                  <c:v>57.6</c:v>
                </c:pt>
                <c:pt idx="684">
                  <c:v>57.6</c:v>
                </c:pt>
                <c:pt idx="685" formatCode="&quot;$&quot;#,##0.00;[Red]\-&quot;$&quot;#,##0.00">
                  <c:v>38.4</c:v>
                </c:pt>
                <c:pt idx="686">
                  <c:v>14.4</c:v>
                </c:pt>
                <c:pt idx="687">
                  <c:v>36</c:v>
                </c:pt>
                <c:pt idx="688" formatCode="&quot;$&quot;#,##0.00;[Red]\-&quot;$&quot;#,##0.00">
                  <c:v>37.4</c:v>
                </c:pt>
                <c:pt idx="689" formatCode="&quot;$&quot;#,##0.00;[Red]\-&quot;$&quot;#,##0.00">
                  <c:v>72</c:v>
                </c:pt>
                <c:pt idx="690">
                  <c:v>59</c:v>
                </c:pt>
                <c:pt idx="691">
                  <c:v>79.2</c:v>
                </c:pt>
                <c:pt idx="692">
                  <c:v>28.8</c:v>
                </c:pt>
                <c:pt idx="693" formatCode="&quot;$&quot;#,##0.00;[Red]\-&quot;$&quot;#,##0.00">
                  <c:v>37.4</c:v>
                </c:pt>
                <c:pt idx="694">
                  <c:v>36</c:v>
                </c:pt>
                <c:pt idx="695">
                  <c:v>9</c:v>
                </c:pt>
                <c:pt idx="696" formatCode="&quot;$&quot;#,##0.00;[Red]\-&quot;$&quot;#,##0.00">
                  <c:v>11</c:v>
                </c:pt>
                <c:pt idx="697">
                  <c:v>18</c:v>
                </c:pt>
                <c:pt idx="698" formatCode="&quot;$&quot;#,##0.00;[Red]\-&quot;$&quot;#,##0.00">
                  <c:v>36</c:v>
                </c:pt>
                <c:pt idx="699" formatCode="&quot;$&quot;#,##0.00;[Red]\-&quot;$&quot;#,##0.00">
                  <c:v>74.400000000000006</c:v>
                </c:pt>
                <c:pt idx="700">
                  <c:v>9</c:v>
                </c:pt>
                <c:pt idx="701">
                  <c:v>72</c:v>
                </c:pt>
                <c:pt idx="702" formatCode="&quot;$&quot;#,##0.00;[Red]\-&quot;$&quot;#,##0.00">
                  <c:v>28.8</c:v>
                </c:pt>
                <c:pt idx="703" formatCode="&quot;$&quot;#,##0.00;[Red]\-&quot;$&quot;#,##0.00">
                  <c:v>38.72</c:v>
                </c:pt>
                <c:pt idx="704">
                  <c:v>57.6</c:v>
                </c:pt>
                <c:pt idx="705" formatCode="&quot;$&quot;#,##0.00;[Red]\-&quot;$&quot;#,##0.00">
                  <c:v>19.2</c:v>
                </c:pt>
                <c:pt idx="706" formatCode="&quot;$&quot;#,##0.00;[Red]\-&quot;$&quot;#,##0.00">
                  <c:v>44</c:v>
                </c:pt>
                <c:pt idx="707" formatCode="&quot;$&quot;#,##0.00;[Red]\-&quot;$&quot;#,##0.00">
                  <c:v>29.92</c:v>
                </c:pt>
                <c:pt idx="708" formatCode="&quot;$&quot;#,##0.00;[Red]\-&quot;$&quot;#,##0.00">
                  <c:v>24.75</c:v>
                </c:pt>
                <c:pt idx="709">
                  <c:v>28.8</c:v>
                </c:pt>
                <c:pt idx="710" formatCode="&quot;$&quot;#,##0.00;[Red]\-&quot;$&quot;#,##0.00">
                  <c:v>38.4</c:v>
                </c:pt>
                <c:pt idx="711">
                  <c:v>43.2</c:v>
                </c:pt>
                <c:pt idx="712" formatCode="&quot;$&quot;#,##0.00;[Red]\-&quot;$&quot;#,##0.00">
                  <c:v>138</c:v>
                </c:pt>
                <c:pt idx="713" formatCode="&quot;$&quot;#,##0.00;[Red]\-&quot;$&quot;#,##0.00">
                  <c:v>28.8</c:v>
                </c:pt>
                <c:pt idx="714">
                  <c:v>28.8</c:v>
                </c:pt>
                <c:pt idx="715" formatCode="&quot;$&quot;#,##0.00;[Red]\-&quot;$&quot;#,##0.00">
                  <c:v>52.8</c:v>
                </c:pt>
                <c:pt idx="716">
                  <c:v>27</c:v>
                </c:pt>
                <c:pt idx="717" formatCode="&quot;$&quot;#,##0.00;[Red]\-&quot;$&quot;#,##0.00">
                  <c:v>56.1</c:v>
                </c:pt>
                <c:pt idx="718" formatCode="&quot;$&quot;#,##0.00;[Red]\-&quot;$&quot;#,##0.00">
                  <c:v>17.600000000000001</c:v>
                </c:pt>
                <c:pt idx="719" formatCode="&quot;$&quot;#,##0.00;[Red]\-&quot;$&quot;#,##0.00">
                  <c:v>35.200000000000003</c:v>
                </c:pt>
                <c:pt idx="720">
                  <c:v>36</c:v>
                </c:pt>
                <c:pt idx="721">
                  <c:v>21.6</c:v>
                </c:pt>
                <c:pt idx="722" formatCode="&quot;$&quot;#,##0.00;[Red]\-&quot;$&quot;#,##0.00">
                  <c:v>28.8</c:v>
                </c:pt>
                <c:pt idx="723">
                  <c:v>18</c:v>
                </c:pt>
                <c:pt idx="724">
                  <c:v>36</c:v>
                </c:pt>
                <c:pt idx="725">
                  <c:v>18</c:v>
                </c:pt>
                <c:pt idx="726">
                  <c:v>36</c:v>
                </c:pt>
                <c:pt idx="727">
                  <c:v>27</c:v>
                </c:pt>
                <c:pt idx="728" formatCode="&quot;$&quot;#,##0.00;[Red]\-&quot;$&quot;#,##0.00">
                  <c:v>56.32</c:v>
                </c:pt>
                <c:pt idx="729" formatCode="&quot;$&quot;#,##0.00;[Red]\-&quot;$&quot;#,##0.00">
                  <c:v>47.52</c:v>
                </c:pt>
                <c:pt idx="730">
                  <c:v>28.8</c:v>
                </c:pt>
                <c:pt idx="731" formatCode="&quot;$&quot;#,##0.00;[Red]\-&quot;$&quot;#,##0.00">
                  <c:v>57.6</c:v>
                </c:pt>
                <c:pt idx="732">
                  <c:v>36</c:v>
                </c:pt>
                <c:pt idx="733">
                  <c:v>18</c:v>
                </c:pt>
                <c:pt idx="734">
                  <c:v>9</c:v>
                </c:pt>
                <c:pt idx="735">
                  <c:v>28.8</c:v>
                </c:pt>
                <c:pt idx="736">
                  <c:v>52.7</c:v>
                </c:pt>
                <c:pt idx="737" formatCode="&quot;$&quot;#,##0.00;[Red]\-&quot;$&quot;#,##0.00">
                  <c:v>72</c:v>
                </c:pt>
                <c:pt idx="738" formatCode="&quot;$&quot;#,##0.00;[Red]\-&quot;$&quot;#,##0.00">
                  <c:v>29.92</c:v>
                </c:pt>
                <c:pt idx="739" formatCode="&quot;$&quot;#,##0.00;[Red]\-&quot;$&quot;#,##0.00">
                  <c:v>60.75</c:v>
                </c:pt>
                <c:pt idx="740">
                  <c:v>28.8</c:v>
                </c:pt>
                <c:pt idx="741">
                  <c:v>72</c:v>
                </c:pt>
                <c:pt idx="742">
                  <c:v>28.8</c:v>
                </c:pt>
                <c:pt idx="743">
                  <c:v>30.6</c:v>
                </c:pt>
                <c:pt idx="744" formatCode="&quot;$&quot;#,##0.00;[Red]\-&quot;$&quot;#,##0.00">
                  <c:v>38.4</c:v>
                </c:pt>
                <c:pt idx="745">
                  <c:v>72</c:v>
                </c:pt>
                <c:pt idx="746" formatCode="&quot;$&quot;#,##0.00;[Red]\-&quot;$&quot;#,##0.00">
                  <c:v>81.599999999999994</c:v>
                </c:pt>
                <c:pt idx="747">
                  <c:v>9</c:v>
                </c:pt>
                <c:pt idx="748" formatCode="&quot;$&quot;#,##0.00;[Red]\-&quot;$&quot;#,##0.00">
                  <c:v>187</c:v>
                </c:pt>
                <c:pt idx="749">
                  <c:v>30.6</c:v>
                </c:pt>
                <c:pt idx="750">
                  <c:v>36</c:v>
                </c:pt>
                <c:pt idx="751" formatCode="&quot;$&quot;#,##0.00;[Red]\-&quot;$&quot;#,##0.00">
                  <c:v>38.4</c:v>
                </c:pt>
                <c:pt idx="752">
                  <c:v>108</c:v>
                </c:pt>
                <c:pt idx="753">
                  <c:v>18</c:v>
                </c:pt>
                <c:pt idx="754">
                  <c:v>36</c:v>
                </c:pt>
                <c:pt idx="755" formatCode="&quot;$&quot;#,##0.00;[Red]\-&quot;$&quot;#,##0.00">
                  <c:v>38.4</c:v>
                </c:pt>
                <c:pt idx="756">
                  <c:v>28.8</c:v>
                </c:pt>
                <c:pt idx="757">
                  <c:v>36</c:v>
                </c:pt>
                <c:pt idx="758">
                  <c:v>115.2</c:v>
                </c:pt>
                <c:pt idx="759" formatCode="&quot;$&quot;#,##0.00;[Red]\-&quot;$&quot;#,##0.00">
                  <c:v>46</c:v>
                </c:pt>
                <c:pt idx="760" formatCode="&quot;$&quot;#,##0.00;[Red]\-&quot;$&quot;#,##0.00">
                  <c:v>28.05</c:v>
                </c:pt>
                <c:pt idx="761">
                  <c:v>57.6</c:v>
                </c:pt>
                <c:pt idx="762" formatCode="&quot;$&quot;#,##0.00;[Red]\-&quot;$&quot;#,##0.00">
                  <c:v>36</c:v>
                </c:pt>
                <c:pt idx="763">
                  <c:v>28.8</c:v>
                </c:pt>
                <c:pt idx="764">
                  <c:v>9</c:v>
                </c:pt>
                <c:pt idx="765" formatCode="&quot;$&quot;#,##0.00;[Red]\-&quot;$&quot;#,##0.00">
                  <c:v>29.92</c:v>
                </c:pt>
                <c:pt idx="766">
                  <c:v>9</c:v>
                </c:pt>
                <c:pt idx="767">
                  <c:v>115.2</c:v>
                </c:pt>
                <c:pt idx="768">
                  <c:v>9</c:v>
                </c:pt>
                <c:pt idx="769" formatCode="&quot;$&quot;#,##0.00;[Red]\-&quot;$&quot;#,##0.00">
                  <c:v>21.6</c:v>
                </c:pt>
                <c:pt idx="770" formatCode="&quot;$&quot;#,##0.00;[Red]\-&quot;$&quot;#,##0.00">
                  <c:v>28.8</c:v>
                </c:pt>
                <c:pt idx="771">
                  <c:v>28.8</c:v>
                </c:pt>
                <c:pt idx="772" formatCode="&quot;$&quot;#,##0.00;[Red]\-&quot;$&quot;#,##0.00">
                  <c:v>86.4</c:v>
                </c:pt>
                <c:pt idx="773" formatCode="&quot;$&quot;#,##0.00;[Red]\-&quot;$&quot;#,##0.00">
                  <c:v>72</c:v>
                </c:pt>
                <c:pt idx="774" formatCode="&quot;$&quot;#,##0.00;[Red]\-&quot;$&quot;#,##0.00">
                  <c:v>28.8</c:v>
                </c:pt>
                <c:pt idx="775">
                  <c:v>9</c:v>
                </c:pt>
                <c:pt idx="776" formatCode="&quot;$&quot;#,##0.00;[Red]\-&quot;$&quot;#,##0.00">
                  <c:v>29.92</c:v>
                </c:pt>
                <c:pt idx="777" formatCode="&quot;$&quot;#,##0.00;[Red]\-&quot;$&quot;#,##0.00">
                  <c:v>36</c:v>
                </c:pt>
                <c:pt idx="778" formatCode="&quot;$&quot;#,##0.00;[Red]\-&quot;$&quot;#,##0.00">
                  <c:v>28.8</c:v>
                </c:pt>
                <c:pt idx="779">
                  <c:v>28.8</c:v>
                </c:pt>
                <c:pt idx="780">
                  <c:v>57.6</c:v>
                </c:pt>
                <c:pt idx="781" formatCode="&quot;$&quot;#,##0.00;[Red]\-&quot;$&quot;#,##0.00">
                  <c:v>29.92</c:v>
                </c:pt>
                <c:pt idx="782">
                  <c:v>57.6</c:v>
                </c:pt>
                <c:pt idx="783">
                  <c:v>14.4</c:v>
                </c:pt>
                <c:pt idx="784">
                  <c:v>57.6</c:v>
                </c:pt>
                <c:pt idx="785" formatCode="&quot;$&quot;#,##0.00;[Red]\-&quot;$&quot;#,##0.00">
                  <c:v>28.8</c:v>
                </c:pt>
                <c:pt idx="786">
                  <c:v>28.8</c:v>
                </c:pt>
                <c:pt idx="787" formatCode="&quot;$&quot;#,##0.00;[Red]\-&quot;$&quot;#,##0.00">
                  <c:v>71.400000000000006</c:v>
                </c:pt>
                <c:pt idx="788" formatCode="&quot;$&quot;#,##0.00;[Red]\-&quot;$&quot;#,##0.00">
                  <c:v>28.8</c:v>
                </c:pt>
                <c:pt idx="789">
                  <c:v>36</c:v>
                </c:pt>
                <c:pt idx="790" formatCode="&quot;$&quot;#,##0.00;[Red]\-&quot;$&quot;#,##0.00">
                  <c:v>29.92</c:v>
                </c:pt>
                <c:pt idx="791" formatCode="&quot;$&quot;#,##0.00;[Red]\-&quot;$&quot;#,##0.00">
                  <c:v>162.80000000000001</c:v>
                </c:pt>
                <c:pt idx="792">
                  <c:v>50.4</c:v>
                </c:pt>
                <c:pt idx="793" formatCode="&quot;$&quot;#,##0.00;[Red]\-&quot;$&quot;#,##0.00">
                  <c:v>29.92</c:v>
                </c:pt>
                <c:pt idx="794">
                  <c:v>28.8</c:v>
                </c:pt>
                <c:pt idx="795">
                  <c:v>27.2</c:v>
                </c:pt>
                <c:pt idx="796" formatCode="&quot;$&quot;#,##0.00;[Red]\-&quot;$&quot;#,##0.00">
                  <c:v>32.64</c:v>
                </c:pt>
                <c:pt idx="797" formatCode="&quot;$&quot;#,##0.00;[Red]\-&quot;$&quot;#,##0.00">
                  <c:v>27</c:v>
                </c:pt>
                <c:pt idx="798">
                  <c:v>9</c:v>
                </c:pt>
                <c:pt idx="799">
                  <c:v>18</c:v>
                </c:pt>
                <c:pt idx="800" formatCode="&quot;$&quot;#,##0.00;[Red]\-&quot;$&quot;#,##0.00">
                  <c:v>22</c:v>
                </c:pt>
                <c:pt idx="801">
                  <c:v>28.8</c:v>
                </c:pt>
                <c:pt idx="802" formatCode="&quot;$&quot;#,##0.00;[Red]\-&quot;$&quot;#,##0.00">
                  <c:v>28.8</c:v>
                </c:pt>
                <c:pt idx="803" formatCode="&quot;$&quot;#,##0.00;[Red]\-&quot;$&quot;#,##0.00">
                  <c:v>28.8</c:v>
                </c:pt>
                <c:pt idx="804">
                  <c:v>28.8</c:v>
                </c:pt>
                <c:pt idx="805">
                  <c:v>9</c:v>
                </c:pt>
                <c:pt idx="806">
                  <c:v>14.4</c:v>
                </c:pt>
                <c:pt idx="807">
                  <c:v>28.8</c:v>
                </c:pt>
                <c:pt idx="808" formatCode="&quot;$&quot;#,##0.00;[Red]\-&quot;$&quot;#,##0.00">
                  <c:v>36</c:v>
                </c:pt>
                <c:pt idx="809" formatCode="&quot;$&quot;#,##0.00;[Red]\-&quot;$&quot;#,##0.00">
                  <c:v>72</c:v>
                </c:pt>
                <c:pt idx="810" formatCode="&quot;$&quot;#,##0.00;[Red]\-&quot;$&quot;#,##0.00">
                  <c:v>44</c:v>
                </c:pt>
                <c:pt idx="811">
                  <c:v>27</c:v>
                </c:pt>
                <c:pt idx="812" formatCode="&quot;$&quot;#,##0.00;[Red]\-&quot;$&quot;#,##0.00">
                  <c:v>22</c:v>
                </c:pt>
                <c:pt idx="813" formatCode="&quot;$&quot;#,##0.00;[Red]\-&quot;$&quot;#,##0.00">
                  <c:v>59.84</c:v>
                </c:pt>
                <c:pt idx="814" formatCode="&quot;$&quot;#,##0.00;[Red]\-&quot;$&quot;#,##0.00">
                  <c:v>54</c:v>
                </c:pt>
                <c:pt idx="815" formatCode="&quot;$&quot;#,##0.00;[Red]\-&quot;$&quot;#,##0.00">
                  <c:v>35.200000000000003</c:v>
                </c:pt>
                <c:pt idx="816">
                  <c:v>28.8</c:v>
                </c:pt>
                <c:pt idx="817">
                  <c:v>57.6</c:v>
                </c:pt>
                <c:pt idx="818">
                  <c:v>18</c:v>
                </c:pt>
                <c:pt idx="819" formatCode="&quot;$&quot;#,##0.00;[Red]\-&quot;$&quot;#,##0.00">
                  <c:v>38.72</c:v>
                </c:pt>
                <c:pt idx="820" formatCode="&quot;$&quot;#,##0.00;[Red]\-&quot;$&quot;#,##0.00">
                  <c:v>33</c:v>
                </c:pt>
                <c:pt idx="821">
                  <c:v>27</c:v>
                </c:pt>
                <c:pt idx="822">
                  <c:v>27.2</c:v>
                </c:pt>
                <c:pt idx="823" formatCode="&quot;$&quot;#,##0.00;[Red]\-&quot;$&quot;#,##0.00">
                  <c:v>108</c:v>
                </c:pt>
                <c:pt idx="824">
                  <c:v>28.8</c:v>
                </c:pt>
                <c:pt idx="825" formatCode="&quot;$&quot;#,##0.00;[Red]\-&quot;$&quot;#,##0.00">
                  <c:v>119.68</c:v>
                </c:pt>
                <c:pt idx="826" formatCode="&quot;$&quot;#,##0.00;[Red]\-&quot;$&quot;#,##0.00">
                  <c:v>22</c:v>
                </c:pt>
                <c:pt idx="827">
                  <c:v>18</c:v>
                </c:pt>
                <c:pt idx="828" formatCode="&quot;$&quot;#,##0.00;[Red]\-&quot;$&quot;#,##0.00">
                  <c:v>51.68</c:v>
                </c:pt>
                <c:pt idx="829">
                  <c:v>28.8</c:v>
                </c:pt>
                <c:pt idx="830" formatCode="&quot;$&quot;#,##0.00;[Red]\-&quot;$&quot;#,##0.00">
                  <c:v>21.6</c:v>
                </c:pt>
                <c:pt idx="831">
                  <c:v>28.8</c:v>
                </c:pt>
                <c:pt idx="832" formatCode="&quot;$&quot;#,##0.00;[Red]\-&quot;$&quot;#,##0.00">
                  <c:v>59.84</c:v>
                </c:pt>
                <c:pt idx="833">
                  <c:v>36</c:v>
                </c:pt>
                <c:pt idx="834">
                  <c:v>28.8</c:v>
                </c:pt>
                <c:pt idx="835" formatCode="&quot;$&quot;#,##0.00;[Red]\-&quot;$&quot;#,##0.00">
                  <c:v>28.8</c:v>
                </c:pt>
                <c:pt idx="836">
                  <c:v>18</c:v>
                </c:pt>
                <c:pt idx="837">
                  <c:v>24</c:v>
                </c:pt>
                <c:pt idx="838" formatCode="&quot;$&quot;#,##0.00;[Red]\-&quot;$&quot;#,##0.00">
                  <c:v>28.8</c:v>
                </c:pt>
                <c:pt idx="839">
                  <c:v>36</c:v>
                </c:pt>
                <c:pt idx="840" formatCode="&quot;$&quot;#,##0.00;[Red]\-&quot;$&quot;#,##0.00">
                  <c:v>37.4</c:v>
                </c:pt>
                <c:pt idx="841" formatCode="&quot;$&quot;#,##0.00;[Red]\-&quot;$&quot;#,##0.00">
                  <c:v>28.8</c:v>
                </c:pt>
                <c:pt idx="842">
                  <c:v>18</c:v>
                </c:pt>
                <c:pt idx="843">
                  <c:v>28.8</c:v>
                </c:pt>
                <c:pt idx="844" formatCode="&quot;$&quot;#,##0.00;[Red]\-&quot;$&quot;#,##0.00">
                  <c:v>11</c:v>
                </c:pt>
                <c:pt idx="845">
                  <c:v>18</c:v>
                </c:pt>
                <c:pt idx="846" formatCode="&quot;$&quot;#,##0.00;[Red]\-&quot;$&quot;#,##0.00">
                  <c:v>59.84</c:v>
                </c:pt>
                <c:pt idx="847" formatCode="&quot;$&quot;#,##0.00;[Red]\-&quot;$&quot;#,##0.00">
                  <c:v>32.64</c:v>
                </c:pt>
                <c:pt idx="848">
                  <c:v>64.8</c:v>
                </c:pt>
                <c:pt idx="849" formatCode="&quot;$&quot;#,##0.00;[Red]\-&quot;$&quot;#,##0.00">
                  <c:v>65.28</c:v>
                </c:pt>
                <c:pt idx="850" formatCode="&quot;$&quot;#,##0.00;[Red]\-&quot;$&quot;#,##0.00">
                  <c:v>22</c:v>
                </c:pt>
                <c:pt idx="851">
                  <c:v>115.2</c:v>
                </c:pt>
                <c:pt idx="852">
                  <c:v>36</c:v>
                </c:pt>
                <c:pt idx="853" formatCode="&quot;$&quot;#,##0.00;[Red]\-&quot;$&quot;#,##0.00">
                  <c:v>6.75</c:v>
                </c:pt>
                <c:pt idx="854" formatCode="&quot;$&quot;#,##0.00;[Red]\-&quot;$&quot;#,##0.00">
                  <c:v>29.92</c:v>
                </c:pt>
                <c:pt idx="855" formatCode="&quot;$&quot;#,##0.00;[Red]\-&quot;$&quot;#,##0.00">
                  <c:v>35.200000000000003</c:v>
                </c:pt>
                <c:pt idx="856" formatCode="&quot;$&quot;#,##0.00;[Red]\-&quot;$&quot;#,##0.00">
                  <c:v>89.76</c:v>
                </c:pt>
                <c:pt idx="857" formatCode="&quot;$&quot;#,##0.00;[Red]\-&quot;$&quot;#,##0.00">
                  <c:v>36</c:v>
                </c:pt>
                <c:pt idx="858" formatCode="&quot;$&quot;#,##0.00;[Red]\-&quot;$&quot;#,##0.00">
                  <c:v>168.96</c:v>
                </c:pt>
                <c:pt idx="859" formatCode="&quot;$&quot;#,##0.00;[Red]\-&quot;$&quot;#,##0.00">
                  <c:v>79</c:v>
                </c:pt>
                <c:pt idx="860">
                  <c:v>144</c:v>
                </c:pt>
                <c:pt idx="861">
                  <c:v>43.2</c:v>
                </c:pt>
                <c:pt idx="862">
                  <c:v>28.8</c:v>
                </c:pt>
                <c:pt idx="863" formatCode="&quot;$&quot;#,##0.00;[Red]\-&quot;$&quot;#,##0.00">
                  <c:v>22</c:v>
                </c:pt>
                <c:pt idx="864">
                  <c:v>45</c:v>
                </c:pt>
                <c:pt idx="865">
                  <c:v>115.2</c:v>
                </c:pt>
                <c:pt idx="866" formatCode="&quot;$&quot;#,##0.00;[Red]\-&quot;$&quot;#,##0.00">
                  <c:v>28.05</c:v>
                </c:pt>
                <c:pt idx="867" formatCode="&quot;$&quot;#,##0.00;[Red]\-&quot;$&quot;#,##0.00">
                  <c:v>70.400000000000006</c:v>
                </c:pt>
                <c:pt idx="868" formatCode="&quot;$&quot;#,##0.00;[Red]\-&quot;$&quot;#,##0.00">
                  <c:v>52.8</c:v>
                </c:pt>
                <c:pt idx="869" formatCode="&quot;$&quot;#,##0.00;[Red]\-&quot;$&quot;#,##0.00">
                  <c:v>21</c:v>
                </c:pt>
                <c:pt idx="870" formatCode="&quot;$&quot;#,##0.00;[Red]\-&quot;$&quot;#,##0.00">
                  <c:v>28.8</c:v>
                </c:pt>
                <c:pt idx="871">
                  <c:v>28.8</c:v>
                </c:pt>
                <c:pt idx="872">
                  <c:v>28.8</c:v>
                </c:pt>
                <c:pt idx="873" formatCode="&quot;$&quot;#,##0.00;[Red]\-&quot;$&quot;#,##0.00">
                  <c:v>36</c:v>
                </c:pt>
                <c:pt idx="874">
                  <c:v>36</c:v>
                </c:pt>
                <c:pt idx="875" formatCode="&quot;$&quot;#,##0.00;[Red]\-&quot;$&quot;#,##0.00">
                  <c:v>14.4</c:v>
                </c:pt>
                <c:pt idx="876">
                  <c:v>115.2</c:v>
                </c:pt>
                <c:pt idx="877" formatCode="&quot;$&quot;#,##0.00;[Red]\-&quot;$&quot;#,##0.00">
                  <c:v>50.4</c:v>
                </c:pt>
                <c:pt idx="878">
                  <c:v>45.9</c:v>
                </c:pt>
                <c:pt idx="879" formatCode="&quot;$&quot;#,##0.00;[Red]\-&quot;$&quot;#,##0.00">
                  <c:v>29.92</c:v>
                </c:pt>
                <c:pt idx="880" formatCode="&quot;$&quot;#,##0.00;[Red]\-&quot;$&quot;#,##0.00">
                  <c:v>29.92</c:v>
                </c:pt>
                <c:pt idx="881" formatCode="&quot;$&quot;#,##0.00;[Red]\-&quot;$&quot;#,##0.00">
                  <c:v>28.8</c:v>
                </c:pt>
                <c:pt idx="882" formatCode="&quot;$&quot;#,##0.00;[Red]\-&quot;$&quot;#,##0.00">
                  <c:v>59.84</c:v>
                </c:pt>
                <c:pt idx="883" formatCode="&quot;$&quot;#,##0.00;[Red]\-&quot;$&quot;#,##0.00">
                  <c:v>28.8</c:v>
                </c:pt>
                <c:pt idx="884">
                  <c:v>28.8</c:v>
                </c:pt>
                <c:pt idx="885">
                  <c:v>72</c:v>
                </c:pt>
                <c:pt idx="886" formatCode="&quot;$&quot;#,##0.00;[Red]\-&quot;$&quot;#,##0.00">
                  <c:v>14.4</c:v>
                </c:pt>
                <c:pt idx="887" formatCode="&quot;$&quot;#,##0.00;[Red]\-&quot;$&quot;#,##0.00">
                  <c:v>67.2</c:v>
                </c:pt>
                <c:pt idx="888" formatCode="&quot;$&quot;#,##0.00;[Red]\-&quot;$&quot;#,##0.00">
                  <c:v>18</c:v>
                </c:pt>
                <c:pt idx="889">
                  <c:v>28.8</c:v>
                </c:pt>
                <c:pt idx="890" formatCode="&quot;$&quot;#,##0.00;[Red]\-&quot;$&quot;#,##0.00">
                  <c:v>72</c:v>
                </c:pt>
                <c:pt idx="891" formatCode="&quot;$&quot;#,##0.00;[Red]\-&quot;$&quot;#,##0.00">
                  <c:v>29.92</c:v>
                </c:pt>
                <c:pt idx="892">
                  <c:v>36</c:v>
                </c:pt>
                <c:pt idx="893" formatCode="&quot;$&quot;#,##0.00;[Red]\-&quot;$&quot;#,##0.00">
                  <c:v>86.24</c:v>
                </c:pt>
                <c:pt idx="894">
                  <c:v>40.799999999999997</c:v>
                </c:pt>
                <c:pt idx="895">
                  <c:v>14.4</c:v>
                </c:pt>
                <c:pt idx="896">
                  <c:v>28.8</c:v>
                </c:pt>
                <c:pt idx="897" formatCode="&quot;$&quot;#,##0.00;[Red]\-&quot;$&quot;#,##0.00">
                  <c:v>57.6</c:v>
                </c:pt>
                <c:pt idx="898">
                  <c:v>88</c:v>
                </c:pt>
                <c:pt idx="899">
                  <c:v>42.4</c:v>
                </c:pt>
                <c:pt idx="900">
                  <c:v>57.6</c:v>
                </c:pt>
                <c:pt idx="901">
                  <c:v>14.4</c:v>
                </c:pt>
                <c:pt idx="902">
                  <c:v>57.6</c:v>
                </c:pt>
                <c:pt idx="903" formatCode="&quot;$&quot;#,##0.00;[Red]\-&quot;$&quot;#,##0.00">
                  <c:v>28.8</c:v>
                </c:pt>
                <c:pt idx="904" formatCode="&quot;$&quot;#,##0.00;[Red]\-&quot;$&quot;#,##0.00">
                  <c:v>18</c:v>
                </c:pt>
                <c:pt idx="905" formatCode="&quot;$&quot;#,##0.00;[Red]\-&quot;$&quot;#,##0.00">
                  <c:v>36</c:v>
                </c:pt>
                <c:pt idx="906" formatCode="&quot;$&quot;#,##0.00;[Red]\-&quot;$&quot;#,##0.00">
                  <c:v>115.2</c:v>
                </c:pt>
                <c:pt idx="907" formatCode="&quot;$&quot;#,##0.00;[Red]\-&quot;$&quot;#,##0.00">
                  <c:v>28.8</c:v>
                </c:pt>
                <c:pt idx="908" formatCode="&quot;$&quot;#,##0.00;[Red]\-&quot;$&quot;#,##0.00">
                  <c:v>29.92</c:v>
                </c:pt>
                <c:pt idx="909" formatCode="&quot;$&quot;#,##0.00;[Red]\-&quot;$&quot;#,##0.00">
                  <c:v>14.4</c:v>
                </c:pt>
                <c:pt idx="910">
                  <c:v>28.8</c:v>
                </c:pt>
                <c:pt idx="911" formatCode="&quot;$&quot;#,##0.00;[Red]\-&quot;$&quot;#,##0.00">
                  <c:v>18</c:v>
                </c:pt>
                <c:pt idx="912">
                  <c:v>18</c:v>
                </c:pt>
                <c:pt idx="913">
                  <c:v>9</c:v>
                </c:pt>
                <c:pt idx="914" formatCode="&quot;$&quot;#,##0.00;[Red]\-&quot;$&quot;#,##0.00">
                  <c:v>28.8</c:v>
                </c:pt>
                <c:pt idx="915" formatCode="&quot;$&quot;#,##0.00;[Red]\-&quot;$&quot;#,##0.00">
                  <c:v>39.6</c:v>
                </c:pt>
                <c:pt idx="916">
                  <c:v>28.8</c:v>
                </c:pt>
                <c:pt idx="917">
                  <c:v>28.8</c:v>
                </c:pt>
                <c:pt idx="918" formatCode="&quot;$&quot;#,##0.00;[Red]\-&quot;$&quot;#,##0.00">
                  <c:v>28.8</c:v>
                </c:pt>
                <c:pt idx="919" formatCode="&quot;$&quot;#,##0.00;[Red]\-&quot;$&quot;#,##0.00">
                  <c:v>43.2</c:v>
                </c:pt>
                <c:pt idx="920" formatCode="&quot;$&quot;#,##0.00;[Red]\-&quot;$&quot;#,##0.00">
                  <c:v>28.8</c:v>
                </c:pt>
                <c:pt idx="921">
                  <c:v>28.8</c:v>
                </c:pt>
                <c:pt idx="922" formatCode="&quot;$&quot;#,##0.00;[Red]\-&quot;$&quot;#,##0.00">
                  <c:v>23.04</c:v>
                </c:pt>
                <c:pt idx="923">
                  <c:v>20.8</c:v>
                </c:pt>
                <c:pt idx="924" formatCode="&quot;$&quot;#,##0.00;[Red]\-&quot;$&quot;#,##0.00">
                  <c:v>28.8</c:v>
                </c:pt>
                <c:pt idx="925">
                  <c:v>28.8</c:v>
                </c:pt>
                <c:pt idx="926" formatCode="&quot;$&quot;#,##0.00;[Red]\-&quot;$&quot;#,##0.00">
                  <c:v>28.05</c:v>
                </c:pt>
                <c:pt idx="927" formatCode="&quot;$&quot;#,##0.00;[Red]\-&quot;$&quot;#,##0.00">
                  <c:v>56.32</c:v>
                </c:pt>
                <c:pt idx="928">
                  <c:v>30.6</c:v>
                </c:pt>
                <c:pt idx="929">
                  <c:v>9</c:v>
                </c:pt>
                <c:pt idx="930">
                  <c:v>28.8</c:v>
                </c:pt>
                <c:pt idx="931">
                  <c:v>18</c:v>
                </c:pt>
                <c:pt idx="932" formatCode="&quot;$&quot;#,##0.00;[Red]\-&quot;$&quot;#,##0.00">
                  <c:v>28.8</c:v>
                </c:pt>
                <c:pt idx="933" formatCode="&quot;$&quot;#,##0.00;[Red]\-&quot;$&quot;#,##0.00">
                  <c:v>72</c:v>
                </c:pt>
                <c:pt idx="934" formatCode="&quot;$&quot;#,##0.00;[Red]\-&quot;$&quot;#,##0.00">
                  <c:v>45</c:v>
                </c:pt>
                <c:pt idx="935" formatCode="&quot;$&quot;#,##0.00;[Red]\-&quot;$&quot;#,##0.00">
                  <c:v>32.64</c:v>
                </c:pt>
                <c:pt idx="936" formatCode="&quot;$&quot;#,##0.00;[Red]\-&quot;$&quot;#,##0.00">
                  <c:v>29.92</c:v>
                </c:pt>
                <c:pt idx="937">
                  <c:v>9</c:v>
                </c:pt>
                <c:pt idx="938">
                  <c:v>18</c:v>
                </c:pt>
                <c:pt idx="939">
                  <c:v>28.8</c:v>
                </c:pt>
                <c:pt idx="940" formatCode="&quot;$&quot;#,##0.00;[Red]\-&quot;$&quot;#,##0.00">
                  <c:v>38.72</c:v>
                </c:pt>
                <c:pt idx="941" formatCode="&quot;$&quot;#,##0.00;[Red]\-&quot;$&quot;#,##0.00">
                  <c:v>32.64</c:v>
                </c:pt>
                <c:pt idx="942" formatCode="&quot;$&quot;#,##0.00;[Red]\-&quot;$&quot;#,##0.00">
                  <c:v>37.4</c:v>
                </c:pt>
                <c:pt idx="943">
                  <c:v>28.8</c:v>
                </c:pt>
                <c:pt idx="944" formatCode="&quot;$&quot;#,##0.00;[Red]\-&quot;$&quot;#,##0.00">
                  <c:v>21.76</c:v>
                </c:pt>
                <c:pt idx="945" formatCode="&quot;$&quot;#,##0.00;[Red]\-&quot;$&quot;#,##0.00">
                  <c:v>29.92</c:v>
                </c:pt>
                <c:pt idx="946" formatCode="&quot;$&quot;#,##0.00;[Red]\-&quot;$&quot;#,##0.00">
                  <c:v>18</c:v>
                </c:pt>
                <c:pt idx="947" formatCode="&quot;$&quot;#,##0.00;[Red]\-&quot;$&quot;#,##0.00">
                  <c:v>17.600000000000001</c:v>
                </c:pt>
                <c:pt idx="948">
                  <c:v>28.8</c:v>
                </c:pt>
                <c:pt idx="949" formatCode="&quot;$&quot;#,##0.00;[Red]\-&quot;$&quot;#,##0.00">
                  <c:v>28.8</c:v>
                </c:pt>
                <c:pt idx="950">
                  <c:v>43.2</c:v>
                </c:pt>
                <c:pt idx="951">
                  <c:v>72</c:v>
                </c:pt>
                <c:pt idx="952" formatCode="&quot;$&quot;#,##0.00;[Red]\-&quot;$&quot;#,##0.00">
                  <c:v>22</c:v>
                </c:pt>
                <c:pt idx="953" formatCode="&quot;$&quot;#,##0.00;[Red]\-&quot;$&quot;#,##0.00">
                  <c:v>56.32</c:v>
                </c:pt>
                <c:pt idx="954" formatCode="&quot;$&quot;#,##0.00;[Red]\-&quot;$&quot;#,##0.00">
                  <c:v>31.2</c:v>
                </c:pt>
                <c:pt idx="955">
                  <c:v>57.6</c:v>
                </c:pt>
                <c:pt idx="956">
                  <c:v>61.2</c:v>
                </c:pt>
                <c:pt idx="957" formatCode="&quot;$&quot;#,##0.00;[Red]\-&quot;$&quot;#,##0.00">
                  <c:v>35.200000000000003</c:v>
                </c:pt>
                <c:pt idx="958">
                  <c:v>52.8</c:v>
                </c:pt>
                <c:pt idx="959">
                  <c:v>28.8</c:v>
                </c:pt>
                <c:pt idx="960" formatCode="&quot;$&quot;#,##0.00;[Red]\-&quot;$&quot;#,##0.00">
                  <c:v>43.2</c:v>
                </c:pt>
                <c:pt idx="961" formatCode="&quot;$&quot;#,##0.00;[Red]\-&quot;$&quot;#,##0.00">
                  <c:v>124.8</c:v>
                </c:pt>
                <c:pt idx="962">
                  <c:v>9</c:v>
                </c:pt>
                <c:pt idx="963" formatCode="&quot;$&quot;#,##0.00;[Red]\-&quot;$&quot;#,##0.00">
                  <c:v>56.32</c:v>
                </c:pt>
                <c:pt idx="964">
                  <c:v>18</c:v>
                </c:pt>
                <c:pt idx="965" formatCode="&quot;$&quot;#,##0.00;[Red]\-&quot;$&quot;#,##0.00">
                  <c:v>20.25</c:v>
                </c:pt>
                <c:pt idx="966">
                  <c:v>18</c:v>
                </c:pt>
                <c:pt idx="967">
                  <c:v>57.6</c:v>
                </c:pt>
                <c:pt idx="968">
                  <c:v>27</c:v>
                </c:pt>
                <c:pt idx="969" formatCode="&quot;$&quot;#,##0.00;[Red]\-&quot;$&quot;#,##0.00">
                  <c:v>16.5</c:v>
                </c:pt>
                <c:pt idx="970" formatCode="&quot;$&quot;#,##0.00;[Red]\-&quot;$&quot;#,##0.00">
                  <c:v>56.32</c:v>
                </c:pt>
                <c:pt idx="971" formatCode="&quot;$&quot;#,##0.00;[Red]\-&quot;$&quot;#,##0.00">
                  <c:v>29.92</c:v>
                </c:pt>
                <c:pt idx="972" formatCode="&quot;$&quot;#,##0.00;[Red]\-&quot;$&quot;#,##0.00">
                  <c:v>133.65</c:v>
                </c:pt>
                <c:pt idx="973">
                  <c:v>28.8</c:v>
                </c:pt>
                <c:pt idx="974">
                  <c:v>28.8</c:v>
                </c:pt>
                <c:pt idx="975">
                  <c:v>57.6</c:v>
                </c:pt>
                <c:pt idx="976" formatCode="&quot;$&quot;#,##0.00;[Red]\-&quot;$&quot;#,##0.00">
                  <c:v>27</c:v>
                </c:pt>
                <c:pt idx="977" formatCode="&quot;$&quot;#,##0.00;[Red]\-&quot;$&quot;#,##0.00">
                  <c:v>35.200000000000003</c:v>
                </c:pt>
                <c:pt idx="978" formatCode="&quot;$&quot;#,##0.00;[Red]\-&quot;$&quot;#,##0.00">
                  <c:v>28.8</c:v>
                </c:pt>
                <c:pt idx="979" formatCode="&quot;$&quot;#,##0.00;[Red]\-&quot;$&quot;#,##0.00">
                  <c:v>57.6</c:v>
                </c:pt>
                <c:pt idx="980">
                  <c:v>18</c:v>
                </c:pt>
                <c:pt idx="981" formatCode="&quot;$&quot;#,##0.00;[Red]\-&quot;$&quot;#,##0.00">
                  <c:v>27.2</c:v>
                </c:pt>
                <c:pt idx="982">
                  <c:v>28.8</c:v>
                </c:pt>
                <c:pt idx="983" formatCode="&quot;$&quot;#,##0.00;[Red]\-&quot;$&quot;#,##0.00">
                  <c:v>28.8</c:v>
                </c:pt>
                <c:pt idx="984" formatCode="&quot;$&quot;#,##0.00;[Red]\-&quot;$&quot;#,##0.00">
                  <c:v>28.8</c:v>
                </c:pt>
                <c:pt idx="985" formatCode="&quot;$&quot;#,##0.00;[Red]\-&quot;$&quot;#,##0.00">
                  <c:v>29.92</c:v>
                </c:pt>
                <c:pt idx="986" formatCode="&quot;$&quot;#,##0.00;[Red]\-&quot;$&quot;#,##0.00">
                  <c:v>18</c:v>
                </c:pt>
                <c:pt idx="987">
                  <c:v>28.8</c:v>
                </c:pt>
                <c:pt idx="988">
                  <c:v>43.2</c:v>
                </c:pt>
                <c:pt idx="989">
                  <c:v>36</c:v>
                </c:pt>
                <c:pt idx="990" formatCode="&quot;$&quot;#,##0.00;[Red]\-&quot;$&quot;#,##0.00">
                  <c:v>9</c:v>
                </c:pt>
                <c:pt idx="991">
                  <c:v>21.6</c:v>
                </c:pt>
                <c:pt idx="992" formatCode="&quot;$&quot;#,##0.00;[Red]\-&quot;$&quot;#,##0.00">
                  <c:v>50.24</c:v>
                </c:pt>
                <c:pt idx="993" formatCode="&quot;$&quot;#,##0.00;[Red]\-&quot;$&quot;#,##0.00">
                  <c:v>57.6</c:v>
                </c:pt>
                <c:pt idx="994">
                  <c:v>27</c:v>
                </c:pt>
                <c:pt idx="995">
                  <c:v>21.6</c:v>
                </c:pt>
                <c:pt idx="996" formatCode="&quot;$&quot;#,##0.00;[Red]\-&quot;$&quot;#,##0.00">
                  <c:v>56.32</c:v>
                </c:pt>
                <c:pt idx="997">
                  <c:v>43.2</c:v>
                </c:pt>
                <c:pt idx="998">
                  <c:v>36</c:v>
                </c:pt>
                <c:pt idx="999">
                  <c:v>28.8</c:v>
                </c:pt>
                <c:pt idx="1000">
                  <c:v>72</c:v>
                </c:pt>
                <c:pt idx="1001" formatCode="&quot;$&quot;#,##0.00;[Red]\-&quot;$&quot;#,##0.00">
                  <c:v>29.92</c:v>
                </c:pt>
                <c:pt idx="1002">
                  <c:v>36</c:v>
                </c:pt>
                <c:pt idx="1003" formatCode="&quot;$&quot;#,##0.00;[Red]\-&quot;$&quot;#,##0.00">
                  <c:v>27</c:v>
                </c:pt>
                <c:pt idx="1004" formatCode="&quot;$&quot;#,##0.00;[Red]\-&quot;$&quot;#,##0.00">
                  <c:v>14.4</c:v>
                </c:pt>
                <c:pt idx="1005">
                  <c:v>27</c:v>
                </c:pt>
                <c:pt idx="1006">
                  <c:v>21.6</c:v>
                </c:pt>
                <c:pt idx="1007">
                  <c:v>49.99</c:v>
                </c:pt>
                <c:pt idx="1008">
                  <c:v>9</c:v>
                </c:pt>
                <c:pt idx="1009" formatCode="&quot;$&quot;#,##0.00;[Red]\-&quot;$&quot;#,##0.00">
                  <c:v>44</c:v>
                </c:pt>
                <c:pt idx="1010" formatCode="&quot;$&quot;#,##0.00;[Red]\-&quot;$&quot;#,##0.00">
                  <c:v>33</c:v>
                </c:pt>
                <c:pt idx="1011">
                  <c:v>30.6</c:v>
                </c:pt>
                <c:pt idx="1012">
                  <c:v>43.2</c:v>
                </c:pt>
                <c:pt idx="1013" formatCode="&quot;$&quot;#,##0.00;[Red]\-&quot;$&quot;#,##0.00">
                  <c:v>28.8</c:v>
                </c:pt>
                <c:pt idx="1014">
                  <c:v>27</c:v>
                </c:pt>
                <c:pt idx="1015">
                  <c:v>57.6</c:v>
                </c:pt>
                <c:pt idx="1016">
                  <c:v>30.6</c:v>
                </c:pt>
                <c:pt idx="1017" formatCode="&quot;$&quot;#,##0.00;[Red]\-&quot;$&quot;#,##0.00">
                  <c:v>57.6</c:v>
                </c:pt>
                <c:pt idx="1018" formatCode="&quot;$&quot;#,##0.00;[Red]\-&quot;$&quot;#,##0.00">
                  <c:v>32.64</c:v>
                </c:pt>
                <c:pt idx="1019" formatCode="&quot;$&quot;#,##0.00;[Red]\-&quot;$&quot;#,##0.00">
                  <c:v>18</c:v>
                </c:pt>
                <c:pt idx="1020">
                  <c:v>9</c:v>
                </c:pt>
                <c:pt idx="1021">
                  <c:v>43.2</c:v>
                </c:pt>
                <c:pt idx="1022">
                  <c:v>8</c:v>
                </c:pt>
                <c:pt idx="1023">
                  <c:v>36</c:v>
                </c:pt>
                <c:pt idx="1024" formatCode="&quot;$&quot;#,##0.00;[Red]\-&quot;$&quot;#,##0.00">
                  <c:v>76.8</c:v>
                </c:pt>
                <c:pt idx="1025">
                  <c:v>30.6</c:v>
                </c:pt>
                <c:pt idx="1026" formatCode="&quot;$&quot;#,##0.00;[Red]\-&quot;$&quot;#,##0.00">
                  <c:v>28.05</c:v>
                </c:pt>
                <c:pt idx="1027" formatCode="&quot;$&quot;#,##0.00;[Red]\-&quot;$&quot;#,##0.00">
                  <c:v>18</c:v>
                </c:pt>
                <c:pt idx="1028" formatCode="&quot;$&quot;#,##0.00;[Red]\-&quot;$&quot;#,##0.00">
                  <c:v>56.32</c:v>
                </c:pt>
                <c:pt idx="1029" formatCode="&quot;$&quot;#,##0.00;[Red]\-&quot;$&quot;#,##0.00">
                  <c:v>9</c:v>
                </c:pt>
                <c:pt idx="1030">
                  <c:v>28.8</c:v>
                </c:pt>
                <c:pt idx="1031" formatCode="&quot;$&quot;#,##0.00;[Red]\-&quot;$&quot;#,##0.00">
                  <c:v>16</c:v>
                </c:pt>
                <c:pt idx="1032">
                  <c:v>18</c:v>
                </c:pt>
                <c:pt idx="1033">
                  <c:v>36</c:v>
                </c:pt>
                <c:pt idx="1034" formatCode="&quot;$&quot;#,##0.00;[Red]\-&quot;$&quot;#,##0.00">
                  <c:v>186.88</c:v>
                </c:pt>
                <c:pt idx="1035" formatCode="&quot;$&quot;#,##0.00;[Red]\-&quot;$&quot;#,##0.00">
                  <c:v>29.92</c:v>
                </c:pt>
                <c:pt idx="1036" formatCode="&quot;$&quot;#,##0.00;[Red]\-&quot;$&quot;#,##0.00">
                  <c:v>36</c:v>
                </c:pt>
                <c:pt idx="1037" formatCode="&quot;$&quot;#,##0.00;[Red]\-&quot;$&quot;#,##0.00">
                  <c:v>59.84</c:v>
                </c:pt>
                <c:pt idx="1038" formatCode="&quot;$&quot;#,##0.00;[Red]\-&quot;$&quot;#,##0.00">
                  <c:v>36</c:v>
                </c:pt>
                <c:pt idx="1039">
                  <c:v>28.8</c:v>
                </c:pt>
                <c:pt idx="1040">
                  <c:v>57.6</c:v>
                </c:pt>
                <c:pt idx="1041" formatCode="&quot;$&quot;#,##0.00;[Red]\-&quot;$&quot;#,##0.00">
                  <c:v>37.4</c:v>
                </c:pt>
                <c:pt idx="1042" formatCode="&quot;$&quot;#,##0.00;[Red]\-&quot;$&quot;#,##0.00">
                  <c:v>28.8</c:v>
                </c:pt>
                <c:pt idx="1043">
                  <c:v>14.4</c:v>
                </c:pt>
                <c:pt idx="1044">
                  <c:v>63</c:v>
                </c:pt>
                <c:pt idx="1045" formatCode="&quot;$&quot;#,##0.00;[Red]\-&quot;$&quot;#,##0.00">
                  <c:v>59.84</c:v>
                </c:pt>
                <c:pt idx="1046" formatCode="&quot;$&quot;#,##0.00;[Red]\-&quot;$&quot;#,##0.00">
                  <c:v>28.05</c:v>
                </c:pt>
                <c:pt idx="1047" formatCode="&quot;$&quot;#,##0.00;[Red]\-&quot;$&quot;#,##0.00">
                  <c:v>29.92</c:v>
                </c:pt>
                <c:pt idx="1048" formatCode="&quot;$&quot;#,##0.00;[Red]\-&quot;$&quot;#,##0.00">
                  <c:v>28.8</c:v>
                </c:pt>
              </c:numCache>
            </c:numRef>
          </c:yVal>
          <c:smooth val="0"/>
          <c:extLst>
            <c:ext xmlns:c16="http://schemas.microsoft.com/office/drawing/2014/chart" uri="{C3380CC4-5D6E-409C-BE32-E72D297353CC}">
              <c16:uniqueId val="{00000001-52EB-4109-ADBC-62A56BD27A7C}"/>
            </c:ext>
          </c:extLst>
        </c:ser>
        <c:dLbls>
          <c:showLegendKey val="0"/>
          <c:showVal val="0"/>
          <c:showCatName val="0"/>
          <c:showSerName val="0"/>
          <c:showPercent val="0"/>
          <c:showBubbleSize val="0"/>
        </c:dLbls>
        <c:axId val="438021664"/>
        <c:axId val="438020416"/>
      </c:scatterChart>
      <c:valAx>
        <c:axId val="438021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i="1"/>
                  <a:t>Items</a:t>
                </a:r>
                <a:r>
                  <a:rPr lang="en-US" i="1" baseline="0"/>
                  <a:t> Purchasesd</a:t>
                </a:r>
                <a:endParaRPr lang="en-US" i="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20416"/>
        <c:crosses val="autoZero"/>
        <c:crossBetween val="midCat"/>
      </c:valAx>
      <c:valAx>
        <c:axId val="43802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First Order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21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 Revenues</a:t>
            </a:r>
            <a:r>
              <a:rPr lang="en-US" baseline="0"/>
              <a:t> VS Sites Visits</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Data!$L$1</c:f>
              <c:strCache>
                <c:ptCount val="1"/>
                <c:pt idx="0">
                  <c:v>First Order Revenue</c:v>
                </c:pt>
              </c:strCache>
            </c:strRef>
          </c:tx>
          <c:spPr>
            <a:ln w="19050" cap="rnd">
              <a:noFill/>
              <a:round/>
            </a:ln>
            <a:effectLst/>
          </c:spPr>
          <c:marker>
            <c:symbol val="circle"/>
            <c:size val="5"/>
            <c:spPr>
              <a:solidFill>
                <a:schemeClr val="accent1"/>
              </a:solidFill>
              <a:ln w="9525">
                <a:solidFill>
                  <a:schemeClr val="accent1"/>
                </a:solidFill>
              </a:ln>
              <a:effectLst/>
            </c:spPr>
          </c:marker>
          <c:xVal>
            <c:numRef>
              <c:f>Data!$F$2:$F$1050</c:f>
              <c:numCache>
                <c:formatCode>General</c:formatCode>
                <c:ptCount val="1049"/>
                <c:pt idx="0">
                  <c:v>1</c:v>
                </c:pt>
                <c:pt idx="1">
                  <c:v>1</c:v>
                </c:pt>
                <c:pt idx="2">
                  <c:v>2</c:v>
                </c:pt>
                <c:pt idx="3">
                  <c:v>1</c:v>
                </c:pt>
                <c:pt idx="4">
                  <c:v>1</c:v>
                </c:pt>
                <c:pt idx="5">
                  <c:v>1</c:v>
                </c:pt>
                <c:pt idx="6">
                  <c:v>1</c:v>
                </c:pt>
                <c:pt idx="7">
                  <c:v>1</c:v>
                </c:pt>
                <c:pt idx="8">
                  <c:v>1</c:v>
                </c:pt>
                <c:pt idx="9">
                  <c:v>2</c:v>
                </c:pt>
                <c:pt idx="10">
                  <c:v>1</c:v>
                </c:pt>
                <c:pt idx="11">
                  <c:v>1</c:v>
                </c:pt>
                <c:pt idx="12">
                  <c:v>1</c:v>
                </c:pt>
                <c:pt idx="13">
                  <c:v>5</c:v>
                </c:pt>
                <c:pt idx="14">
                  <c:v>1</c:v>
                </c:pt>
                <c:pt idx="15">
                  <c:v>1</c:v>
                </c:pt>
                <c:pt idx="16">
                  <c:v>1</c:v>
                </c:pt>
                <c:pt idx="17">
                  <c:v>1</c:v>
                </c:pt>
                <c:pt idx="18">
                  <c:v>1</c:v>
                </c:pt>
                <c:pt idx="19">
                  <c:v>1</c:v>
                </c:pt>
                <c:pt idx="20">
                  <c:v>1</c:v>
                </c:pt>
                <c:pt idx="21">
                  <c:v>1</c:v>
                </c:pt>
                <c:pt idx="22">
                  <c:v>2</c:v>
                </c:pt>
                <c:pt idx="23">
                  <c:v>1</c:v>
                </c:pt>
                <c:pt idx="24">
                  <c:v>1</c:v>
                </c:pt>
                <c:pt idx="25">
                  <c:v>19</c:v>
                </c:pt>
                <c:pt idx="26">
                  <c:v>1</c:v>
                </c:pt>
                <c:pt idx="27">
                  <c:v>3</c:v>
                </c:pt>
                <c:pt idx="28">
                  <c:v>2</c:v>
                </c:pt>
                <c:pt idx="29">
                  <c:v>1</c:v>
                </c:pt>
                <c:pt idx="30">
                  <c:v>1</c:v>
                </c:pt>
                <c:pt idx="31">
                  <c:v>1</c:v>
                </c:pt>
                <c:pt idx="32">
                  <c:v>1</c:v>
                </c:pt>
                <c:pt idx="33">
                  <c:v>1</c:v>
                </c:pt>
                <c:pt idx="34">
                  <c:v>1</c:v>
                </c:pt>
                <c:pt idx="35">
                  <c:v>1</c:v>
                </c:pt>
                <c:pt idx="36">
                  <c:v>1</c:v>
                </c:pt>
                <c:pt idx="37">
                  <c:v>2</c:v>
                </c:pt>
                <c:pt idx="38">
                  <c:v>1</c:v>
                </c:pt>
                <c:pt idx="39">
                  <c:v>1</c:v>
                </c:pt>
                <c:pt idx="40">
                  <c:v>2</c:v>
                </c:pt>
                <c:pt idx="41">
                  <c:v>1</c:v>
                </c:pt>
                <c:pt idx="42">
                  <c:v>3</c:v>
                </c:pt>
                <c:pt idx="43">
                  <c:v>1</c:v>
                </c:pt>
                <c:pt idx="44">
                  <c:v>1</c:v>
                </c:pt>
                <c:pt idx="45">
                  <c:v>1</c:v>
                </c:pt>
                <c:pt idx="46">
                  <c:v>1</c:v>
                </c:pt>
                <c:pt idx="47">
                  <c:v>1</c:v>
                </c:pt>
                <c:pt idx="48">
                  <c:v>1</c:v>
                </c:pt>
                <c:pt idx="49">
                  <c:v>1</c:v>
                </c:pt>
                <c:pt idx="50">
                  <c:v>1</c:v>
                </c:pt>
                <c:pt idx="51">
                  <c:v>1</c:v>
                </c:pt>
                <c:pt idx="52">
                  <c:v>1</c:v>
                </c:pt>
                <c:pt idx="53">
                  <c:v>5</c:v>
                </c:pt>
                <c:pt idx="54">
                  <c:v>3</c:v>
                </c:pt>
                <c:pt idx="55">
                  <c:v>2</c:v>
                </c:pt>
                <c:pt idx="56">
                  <c:v>1</c:v>
                </c:pt>
                <c:pt idx="57">
                  <c:v>1</c:v>
                </c:pt>
                <c:pt idx="58">
                  <c:v>3</c:v>
                </c:pt>
                <c:pt idx="59">
                  <c:v>1</c:v>
                </c:pt>
                <c:pt idx="60">
                  <c:v>2</c:v>
                </c:pt>
                <c:pt idx="61">
                  <c:v>1</c:v>
                </c:pt>
                <c:pt idx="62">
                  <c:v>1</c:v>
                </c:pt>
                <c:pt idx="63">
                  <c:v>1</c:v>
                </c:pt>
                <c:pt idx="64">
                  <c:v>1</c:v>
                </c:pt>
                <c:pt idx="65">
                  <c:v>3</c:v>
                </c:pt>
                <c:pt idx="66">
                  <c:v>1</c:v>
                </c:pt>
                <c:pt idx="67">
                  <c:v>20</c:v>
                </c:pt>
                <c:pt idx="68">
                  <c:v>1</c:v>
                </c:pt>
                <c:pt idx="69">
                  <c:v>1</c:v>
                </c:pt>
                <c:pt idx="70">
                  <c:v>3</c:v>
                </c:pt>
                <c:pt idx="71">
                  <c:v>1</c:v>
                </c:pt>
                <c:pt idx="72">
                  <c:v>1</c:v>
                </c:pt>
                <c:pt idx="73">
                  <c:v>1</c:v>
                </c:pt>
                <c:pt idx="74">
                  <c:v>1</c:v>
                </c:pt>
                <c:pt idx="75">
                  <c:v>1</c:v>
                </c:pt>
                <c:pt idx="76">
                  <c:v>1</c:v>
                </c:pt>
                <c:pt idx="77">
                  <c:v>1</c:v>
                </c:pt>
                <c:pt idx="78">
                  <c:v>1</c:v>
                </c:pt>
                <c:pt idx="79">
                  <c:v>4</c:v>
                </c:pt>
                <c:pt idx="80">
                  <c:v>1</c:v>
                </c:pt>
                <c:pt idx="81">
                  <c:v>1</c:v>
                </c:pt>
                <c:pt idx="82">
                  <c:v>2</c:v>
                </c:pt>
                <c:pt idx="83">
                  <c:v>1</c:v>
                </c:pt>
                <c:pt idx="84">
                  <c:v>3</c:v>
                </c:pt>
                <c:pt idx="85">
                  <c:v>1</c:v>
                </c:pt>
                <c:pt idx="86">
                  <c:v>1</c:v>
                </c:pt>
                <c:pt idx="87">
                  <c:v>1</c:v>
                </c:pt>
                <c:pt idx="88">
                  <c:v>1</c:v>
                </c:pt>
                <c:pt idx="89">
                  <c:v>1</c:v>
                </c:pt>
                <c:pt idx="90">
                  <c:v>1</c:v>
                </c:pt>
                <c:pt idx="91">
                  <c:v>6</c:v>
                </c:pt>
                <c:pt idx="92">
                  <c:v>1</c:v>
                </c:pt>
                <c:pt idx="93">
                  <c:v>1</c:v>
                </c:pt>
                <c:pt idx="94">
                  <c:v>3</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2</c:v>
                </c:pt>
                <c:pt idx="109">
                  <c:v>3</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10</c:v>
                </c:pt>
                <c:pt idx="136">
                  <c:v>3</c:v>
                </c:pt>
                <c:pt idx="137">
                  <c:v>1</c:v>
                </c:pt>
                <c:pt idx="138">
                  <c:v>1</c:v>
                </c:pt>
                <c:pt idx="139">
                  <c:v>1</c:v>
                </c:pt>
                <c:pt idx="140">
                  <c:v>1</c:v>
                </c:pt>
                <c:pt idx="141">
                  <c:v>3</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8</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5</c:v>
                </c:pt>
                <c:pt idx="174">
                  <c:v>2</c:v>
                </c:pt>
                <c:pt idx="175">
                  <c:v>1</c:v>
                </c:pt>
                <c:pt idx="176">
                  <c:v>2</c:v>
                </c:pt>
                <c:pt idx="177">
                  <c:v>2</c:v>
                </c:pt>
                <c:pt idx="178">
                  <c:v>1</c:v>
                </c:pt>
                <c:pt idx="179">
                  <c:v>1</c:v>
                </c:pt>
                <c:pt idx="180">
                  <c:v>1</c:v>
                </c:pt>
                <c:pt idx="181">
                  <c:v>1</c:v>
                </c:pt>
                <c:pt idx="182">
                  <c:v>1</c:v>
                </c:pt>
                <c:pt idx="183">
                  <c:v>1</c:v>
                </c:pt>
                <c:pt idx="184">
                  <c:v>4</c:v>
                </c:pt>
                <c:pt idx="185">
                  <c:v>1</c:v>
                </c:pt>
                <c:pt idx="186">
                  <c:v>1</c:v>
                </c:pt>
                <c:pt idx="187">
                  <c:v>1</c:v>
                </c:pt>
                <c:pt idx="188">
                  <c:v>1</c:v>
                </c:pt>
                <c:pt idx="189">
                  <c:v>2</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22</c:v>
                </c:pt>
                <c:pt idx="205">
                  <c:v>1</c:v>
                </c:pt>
                <c:pt idx="206">
                  <c:v>1</c:v>
                </c:pt>
                <c:pt idx="207">
                  <c:v>1</c:v>
                </c:pt>
                <c:pt idx="208">
                  <c:v>1</c:v>
                </c:pt>
                <c:pt idx="209">
                  <c:v>1</c:v>
                </c:pt>
                <c:pt idx="210">
                  <c:v>5</c:v>
                </c:pt>
                <c:pt idx="211">
                  <c:v>1</c:v>
                </c:pt>
                <c:pt idx="212">
                  <c:v>1</c:v>
                </c:pt>
                <c:pt idx="213">
                  <c:v>1</c:v>
                </c:pt>
                <c:pt idx="214">
                  <c:v>1</c:v>
                </c:pt>
                <c:pt idx="215">
                  <c:v>1</c:v>
                </c:pt>
                <c:pt idx="216">
                  <c:v>1</c:v>
                </c:pt>
                <c:pt idx="217">
                  <c:v>1</c:v>
                </c:pt>
                <c:pt idx="218">
                  <c:v>5</c:v>
                </c:pt>
                <c:pt idx="219">
                  <c:v>2</c:v>
                </c:pt>
                <c:pt idx="220">
                  <c:v>3</c:v>
                </c:pt>
                <c:pt idx="221">
                  <c:v>1</c:v>
                </c:pt>
                <c:pt idx="222">
                  <c:v>1</c:v>
                </c:pt>
                <c:pt idx="223">
                  <c:v>3</c:v>
                </c:pt>
                <c:pt idx="224">
                  <c:v>1</c:v>
                </c:pt>
                <c:pt idx="225">
                  <c:v>1</c:v>
                </c:pt>
                <c:pt idx="226">
                  <c:v>1</c:v>
                </c:pt>
                <c:pt idx="227">
                  <c:v>1</c:v>
                </c:pt>
                <c:pt idx="228">
                  <c:v>1</c:v>
                </c:pt>
                <c:pt idx="229">
                  <c:v>1</c:v>
                </c:pt>
                <c:pt idx="230">
                  <c:v>1</c:v>
                </c:pt>
                <c:pt idx="231">
                  <c:v>1</c:v>
                </c:pt>
                <c:pt idx="232">
                  <c:v>1</c:v>
                </c:pt>
                <c:pt idx="233">
                  <c:v>3</c:v>
                </c:pt>
                <c:pt idx="234">
                  <c:v>5</c:v>
                </c:pt>
                <c:pt idx="235">
                  <c:v>1</c:v>
                </c:pt>
                <c:pt idx="236">
                  <c:v>1</c:v>
                </c:pt>
                <c:pt idx="237">
                  <c:v>1</c:v>
                </c:pt>
                <c:pt idx="238">
                  <c:v>1</c:v>
                </c:pt>
                <c:pt idx="239">
                  <c:v>1</c:v>
                </c:pt>
                <c:pt idx="240">
                  <c:v>1</c:v>
                </c:pt>
                <c:pt idx="241">
                  <c:v>2</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2</c:v>
                </c:pt>
                <c:pt idx="256">
                  <c:v>10</c:v>
                </c:pt>
                <c:pt idx="257">
                  <c:v>1</c:v>
                </c:pt>
                <c:pt idx="258">
                  <c:v>1</c:v>
                </c:pt>
                <c:pt idx="259">
                  <c:v>1</c:v>
                </c:pt>
                <c:pt idx="260">
                  <c:v>2</c:v>
                </c:pt>
                <c:pt idx="261">
                  <c:v>1</c:v>
                </c:pt>
                <c:pt idx="262">
                  <c:v>1</c:v>
                </c:pt>
                <c:pt idx="263">
                  <c:v>3</c:v>
                </c:pt>
                <c:pt idx="264">
                  <c:v>1</c:v>
                </c:pt>
                <c:pt idx="265">
                  <c:v>2</c:v>
                </c:pt>
                <c:pt idx="266">
                  <c:v>1</c:v>
                </c:pt>
                <c:pt idx="267">
                  <c:v>1</c:v>
                </c:pt>
                <c:pt idx="268">
                  <c:v>1</c:v>
                </c:pt>
                <c:pt idx="269">
                  <c:v>1</c:v>
                </c:pt>
                <c:pt idx="270">
                  <c:v>1</c:v>
                </c:pt>
                <c:pt idx="271">
                  <c:v>1</c:v>
                </c:pt>
                <c:pt idx="272">
                  <c:v>1</c:v>
                </c:pt>
                <c:pt idx="273">
                  <c:v>1</c:v>
                </c:pt>
                <c:pt idx="274">
                  <c:v>1</c:v>
                </c:pt>
                <c:pt idx="275">
                  <c:v>1</c:v>
                </c:pt>
                <c:pt idx="276">
                  <c:v>1</c:v>
                </c:pt>
                <c:pt idx="277">
                  <c:v>3</c:v>
                </c:pt>
                <c:pt idx="278">
                  <c:v>1</c:v>
                </c:pt>
                <c:pt idx="279">
                  <c:v>1</c:v>
                </c:pt>
                <c:pt idx="280">
                  <c:v>1</c:v>
                </c:pt>
                <c:pt idx="281">
                  <c:v>1</c:v>
                </c:pt>
                <c:pt idx="282">
                  <c:v>2</c:v>
                </c:pt>
                <c:pt idx="283">
                  <c:v>7</c:v>
                </c:pt>
                <c:pt idx="284">
                  <c:v>2</c:v>
                </c:pt>
                <c:pt idx="285">
                  <c:v>1</c:v>
                </c:pt>
                <c:pt idx="286">
                  <c:v>1</c:v>
                </c:pt>
                <c:pt idx="287">
                  <c:v>1</c:v>
                </c:pt>
                <c:pt idx="288">
                  <c:v>1</c:v>
                </c:pt>
                <c:pt idx="289">
                  <c:v>1</c:v>
                </c:pt>
                <c:pt idx="290">
                  <c:v>3</c:v>
                </c:pt>
                <c:pt idx="291">
                  <c:v>3</c:v>
                </c:pt>
                <c:pt idx="292">
                  <c:v>1</c:v>
                </c:pt>
                <c:pt idx="293">
                  <c:v>1</c:v>
                </c:pt>
                <c:pt idx="294">
                  <c:v>1</c:v>
                </c:pt>
                <c:pt idx="295">
                  <c:v>1</c:v>
                </c:pt>
                <c:pt idx="296">
                  <c:v>1</c:v>
                </c:pt>
                <c:pt idx="297">
                  <c:v>4</c:v>
                </c:pt>
                <c:pt idx="298">
                  <c:v>4</c:v>
                </c:pt>
                <c:pt idx="299">
                  <c:v>1</c:v>
                </c:pt>
                <c:pt idx="300">
                  <c:v>1</c:v>
                </c:pt>
                <c:pt idx="301">
                  <c:v>1</c:v>
                </c:pt>
                <c:pt idx="302">
                  <c:v>1</c:v>
                </c:pt>
                <c:pt idx="303">
                  <c:v>1</c:v>
                </c:pt>
                <c:pt idx="304">
                  <c:v>1</c:v>
                </c:pt>
                <c:pt idx="305">
                  <c:v>3</c:v>
                </c:pt>
                <c:pt idx="306">
                  <c:v>1</c:v>
                </c:pt>
                <c:pt idx="307">
                  <c:v>1</c:v>
                </c:pt>
                <c:pt idx="308">
                  <c:v>5</c:v>
                </c:pt>
                <c:pt idx="309">
                  <c:v>1</c:v>
                </c:pt>
                <c:pt idx="310">
                  <c:v>1</c:v>
                </c:pt>
                <c:pt idx="311">
                  <c:v>3</c:v>
                </c:pt>
                <c:pt idx="312">
                  <c:v>1</c:v>
                </c:pt>
                <c:pt idx="313">
                  <c:v>1</c:v>
                </c:pt>
                <c:pt idx="314">
                  <c:v>1</c:v>
                </c:pt>
                <c:pt idx="315">
                  <c:v>1</c:v>
                </c:pt>
                <c:pt idx="316">
                  <c:v>1</c:v>
                </c:pt>
                <c:pt idx="317">
                  <c:v>1</c:v>
                </c:pt>
                <c:pt idx="318">
                  <c:v>3</c:v>
                </c:pt>
                <c:pt idx="319">
                  <c:v>1</c:v>
                </c:pt>
                <c:pt idx="320">
                  <c:v>1</c:v>
                </c:pt>
                <c:pt idx="321">
                  <c:v>1</c:v>
                </c:pt>
                <c:pt idx="322">
                  <c:v>5</c:v>
                </c:pt>
                <c:pt idx="323">
                  <c:v>1</c:v>
                </c:pt>
                <c:pt idx="324">
                  <c:v>1</c:v>
                </c:pt>
                <c:pt idx="325">
                  <c:v>2</c:v>
                </c:pt>
                <c:pt idx="326">
                  <c:v>3</c:v>
                </c:pt>
                <c:pt idx="327">
                  <c:v>2</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6</c:v>
                </c:pt>
                <c:pt idx="343">
                  <c:v>1</c:v>
                </c:pt>
                <c:pt idx="344">
                  <c:v>1</c:v>
                </c:pt>
                <c:pt idx="345">
                  <c:v>1</c:v>
                </c:pt>
                <c:pt idx="346">
                  <c:v>2</c:v>
                </c:pt>
                <c:pt idx="347">
                  <c:v>1</c:v>
                </c:pt>
                <c:pt idx="348">
                  <c:v>6</c:v>
                </c:pt>
                <c:pt idx="349">
                  <c:v>1</c:v>
                </c:pt>
                <c:pt idx="350">
                  <c:v>1</c:v>
                </c:pt>
                <c:pt idx="351">
                  <c:v>1</c:v>
                </c:pt>
                <c:pt idx="352">
                  <c:v>1</c:v>
                </c:pt>
                <c:pt idx="353">
                  <c:v>3</c:v>
                </c:pt>
                <c:pt idx="354">
                  <c:v>1</c:v>
                </c:pt>
                <c:pt idx="355">
                  <c:v>1</c:v>
                </c:pt>
                <c:pt idx="356">
                  <c:v>1</c:v>
                </c:pt>
                <c:pt idx="357">
                  <c:v>1</c:v>
                </c:pt>
                <c:pt idx="358">
                  <c:v>1</c:v>
                </c:pt>
                <c:pt idx="359">
                  <c:v>1</c:v>
                </c:pt>
                <c:pt idx="360">
                  <c:v>1</c:v>
                </c:pt>
                <c:pt idx="361">
                  <c:v>2</c:v>
                </c:pt>
                <c:pt idx="362">
                  <c:v>1</c:v>
                </c:pt>
                <c:pt idx="363">
                  <c:v>1</c:v>
                </c:pt>
                <c:pt idx="364">
                  <c:v>1</c:v>
                </c:pt>
                <c:pt idx="365">
                  <c:v>3</c:v>
                </c:pt>
                <c:pt idx="366">
                  <c:v>1</c:v>
                </c:pt>
                <c:pt idx="367">
                  <c:v>1</c:v>
                </c:pt>
                <c:pt idx="368">
                  <c:v>3</c:v>
                </c:pt>
                <c:pt idx="369">
                  <c:v>1</c:v>
                </c:pt>
                <c:pt idx="370">
                  <c:v>1</c:v>
                </c:pt>
                <c:pt idx="371">
                  <c:v>1</c:v>
                </c:pt>
                <c:pt idx="372">
                  <c:v>1</c:v>
                </c:pt>
                <c:pt idx="373">
                  <c:v>2</c:v>
                </c:pt>
                <c:pt idx="374">
                  <c:v>1</c:v>
                </c:pt>
                <c:pt idx="375">
                  <c:v>1</c:v>
                </c:pt>
                <c:pt idx="376">
                  <c:v>1</c:v>
                </c:pt>
                <c:pt idx="377">
                  <c:v>1</c:v>
                </c:pt>
                <c:pt idx="378">
                  <c:v>1</c:v>
                </c:pt>
                <c:pt idx="379">
                  <c:v>1</c:v>
                </c:pt>
                <c:pt idx="380">
                  <c:v>2</c:v>
                </c:pt>
                <c:pt idx="381">
                  <c:v>4</c:v>
                </c:pt>
                <c:pt idx="382">
                  <c:v>1</c:v>
                </c:pt>
                <c:pt idx="383">
                  <c:v>1</c:v>
                </c:pt>
                <c:pt idx="384">
                  <c:v>1</c:v>
                </c:pt>
                <c:pt idx="385">
                  <c:v>1</c:v>
                </c:pt>
                <c:pt idx="386">
                  <c:v>1</c:v>
                </c:pt>
                <c:pt idx="387">
                  <c:v>3</c:v>
                </c:pt>
                <c:pt idx="388">
                  <c:v>1</c:v>
                </c:pt>
                <c:pt idx="389">
                  <c:v>1</c:v>
                </c:pt>
                <c:pt idx="390">
                  <c:v>1</c:v>
                </c:pt>
                <c:pt idx="391">
                  <c:v>1</c:v>
                </c:pt>
                <c:pt idx="392">
                  <c:v>5</c:v>
                </c:pt>
                <c:pt idx="393">
                  <c:v>1</c:v>
                </c:pt>
                <c:pt idx="394">
                  <c:v>1</c:v>
                </c:pt>
                <c:pt idx="395">
                  <c:v>3</c:v>
                </c:pt>
                <c:pt idx="396">
                  <c:v>1</c:v>
                </c:pt>
                <c:pt idx="397">
                  <c:v>1</c:v>
                </c:pt>
                <c:pt idx="398">
                  <c:v>1</c:v>
                </c:pt>
                <c:pt idx="399">
                  <c:v>2</c:v>
                </c:pt>
                <c:pt idx="400">
                  <c:v>1</c:v>
                </c:pt>
                <c:pt idx="401">
                  <c:v>1</c:v>
                </c:pt>
                <c:pt idx="402">
                  <c:v>1</c:v>
                </c:pt>
                <c:pt idx="403">
                  <c:v>6</c:v>
                </c:pt>
                <c:pt idx="404">
                  <c:v>1</c:v>
                </c:pt>
                <c:pt idx="405">
                  <c:v>1</c:v>
                </c:pt>
                <c:pt idx="406">
                  <c:v>1</c:v>
                </c:pt>
                <c:pt idx="407">
                  <c:v>1</c:v>
                </c:pt>
                <c:pt idx="408">
                  <c:v>1</c:v>
                </c:pt>
                <c:pt idx="409">
                  <c:v>1</c:v>
                </c:pt>
                <c:pt idx="410">
                  <c:v>1</c:v>
                </c:pt>
                <c:pt idx="411">
                  <c:v>1</c:v>
                </c:pt>
                <c:pt idx="412">
                  <c:v>1</c:v>
                </c:pt>
                <c:pt idx="413">
                  <c:v>1</c:v>
                </c:pt>
                <c:pt idx="414">
                  <c:v>1</c:v>
                </c:pt>
                <c:pt idx="415">
                  <c:v>1</c:v>
                </c:pt>
                <c:pt idx="416">
                  <c:v>3</c:v>
                </c:pt>
                <c:pt idx="417">
                  <c:v>1</c:v>
                </c:pt>
                <c:pt idx="418">
                  <c:v>1</c:v>
                </c:pt>
                <c:pt idx="419">
                  <c:v>1</c:v>
                </c:pt>
                <c:pt idx="420">
                  <c:v>16</c:v>
                </c:pt>
                <c:pt idx="421">
                  <c:v>1</c:v>
                </c:pt>
                <c:pt idx="422">
                  <c:v>1</c:v>
                </c:pt>
                <c:pt idx="423">
                  <c:v>1</c:v>
                </c:pt>
                <c:pt idx="424">
                  <c:v>2</c:v>
                </c:pt>
                <c:pt idx="425">
                  <c:v>3</c:v>
                </c:pt>
                <c:pt idx="426">
                  <c:v>1</c:v>
                </c:pt>
                <c:pt idx="427">
                  <c:v>6</c:v>
                </c:pt>
                <c:pt idx="428">
                  <c:v>2</c:v>
                </c:pt>
                <c:pt idx="429">
                  <c:v>1</c:v>
                </c:pt>
                <c:pt idx="430">
                  <c:v>1</c:v>
                </c:pt>
                <c:pt idx="431">
                  <c:v>4</c:v>
                </c:pt>
                <c:pt idx="432">
                  <c:v>1</c:v>
                </c:pt>
                <c:pt idx="433">
                  <c:v>1</c:v>
                </c:pt>
                <c:pt idx="434">
                  <c:v>1</c:v>
                </c:pt>
                <c:pt idx="435">
                  <c:v>16</c:v>
                </c:pt>
                <c:pt idx="436">
                  <c:v>1</c:v>
                </c:pt>
                <c:pt idx="437">
                  <c:v>1</c:v>
                </c:pt>
                <c:pt idx="438">
                  <c:v>1</c:v>
                </c:pt>
                <c:pt idx="439">
                  <c:v>1</c:v>
                </c:pt>
                <c:pt idx="440">
                  <c:v>2</c:v>
                </c:pt>
                <c:pt idx="441">
                  <c:v>6</c:v>
                </c:pt>
                <c:pt idx="442">
                  <c:v>1</c:v>
                </c:pt>
                <c:pt idx="443">
                  <c:v>2</c:v>
                </c:pt>
                <c:pt idx="444">
                  <c:v>1</c:v>
                </c:pt>
                <c:pt idx="445">
                  <c:v>2</c:v>
                </c:pt>
                <c:pt idx="446">
                  <c:v>1</c:v>
                </c:pt>
                <c:pt idx="447">
                  <c:v>1</c:v>
                </c:pt>
                <c:pt idx="448">
                  <c:v>1</c:v>
                </c:pt>
                <c:pt idx="449">
                  <c:v>1</c:v>
                </c:pt>
                <c:pt idx="450">
                  <c:v>2</c:v>
                </c:pt>
                <c:pt idx="451">
                  <c:v>1</c:v>
                </c:pt>
                <c:pt idx="452">
                  <c:v>1</c:v>
                </c:pt>
                <c:pt idx="453">
                  <c:v>3</c:v>
                </c:pt>
                <c:pt idx="454">
                  <c:v>1</c:v>
                </c:pt>
                <c:pt idx="455">
                  <c:v>1</c:v>
                </c:pt>
                <c:pt idx="456">
                  <c:v>1</c:v>
                </c:pt>
                <c:pt idx="457">
                  <c:v>1</c:v>
                </c:pt>
                <c:pt idx="458">
                  <c:v>1</c:v>
                </c:pt>
                <c:pt idx="459">
                  <c:v>1</c:v>
                </c:pt>
                <c:pt idx="460">
                  <c:v>1</c:v>
                </c:pt>
                <c:pt idx="461">
                  <c:v>1</c:v>
                </c:pt>
                <c:pt idx="462">
                  <c:v>1</c:v>
                </c:pt>
                <c:pt idx="463">
                  <c:v>3</c:v>
                </c:pt>
                <c:pt idx="464">
                  <c:v>2</c:v>
                </c:pt>
                <c:pt idx="465">
                  <c:v>4</c:v>
                </c:pt>
                <c:pt idx="466">
                  <c:v>3</c:v>
                </c:pt>
                <c:pt idx="467">
                  <c:v>2</c:v>
                </c:pt>
                <c:pt idx="468">
                  <c:v>1</c:v>
                </c:pt>
                <c:pt idx="469">
                  <c:v>1</c:v>
                </c:pt>
                <c:pt idx="470">
                  <c:v>1</c:v>
                </c:pt>
                <c:pt idx="471">
                  <c:v>1</c:v>
                </c:pt>
                <c:pt idx="472">
                  <c:v>1</c:v>
                </c:pt>
                <c:pt idx="473">
                  <c:v>2</c:v>
                </c:pt>
                <c:pt idx="474">
                  <c:v>3</c:v>
                </c:pt>
                <c:pt idx="475">
                  <c:v>2</c:v>
                </c:pt>
                <c:pt idx="476">
                  <c:v>1</c:v>
                </c:pt>
                <c:pt idx="477">
                  <c:v>1</c:v>
                </c:pt>
                <c:pt idx="478">
                  <c:v>1</c:v>
                </c:pt>
                <c:pt idx="479">
                  <c:v>2</c:v>
                </c:pt>
                <c:pt idx="480">
                  <c:v>1</c:v>
                </c:pt>
                <c:pt idx="481">
                  <c:v>7</c:v>
                </c:pt>
                <c:pt idx="482">
                  <c:v>1</c:v>
                </c:pt>
                <c:pt idx="483">
                  <c:v>1</c:v>
                </c:pt>
                <c:pt idx="484">
                  <c:v>1</c:v>
                </c:pt>
                <c:pt idx="485">
                  <c:v>1</c:v>
                </c:pt>
                <c:pt idx="486">
                  <c:v>1</c:v>
                </c:pt>
                <c:pt idx="487">
                  <c:v>2</c:v>
                </c:pt>
                <c:pt idx="488">
                  <c:v>4</c:v>
                </c:pt>
                <c:pt idx="489">
                  <c:v>1</c:v>
                </c:pt>
                <c:pt idx="490">
                  <c:v>1</c:v>
                </c:pt>
                <c:pt idx="491">
                  <c:v>1</c:v>
                </c:pt>
                <c:pt idx="492">
                  <c:v>1</c:v>
                </c:pt>
                <c:pt idx="493">
                  <c:v>1</c:v>
                </c:pt>
                <c:pt idx="494">
                  <c:v>1</c:v>
                </c:pt>
                <c:pt idx="495">
                  <c:v>1</c:v>
                </c:pt>
                <c:pt idx="496">
                  <c:v>1</c:v>
                </c:pt>
                <c:pt idx="497">
                  <c:v>1</c:v>
                </c:pt>
                <c:pt idx="498">
                  <c:v>2</c:v>
                </c:pt>
                <c:pt idx="499">
                  <c:v>1</c:v>
                </c:pt>
                <c:pt idx="500">
                  <c:v>2</c:v>
                </c:pt>
                <c:pt idx="501">
                  <c:v>1</c:v>
                </c:pt>
                <c:pt idx="502">
                  <c:v>2</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2</c:v>
                </c:pt>
                <c:pt idx="518">
                  <c:v>1</c:v>
                </c:pt>
                <c:pt idx="519">
                  <c:v>1</c:v>
                </c:pt>
                <c:pt idx="520">
                  <c:v>1</c:v>
                </c:pt>
                <c:pt idx="521">
                  <c:v>1</c:v>
                </c:pt>
                <c:pt idx="522">
                  <c:v>1</c:v>
                </c:pt>
                <c:pt idx="523">
                  <c:v>1</c:v>
                </c:pt>
                <c:pt idx="524">
                  <c:v>1</c:v>
                </c:pt>
                <c:pt idx="525">
                  <c:v>1</c:v>
                </c:pt>
                <c:pt idx="526">
                  <c:v>1</c:v>
                </c:pt>
                <c:pt idx="527">
                  <c:v>1</c:v>
                </c:pt>
                <c:pt idx="528">
                  <c:v>1</c:v>
                </c:pt>
                <c:pt idx="529">
                  <c:v>1</c:v>
                </c:pt>
                <c:pt idx="530">
                  <c:v>2</c:v>
                </c:pt>
                <c:pt idx="531">
                  <c:v>1</c:v>
                </c:pt>
                <c:pt idx="532">
                  <c:v>1</c:v>
                </c:pt>
                <c:pt idx="533">
                  <c:v>1</c:v>
                </c:pt>
                <c:pt idx="534">
                  <c:v>1</c:v>
                </c:pt>
                <c:pt idx="535">
                  <c:v>1</c:v>
                </c:pt>
                <c:pt idx="536">
                  <c:v>1</c:v>
                </c:pt>
                <c:pt idx="537">
                  <c:v>3</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4</c:v>
                </c:pt>
                <c:pt idx="556">
                  <c:v>2</c:v>
                </c:pt>
                <c:pt idx="557">
                  <c:v>2</c:v>
                </c:pt>
                <c:pt idx="558">
                  <c:v>1</c:v>
                </c:pt>
                <c:pt idx="559">
                  <c:v>1</c:v>
                </c:pt>
                <c:pt idx="560">
                  <c:v>1</c:v>
                </c:pt>
                <c:pt idx="561">
                  <c:v>3</c:v>
                </c:pt>
                <c:pt idx="562">
                  <c:v>1</c:v>
                </c:pt>
                <c:pt idx="563">
                  <c:v>1</c:v>
                </c:pt>
                <c:pt idx="564">
                  <c:v>1</c:v>
                </c:pt>
                <c:pt idx="565">
                  <c:v>2</c:v>
                </c:pt>
                <c:pt idx="566">
                  <c:v>1</c:v>
                </c:pt>
                <c:pt idx="567">
                  <c:v>1</c:v>
                </c:pt>
                <c:pt idx="568">
                  <c:v>3</c:v>
                </c:pt>
                <c:pt idx="569">
                  <c:v>1</c:v>
                </c:pt>
                <c:pt idx="570">
                  <c:v>1</c:v>
                </c:pt>
                <c:pt idx="571">
                  <c:v>3</c:v>
                </c:pt>
                <c:pt idx="572">
                  <c:v>1</c:v>
                </c:pt>
                <c:pt idx="573">
                  <c:v>1</c:v>
                </c:pt>
                <c:pt idx="574">
                  <c:v>1</c:v>
                </c:pt>
                <c:pt idx="575">
                  <c:v>1</c:v>
                </c:pt>
                <c:pt idx="576">
                  <c:v>1</c:v>
                </c:pt>
                <c:pt idx="577">
                  <c:v>1</c:v>
                </c:pt>
                <c:pt idx="578">
                  <c:v>1</c:v>
                </c:pt>
                <c:pt idx="579">
                  <c:v>1</c:v>
                </c:pt>
                <c:pt idx="580">
                  <c:v>1</c:v>
                </c:pt>
                <c:pt idx="581">
                  <c:v>1</c:v>
                </c:pt>
                <c:pt idx="582">
                  <c:v>4</c:v>
                </c:pt>
                <c:pt idx="583">
                  <c:v>1</c:v>
                </c:pt>
                <c:pt idx="584">
                  <c:v>1</c:v>
                </c:pt>
                <c:pt idx="585">
                  <c:v>1</c:v>
                </c:pt>
                <c:pt idx="586">
                  <c:v>1</c:v>
                </c:pt>
                <c:pt idx="587">
                  <c:v>1</c:v>
                </c:pt>
                <c:pt idx="588">
                  <c:v>4</c:v>
                </c:pt>
                <c:pt idx="589">
                  <c:v>1</c:v>
                </c:pt>
                <c:pt idx="590">
                  <c:v>1</c:v>
                </c:pt>
                <c:pt idx="591">
                  <c:v>1</c:v>
                </c:pt>
                <c:pt idx="592">
                  <c:v>1</c:v>
                </c:pt>
                <c:pt idx="593">
                  <c:v>1</c:v>
                </c:pt>
                <c:pt idx="594">
                  <c:v>2</c:v>
                </c:pt>
                <c:pt idx="595">
                  <c:v>1</c:v>
                </c:pt>
                <c:pt idx="596">
                  <c:v>1</c:v>
                </c:pt>
                <c:pt idx="597">
                  <c:v>3</c:v>
                </c:pt>
                <c:pt idx="598">
                  <c:v>1</c:v>
                </c:pt>
                <c:pt idx="599">
                  <c:v>9</c:v>
                </c:pt>
                <c:pt idx="600">
                  <c:v>1</c:v>
                </c:pt>
                <c:pt idx="601">
                  <c:v>1</c:v>
                </c:pt>
                <c:pt idx="602">
                  <c:v>1</c:v>
                </c:pt>
                <c:pt idx="603">
                  <c:v>1</c:v>
                </c:pt>
                <c:pt idx="604">
                  <c:v>1</c:v>
                </c:pt>
                <c:pt idx="605">
                  <c:v>1</c:v>
                </c:pt>
                <c:pt idx="606">
                  <c:v>1</c:v>
                </c:pt>
                <c:pt idx="607">
                  <c:v>1</c:v>
                </c:pt>
                <c:pt idx="608">
                  <c:v>3</c:v>
                </c:pt>
                <c:pt idx="609">
                  <c:v>1</c:v>
                </c:pt>
                <c:pt idx="610">
                  <c:v>4</c:v>
                </c:pt>
                <c:pt idx="611">
                  <c:v>1</c:v>
                </c:pt>
                <c:pt idx="612">
                  <c:v>1</c:v>
                </c:pt>
                <c:pt idx="613">
                  <c:v>1</c:v>
                </c:pt>
                <c:pt idx="614">
                  <c:v>1</c:v>
                </c:pt>
                <c:pt idx="615">
                  <c:v>1</c:v>
                </c:pt>
                <c:pt idx="616">
                  <c:v>1</c:v>
                </c:pt>
                <c:pt idx="617">
                  <c:v>1</c:v>
                </c:pt>
                <c:pt idx="618">
                  <c:v>6</c:v>
                </c:pt>
                <c:pt idx="619">
                  <c:v>5</c:v>
                </c:pt>
                <c:pt idx="620">
                  <c:v>1</c:v>
                </c:pt>
                <c:pt idx="621">
                  <c:v>1</c:v>
                </c:pt>
                <c:pt idx="622">
                  <c:v>1</c:v>
                </c:pt>
                <c:pt idx="623">
                  <c:v>1</c:v>
                </c:pt>
                <c:pt idx="624">
                  <c:v>1</c:v>
                </c:pt>
                <c:pt idx="625">
                  <c:v>1</c:v>
                </c:pt>
                <c:pt idx="626">
                  <c:v>1</c:v>
                </c:pt>
                <c:pt idx="627">
                  <c:v>1</c:v>
                </c:pt>
                <c:pt idx="628">
                  <c:v>1</c:v>
                </c:pt>
                <c:pt idx="629">
                  <c:v>1</c:v>
                </c:pt>
                <c:pt idx="630">
                  <c:v>1</c:v>
                </c:pt>
                <c:pt idx="631">
                  <c:v>3</c:v>
                </c:pt>
                <c:pt idx="632">
                  <c:v>1</c:v>
                </c:pt>
                <c:pt idx="633">
                  <c:v>1</c:v>
                </c:pt>
                <c:pt idx="634">
                  <c:v>1</c:v>
                </c:pt>
                <c:pt idx="635">
                  <c:v>1</c:v>
                </c:pt>
                <c:pt idx="636">
                  <c:v>1</c:v>
                </c:pt>
                <c:pt idx="637">
                  <c:v>1</c:v>
                </c:pt>
                <c:pt idx="638">
                  <c:v>4</c:v>
                </c:pt>
                <c:pt idx="639">
                  <c:v>2</c:v>
                </c:pt>
                <c:pt idx="640">
                  <c:v>6</c:v>
                </c:pt>
                <c:pt idx="641">
                  <c:v>1</c:v>
                </c:pt>
                <c:pt idx="642">
                  <c:v>1</c:v>
                </c:pt>
                <c:pt idx="643">
                  <c:v>1</c:v>
                </c:pt>
                <c:pt idx="644">
                  <c:v>2</c:v>
                </c:pt>
                <c:pt idx="645">
                  <c:v>1</c:v>
                </c:pt>
                <c:pt idx="646">
                  <c:v>1</c:v>
                </c:pt>
                <c:pt idx="647">
                  <c:v>2</c:v>
                </c:pt>
                <c:pt idx="648">
                  <c:v>1</c:v>
                </c:pt>
                <c:pt idx="649">
                  <c:v>1</c:v>
                </c:pt>
                <c:pt idx="650">
                  <c:v>1</c:v>
                </c:pt>
                <c:pt idx="651">
                  <c:v>1</c:v>
                </c:pt>
                <c:pt idx="652">
                  <c:v>1</c:v>
                </c:pt>
                <c:pt idx="653">
                  <c:v>1</c:v>
                </c:pt>
                <c:pt idx="654">
                  <c:v>1</c:v>
                </c:pt>
                <c:pt idx="655">
                  <c:v>1</c:v>
                </c:pt>
                <c:pt idx="656">
                  <c:v>1</c:v>
                </c:pt>
                <c:pt idx="657">
                  <c:v>1</c:v>
                </c:pt>
                <c:pt idx="658">
                  <c:v>1</c:v>
                </c:pt>
                <c:pt idx="659">
                  <c:v>2</c:v>
                </c:pt>
                <c:pt idx="660">
                  <c:v>1</c:v>
                </c:pt>
                <c:pt idx="661">
                  <c:v>1</c:v>
                </c:pt>
                <c:pt idx="662">
                  <c:v>4</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3</c:v>
                </c:pt>
                <c:pt idx="679">
                  <c:v>1</c:v>
                </c:pt>
                <c:pt idx="680">
                  <c:v>1</c:v>
                </c:pt>
                <c:pt idx="681">
                  <c:v>1</c:v>
                </c:pt>
                <c:pt idx="682">
                  <c:v>1</c:v>
                </c:pt>
                <c:pt idx="683">
                  <c:v>1</c:v>
                </c:pt>
                <c:pt idx="684">
                  <c:v>1</c:v>
                </c:pt>
                <c:pt idx="685">
                  <c:v>2</c:v>
                </c:pt>
                <c:pt idx="686">
                  <c:v>1</c:v>
                </c:pt>
                <c:pt idx="687">
                  <c:v>3</c:v>
                </c:pt>
                <c:pt idx="688">
                  <c:v>6</c:v>
                </c:pt>
                <c:pt idx="689">
                  <c:v>1</c:v>
                </c:pt>
                <c:pt idx="690">
                  <c:v>1</c:v>
                </c:pt>
                <c:pt idx="691">
                  <c:v>3</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3</c:v>
                </c:pt>
                <c:pt idx="710">
                  <c:v>1</c:v>
                </c:pt>
                <c:pt idx="711">
                  <c:v>3</c:v>
                </c:pt>
                <c:pt idx="712">
                  <c:v>1</c:v>
                </c:pt>
                <c:pt idx="713">
                  <c:v>1</c:v>
                </c:pt>
                <c:pt idx="714">
                  <c:v>1</c:v>
                </c:pt>
                <c:pt idx="715">
                  <c:v>1</c:v>
                </c:pt>
                <c:pt idx="716">
                  <c:v>1</c:v>
                </c:pt>
                <c:pt idx="717">
                  <c:v>1</c:v>
                </c:pt>
                <c:pt idx="718">
                  <c:v>7</c:v>
                </c:pt>
                <c:pt idx="719">
                  <c:v>1</c:v>
                </c:pt>
                <c:pt idx="720">
                  <c:v>1</c:v>
                </c:pt>
                <c:pt idx="721">
                  <c:v>5</c:v>
                </c:pt>
                <c:pt idx="722">
                  <c:v>1</c:v>
                </c:pt>
                <c:pt idx="723">
                  <c:v>3</c:v>
                </c:pt>
                <c:pt idx="724">
                  <c:v>1</c:v>
                </c:pt>
                <c:pt idx="725">
                  <c:v>1</c:v>
                </c:pt>
                <c:pt idx="726">
                  <c:v>1</c:v>
                </c:pt>
                <c:pt idx="727">
                  <c:v>2</c:v>
                </c:pt>
                <c:pt idx="728">
                  <c:v>1</c:v>
                </c:pt>
                <c:pt idx="729">
                  <c:v>1</c:v>
                </c:pt>
                <c:pt idx="730">
                  <c:v>1</c:v>
                </c:pt>
                <c:pt idx="731">
                  <c:v>1</c:v>
                </c:pt>
                <c:pt idx="732">
                  <c:v>3</c:v>
                </c:pt>
                <c:pt idx="733">
                  <c:v>1</c:v>
                </c:pt>
                <c:pt idx="734">
                  <c:v>6</c:v>
                </c:pt>
                <c:pt idx="735">
                  <c:v>1</c:v>
                </c:pt>
                <c:pt idx="736">
                  <c:v>1</c:v>
                </c:pt>
                <c:pt idx="737">
                  <c:v>3</c:v>
                </c:pt>
                <c:pt idx="738">
                  <c:v>1</c:v>
                </c:pt>
                <c:pt idx="739">
                  <c:v>1</c:v>
                </c:pt>
                <c:pt idx="740">
                  <c:v>1</c:v>
                </c:pt>
                <c:pt idx="741">
                  <c:v>1</c:v>
                </c:pt>
                <c:pt idx="742">
                  <c:v>1</c:v>
                </c:pt>
                <c:pt idx="743">
                  <c:v>2</c:v>
                </c:pt>
                <c:pt idx="744">
                  <c:v>1</c:v>
                </c:pt>
                <c:pt idx="745">
                  <c:v>2</c:v>
                </c:pt>
                <c:pt idx="746">
                  <c:v>1</c:v>
                </c:pt>
                <c:pt idx="747">
                  <c:v>1</c:v>
                </c:pt>
                <c:pt idx="748">
                  <c:v>1</c:v>
                </c:pt>
                <c:pt idx="749">
                  <c:v>2</c:v>
                </c:pt>
                <c:pt idx="750">
                  <c:v>1</c:v>
                </c:pt>
                <c:pt idx="751">
                  <c:v>1</c:v>
                </c:pt>
                <c:pt idx="752">
                  <c:v>1</c:v>
                </c:pt>
                <c:pt idx="753">
                  <c:v>1</c:v>
                </c:pt>
                <c:pt idx="754">
                  <c:v>6</c:v>
                </c:pt>
                <c:pt idx="755">
                  <c:v>1</c:v>
                </c:pt>
                <c:pt idx="756">
                  <c:v>1</c:v>
                </c:pt>
                <c:pt idx="757">
                  <c:v>1</c:v>
                </c:pt>
                <c:pt idx="758">
                  <c:v>1</c:v>
                </c:pt>
                <c:pt idx="759">
                  <c:v>1</c:v>
                </c:pt>
                <c:pt idx="760">
                  <c:v>1</c:v>
                </c:pt>
                <c:pt idx="761">
                  <c:v>1</c:v>
                </c:pt>
                <c:pt idx="762">
                  <c:v>1</c:v>
                </c:pt>
                <c:pt idx="763">
                  <c:v>1</c:v>
                </c:pt>
                <c:pt idx="764">
                  <c:v>1</c:v>
                </c:pt>
                <c:pt idx="765">
                  <c:v>1</c:v>
                </c:pt>
                <c:pt idx="766">
                  <c:v>5</c:v>
                </c:pt>
                <c:pt idx="767">
                  <c:v>1</c:v>
                </c:pt>
                <c:pt idx="768">
                  <c:v>1</c:v>
                </c:pt>
                <c:pt idx="769">
                  <c:v>5</c:v>
                </c:pt>
                <c:pt idx="770">
                  <c:v>1</c:v>
                </c:pt>
                <c:pt idx="771">
                  <c:v>2</c:v>
                </c:pt>
                <c:pt idx="772">
                  <c:v>1</c:v>
                </c:pt>
                <c:pt idx="773">
                  <c:v>1</c:v>
                </c:pt>
                <c:pt idx="774">
                  <c:v>1</c:v>
                </c:pt>
                <c:pt idx="775">
                  <c:v>1</c:v>
                </c:pt>
                <c:pt idx="776">
                  <c:v>1</c:v>
                </c:pt>
                <c:pt idx="777">
                  <c:v>1</c:v>
                </c:pt>
                <c:pt idx="778">
                  <c:v>1</c:v>
                </c:pt>
                <c:pt idx="779">
                  <c:v>1</c:v>
                </c:pt>
                <c:pt idx="780">
                  <c:v>1</c:v>
                </c:pt>
                <c:pt idx="781">
                  <c:v>1</c:v>
                </c:pt>
                <c:pt idx="782">
                  <c:v>1</c:v>
                </c:pt>
                <c:pt idx="783">
                  <c:v>1</c:v>
                </c:pt>
                <c:pt idx="784">
                  <c:v>6</c:v>
                </c:pt>
                <c:pt idx="785">
                  <c:v>3</c:v>
                </c:pt>
                <c:pt idx="786">
                  <c:v>3</c:v>
                </c:pt>
                <c:pt idx="787">
                  <c:v>1</c:v>
                </c:pt>
                <c:pt idx="788">
                  <c:v>1</c:v>
                </c:pt>
                <c:pt idx="789">
                  <c:v>1</c:v>
                </c:pt>
                <c:pt idx="790">
                  <c:v>1</c:v>
                </c:pt>
                <c:pt idx="791">
                  <c:v>4</c:v>
                </c:pt>
                <c:pt idx="792">
                  <c:v>5</c:v>
                </c:pt>
                <c:pt idx="793">
                  <c:v>1</c:v>
                </c:pt>
                <c:pt idx="794">
                  <c:v>1</c:v>
                </c:pt>
                <c:pt idx="795">
                  <c:v>3</c:v>
                </c:pt>
                <c:pt idx="796">
                  <c:v>1</c:v>
                </c:pt>
                <c:pt idx="797">
                  <c:v>1</c:v>
                </c:pt>
                <c:pt idx="798">
                  <c:v>1</c:v>
                </c:pt>
                <c:pt idx="799">
                  <c:v>2</c:v>
                </c:pt>
                <c:pt idx="800">
                  <c:v>1</c:v>
                </c:pt>
                <c:pt idx="801">
                  <c:v>3</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2</c:v>
                </c:pt>
                <c:pt idx="826">
                  <c:v>1</c:v>
                </c:pt>
                <c:pt idx="827">
                  <c:v>3</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2</c:v>
                </c:pt>
                <c:pt idx="851">
                  <c:v>1</c:v>
                </c:pt>
                <c:pt idx="852">
                  <c:v>1</c:v>
                </c:pt>
                <c:pt idx="853">
                  <c:v>1</c:v>
                </c:pt>
                <c:pt idx="854">
                  <c:v>3</c:v>
                </c:pt>
                <c:pt idx="855">
                  <c:v>1</c:v>
                </c:pt>
                <c:pt idx="856">
                  <c:v>1</c:v>
                </c:pt>
                <c:pt idx="857">
                  <c:v>1</c:v>
                </c:pt>
                <c:pt idx="858">
                  <c:v>1</c:v>
                </c:pt>
                <c:pt idx="859">
                  <c:v>2</c:v>
                </c:pt>
                <c:pt idx="860">
                  <c:v>1</c:v>
                </c:pt>
                <c:pt idx="861">
                  <c:v>2</c:v>
                </c:pt>
                <c:pt idx="862">
                  <c:v>1</c:v>
                </c:pt>
                <c:pt idx="863">
                  <c:v>1</c:v>
                </c:pt>
                <c:pt idx="864">
                  <c:v>1</c:v>
                </c:pt>
                <c:pt idx="865">
                  <c:v>1</c:v>
                </c:pt>
                <c:pt idx="866">
                  <c:v>1</c:v>
                </c:pt>
                <c:pt idx="867">
                  <c:v>1</c:v>
                </c:pt>
                <c:pt idx="868">
                  <c:v>5</c:v>
                </c:pt>
                <c:pt idx="869">
                  <c:v>3</c:v>
                </c:pt>
                <c:pt idx="870">
                  <c:v>1</c:v>
                </c:pt>
                <c:pt idx="871">
                  <c:v>1</c:v>
                </c:pt>
                <c:pt idx="872">
                  <c:v>1</c:v>
                </c:pt>
                <c:pt idx="873">
                  <c:v>1</c:v>
                </c:pt>
                <c:pt idx="874">
                  <c:v>1</c:v>
                </c:pt>
                <c:pt idx="875">
                  <c:v>1</c:v>
                </c:pt>
                <c:pt idx="876">
                  <c:v>1</c:v>
                </c:pt>
                <c:pt idx="877">
                  <c:v>2</c:v>
                </c:pt>
                <c:pt idx="878">
                  <c:v>1</c:v>
                </c:pt>
                <c:pt idx="879">
                  <c:v>1</c:v>
                </c:pt>
                <c:pt idx="880">
                  <c:v>1</c:v>
                </c:pt>
                <c:pt idx="881">
                  <c:v>1</c:v>
                </c:pt>
                <c:pt idx="882">
                  <c:v>1</c:v>
                </c:pt>
                <c:pt idx="883">
                  <c:v>1</c:v>
                </c:pt>
                <c:pt idx="884">
                  <c:v>1</c:v>
                </c:pt>
                <c:pt idx="885">
                  <c:v>1</c:v>
                </c:pt>
                <c:pt idx="886">
                  <c:v>5</c:v>
                </c:pt>
                <c:pt idx="887">
                  <c:v>1</c:v>
                </c:pt>
                <c:pt idx="888">
                  <c:v>1</c:v>
                </c:pt>
                <c:pt idx="889">
                  <c:v>1</c:v>
                </c:pt>
                <c:pt idx="890">
                  <c:v>1</c:v>
                </c:pt>
                <c:pt idx="891">
                  <c:v>5</c:v>
                </c:pt>
                <c:pt idx="892">
                  <c:v>1</c:v>
                </c:pt>
                <c:pt idx="893">
                  <c:v>1</c:v>
                </c:pt>
                <c:pt idx="894">
                  <c:v>1</c:v>
                </c:pt>
                <c:pt idx="895">
                  <c:v>1</c:v>
                </c:pt>
                <c:pt idx="896">
                  <c:v>3</c:v>
                </c:pt>
                <c:pt idx="897">
                  <c:v>1</c:v>
                </c:pt>
                <c:pt idx="898">
                  <c:v>1</c:v>
                </c:pt>
                <c:pt idx="899">
                  <c:v>1</c:v>
                </c:pt>
                <c:pt idx="900">
                  <c:v>1</c:v>
                </c:pt>
                <c:pt idx="901">
                  <c:v>1</c:v>
                </c:pt>
                <c:pt idx="902">
                  <c:v>1</c:v>
                </c:pt>
                <c:pt idx="903">
                  <c:v>1</c:v>
                </c:pt>
                <c:pt idx="904">
                  <c:v>1</c:v>
                </c:pt>
                <c:pt idx="905">
                  <c:v>3</c:v>
                </c:pt>
                <c:pt idx="906">
                  <c:v>1</c:v>
                </c:pt>
                <c:pt idx="907">
                  <c:v>1</c:v>
                </c:pt>
                <c:pt idx="908">
                  <c:v>2</c:v>
                </c:pt>
                <c:pt idx="909">
                  <c:v>3</c:v>
                </c:pt>
                <c:pt idx="910">
                  <c:v>2</c:v>
                </c:pt>
                <c:pt idx="911">
                  <c:v>1</c:v>
                </c:pt>
                <c:pt idx="912">
                  <c:v>1</c:v>
                </c:pt>
                <c:pt idx="913">
                  <c:v>2</c:v>
                </c:pt>
                <c:pt idx="914">
                  <c:v>1</c:v>
                </c:pt>
                <c:pt idx="915">
                  <c:v>1</c:v>
                </c:pt>
                <c:pt idx="916">
                  <c:v>1</c:v>
                </c:pt>
                <c:pt idx="917">
                  <c:v>1</c:v>
                </c:pt>
                <c:pt idx="918">
                  <c:v>1</c:v>
                </c:pt>
                <c:pt idx="919">
                  <c:v>1</c:v>
                </c:pt>
                <c:pt idx="920">
                  <c:v>1</c:v>
                </c:pt>
                <c:pt idx="921">
                  <c:v>1</c:v>
                </c:pt>
                <c:pt idx="922">
                  <c:v>2</c:v>
                </c:pt>
                <c:pt idx="923">
                  <c:v>1</c:v>
                </c:pt>
                <c:pt idx="924">
                  <c:v>1</c:v>
                </c:pt>
                <c:pt idx="925">
                  <c:v>1</c:v>
                </c:pt>
                <c:pt idx="926">
                  <c:v>3</c:v>
                </c:pt>
                <c:pt idx="927">
                  <c:v>1</c:v>
                </c:pt>
                <c:pt idx="928">
                  <c:v>1</c:v>
                </c:pt>
                <c:pt idx="929">
                  <c:v>5</c:v>
                </c:pt>
                <c:pt idx="930">
                  <c:v>6</c:v>
                </c:pt>
                <c:pt idx="931">
                  <c:v>1</c:v>
                </c:pt>
                <c:pt idx="932">
                  <c:v>1</c:v>
                </c:pt>
                <c:pt idx="933">
                  <c:v>1</c:v>
                </c:pt>
                <c:pt idx="934">
                  <c:v>1</c:v>
                </c:pt>
                <c:pt idx="935">
                  <c:v>1</c:v>
                </c:pt>
                <c:pt idx="936">
                  <c:v>1</c:v>
                </c:pt>
                <c:pt idx="937">
                  <c:v>3</c:v>
                </c:pt>
                <c:pt idx="938">
                  <c:v>10</c:v>
                </c:pt>
                <c:pt idx="939">
                  <c:v>6</c:v>
                </c:pt>
                <c:pt idx="940">
                  <c:v>1</c:v>
                </c:pt>
                <c:pt idx="941">
                  <c:v>1</c:v>
                </c:pt>
                <c:pt idx="942">
                  <c:v>3</c:v>
                </c:pt>
                <c:pt idx="943">
                  <c:v>10</c:v>
                </c:pt>
                <c:pt idx="944">
                  <c:v>1</c:v>
                </c:pt>
                <c:pt idx="945">
                  <c:v>2</c:v>
                </c:pt>
                <c:pt idx="946">
                  <c:v>1</c:v>
                </c:pt>
                <c:pt idx="947">
                  <c:v>5</c:v>
                </c:pt>
                <c:pt idx="948">
                  <c:v>1</c:v>
                </c:pt>
                <c:pt idx="949">
                  <c:v>1</c:v>
                </c:pt>
                <c:pt idx="950">
                  <c:v>1</c:v>
                </c:pt>
                <c:pt idx="951">
                  <c:v>1</c:v>
                </c:pt>
                <c:pt idx="952">
                  <c:v>1</c:v>
                </c:pt>
                <c:pt idx="953">
                  <c:v>12</c:v>
                </c:pt>
                <c:pt idx="954">
                  <c:v>1</c:v>
                </c:pt>
                <c:pt idx="955">
                  <c:v>1</c:v>
                </c:pt>
                <c:pt idx="956">
                  <c:v>1</c:v>
                </c:pt>
                <c:pt idx="957">
                  <c:v>1</c:v>
                </c:pt>
                <c:pt idx="958">
                  <c:v>1</c:v>
                </c:pt>
                <c:pt idx="959">
                  <c:v>1</c:v>
                </c:pt>
                <c:pt idx="960">
                  <c:v>1</c:v>
                </c:pt>
                <c:pt idx="961">
                  <c:v>1</c:v>
                </c:pt>
                <c:pt idx="962">
                  <c:v>2</c:v>
                </c:pt>
                <c:pt idx="963">
                  <c:v>1</c:v>
                </c:pt>
                <c:pt idx="964">
                  <c:v>1</c:v>
                </c:pt>
                <c:pt idx="965">
                  <c:v>1</c:v>
                </c:pt>
                <c:pt idx="966">
                  <c:v>1</c:v>
                </c:pt>
                <c:pt idx="967">
                  <c:v>1</c:v>
                </c:pt>
                <c:pt idx="968">
                  <c:v>1</c:v>
                </c:pt>
                <c:pt idx="969">
                  <c:v>1</c:v>
                </c:pt>
                <c:pt idx="970">
                  <c:v>1</c:v>
                </c:pt>
                <c:pt idx="971">
                  <c:v>1</c:v>
                </c:pt>
                <c:pt idx="972">
                  <c:v>1</c:v>
                </c:pt>
                <c:pt idx="973">
                  <c:v>8</c:v>
                </c:pt>
                <c:pt idx="974">
                  <c:v>1</c:v>
                </c:pt>
                <c:pt idx="975">
                  <c:v>6</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3</c:v>
                </c:pt>
                <c:pt idx="991">
                  <c:v>1</c:v>
                </c:pt>
                <c:pt idx="992">
                  <c:v>1</c:v>
                </c:pt>
                <c:pt idx="993">
                  <c:v>1</c:v>
                </c:pt>
                <c:pt idx="994">
                  <c:v>1</c:v>
                </c:pt>
                <c:pt idx="995">
                  <c:v>1</c:v>
                </c:pt>
                <c:pt idx="996">
                  <c:v>1</c:v>
                </c:pt>
                <c:pt idx="997">
                  <c:v>2</c:v>
                </c:pt>
                <c:pt idx="998">
                  <c:v>1</c:v>
                </c:pt>
                <c:pt idx="999">
                  <c:v>1</c:v>
                </c:pt>
                <c:pt idx="1000">
                  <c:v>4</c:v>
                </c:pt>
                <c:pt idx="1001">
                  <c:v>1</c:v>
                </c:pt>
                <c:pt idx="1002">
                  <c:v>1</c:v>
                </c:pt>
                <c:pt idx="1003">
                  <c:v>1</c:v>
                </c:pt>
                <c:pt idx="1004">
                  <c:v>1</c:v>
                </c:pt>
                <c:pt idx="1005">
                  <c:v>3</c:v>
                </c:pt>
                <c:pt idx="1006">
                  <c:v>1</c:v>
                </c:pt>
                <c:pt idx="1007">
                  <c:v>1</c:v>
                </c:pt>
                <c:pt idx="1008">
                  <c:v>2</c:v>
                </c:pt>
                <c:pt idx="1009">
                  <c:v>1</c:v>
                </c:pt>
                <c:pt idx="1010">
                  <c:v>1</c:v>
                </c:pt>
                <c:pt idx="1011">
                  <c:v>3</c:v>
                </c:pt>
                <c:pt idx="1012">
                  <c:v>1</c:v>
                </c:pt>
                <c:pt idx="1013">
                  <c:v>1</c:v>
                </c:pt>
                <c:pt idx="1014">
                  <c:v>1</c:v>
                </c:pt>
                <c:pt idx="1015">
                  <c:v>1</c:v>
                </c:pt>
                <c:pt idx="1016">
                  <c:v>1</c:v>
                </c:pt>
                <c:pt idx="1017">
                  <c:v>1</c:v>
                </c:pt>
                <c:pt idx="1018">
                  <c:v>1</c:v>
                </c:pt>
                <c:pt idx="1019">
                  <c:v>1</c:v>
                </c:pt>
                <c:pt idx="1020">
                  <c:v>1</c:v>
                </c:pt>
                <c:pt idx="1021">
                  <c:v>3</c:v>
                </c:pt>
                <c:pt idx="1022">
                  <c:v>1</c:v>
                </c:pt>
                <c:pt idx="1023">
                  <c:v>2</c:v>
                </c:pt>
                <c:pt idx="1024">
                  <c:v>1</c:v>
                </c:pt>
                <c:pt idx="1025">
                  <c:v>1</c:v>
                </c:pt>
                <c:pt idx="1026">
                  <c:v>1</c:v>
                </c:pt>
                <c:pt idx="1027">
                  <c:v>1</c:v>
                </c:pt>
                <c:pt idx="1028">
                  <c:v>3</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3</c:v>
                </c:pt>
                <c:pt idx="1042">
                  <c:v>1</c:v>
                </c:pt>
                <c:pt idx="1043">
                  <c:v>1</c:v>
                </c:pt>
                <c:pt idx="1044">
                  <c:v>1</c:v>
                </c:pt>
                <c:pt idx="1045">
                  <c:v>1</c:v>
                </c:pt>
                <c:pt idx="1046">
                  <c:v>1</c:v>
                </c:pt>
                <c:pt idx="1047">
                  <c:v>1</c:v>
                </c:pt>
                <c:pt idx="1048">
                  <c:v>1</c:v>
                </c:pt>
              </c:numCache>
            </c:numRef>
          </c:xVal>
          <c:yVal>
            <c:numRef>
              <c:f>Data!$L$2:$L$1050</c:f>
              <c:numCache>
                <c:formatCode>"$"#,##0.00_);[Red]\("$"#,##0.00\)</c:formatCode>
                <c:ptCount val="1049"/>
                <c:pt idx="0" formatCode="&quot;$&quot;#,##0.00;[Red]\-&quot;$&quot;#,##0.00">
                  <c:v>56.32</c:v>
                </c:pt>
                <c:pt idx="1">
                  <c:v>27</c:v>
                </c:pt>
                <c:pt idx="2" formatCode="&quot;$&quot;#,##0.00;[Red]\-&quot;$&quot;#,##0.00">
                  <c:v>28.8</c:v>
                </c:pt>
                <c:pt idx="3" formatCode="&quot;$&quot;#,##0.00;[Red]\-&quot;$&quot;#,##0.00">
                  <c:v>28.05</c:v>
                </c:pt>
                <c:pt idx="4">
                  <c:v>9</c:v>
                </c:pt>
                <c:pt idx="5">
                  <c:v>9</c:v>
                </c:pt>
                <c:pt idx="6">
                  <c:v>18</c:v>
                </c:pt>
                <c:pt idx="7" formatCode="&quot;$&quot;#,##0.00;[Red]\-&quot;$&quot;#,##0.00">
                  <c:v>29.92</c:v>
                </c:pt>
                <c:pt idx="8" formatCode="&quot;$&quot;#,##0.00;[Red]\-&quot;$&quot;#,##0.00">
                  <c:v>51.75</c:v>
                </c:pt>
                <c:pt idx="9" formatCode="&quot;$&quot;#,##0.00;[Red]\-&quot;$&quot;#,##0.00">
                  <c:v>28.8</c:v>
                </c:pt>
                <c:pt idx="10">
                  <c:v>21.6</c:v>
                </c:pt>
                <c:pt idx="11" formatCode="&quot;$&quot;#,##0.00;[Red]\-&quot;$&quot;#,##0.00">
                  <c:v>27</c:v>
                </c:pt>
                <c:pt idx="12">
                  <c:v>64.8</c:v>
                </c:pt>
                <c:pt idx="13">
                  <c:v>27</c:v>
                </c:pt>
                <c:pt idx="14">
                  <c:v>43.2</c:v>
                </c:pt>
                <c:pt idx="15" formatCode="&quot;$&quot;#,##0.00;[Red]\-&quot;$&quot;#,##0.00">
                  <c:v>81.599999999999994</c:v>
                </c:pt>
                <c:pt idx="16" formatCode="&quot;$&quot;#,##0.00;[Red]\-&quot;$&quot;#,##0.00">
                  <c:v>28.8</c:v>
                </c:pt>
                <c:pt idx="17">
                  <c:v>28.8</c:v>
                </c:pt>
                <c:pt idx="18" formatCode="&quot;$&quot;#,##0.00;[Red]\-&quot;$&quot;#,##0.00">
                  <c:v>29.92</c:v>
                </c:pt>
                <c:pt idx="19" formatCode="&quot;$&quot;#,##0.00;[Red]\-&quot;$&quot;#,##0.00">
                  <c:v>56.32</c:v>
                </c:pt>
                <c:pt idx="20" formatCode="&quot;$&quot;#,##0.00;[Red]\-&quot;$&quot;#,##0.00">
                  <c:v>44</c:v>
                </c:pt>
                <c:pt idx="21" formatCode="&quot;$&quot;#,##0.00;[Red]\-&quot;$&quot;#,##0.00">
                  <c:v>28.8</c:v>
                </c:pt>
                <c:pt idx="22">
                  <c:v>27</c:v>
                </c:pt>
                <c:pt idx="23">
                  <c:v>14.4</c:v>
                </c:pt>
                <c:pt idx="24">
                  <c:v>28.8</c:v>
                </c:pt>
                <c:pt idx="25" formatCode="&quot;$&quot;#,##0.00;[Red]\-&quot;$&quot;#,##0.00">
                  <c:v>36</c:v>
                </c:pt>
                <c:pt idx="26" formatCode="&quot;$&quot;#,##0.00;[Red]\-&quot;$&quot;#,##0.00">
                  <c:v>8.8000000000000007</c:v>
                </c:pt>
                <c:pt idx="27" formatCode="&quot;$&quot;#,##0.00;[Red]\-&quot;$&quot;#,##0.00">
                  <c:v>115.2</c:v>
                </c:pt>
                <c:pt idx="28">
                  <c:v>27</c:v>
                </c:pt>
                <c:pt idx="29">
                  <c:v>36</c:v>
                </c:pt>
                <c:pt idx="30" formatCode="&quot;$&quot;#,##0.00;[Red]\-&quot;$&quot;#,##0.00">
                  <c:v>28.8</c:v>
                </c:pt>
                <c:pt idx="31">
                  <c:v>36</c:v>
                </c:pt>
                <c:pt idx="32">
                  <c:v>36</c:v>
                </c:pt>
                <c:pt idx="33" formatCode="&quot;$&quot;#,##0.00;[Red]\-&quot;$&quot;#,##0.00">
                  <c:v>28.8</c:v>
                </c:pt>
                <c:pt idx="34">
                  <c:v>27</c:v>
                </c:pt>
                <c:pt idx="35" formatCode="&quot;$&quot;#,##0.00;[Red]\-&quot;$&quot;#,##0.00">
                  <c:v>20</c:v>
                </c:pt>
                <c:pt idx="36">
                  <c:v>9</c:v>
                </c:pt>
                <c:pt idx="37">
                  <c:v>27</c:v>
                </c:pt>
                <c:pt idx="38" formatCode="&quot;$&quot;#,##0.00;[Red]\-&quot;$&quot;#,##0.00">
                  <c:v>32.799999999999997</c:v>
                </c:pt>
                <c:pt idx="39">
                  <c:v>28.8</c:v>
                </c:pt>
                <c:pt idx="40" formatCode="&quot;$&quot;#,##0.00;[Red]\-&quot;$&quot;#,##0.00">
                  <c:v>28.8</c:v>
                </c:pt>
                <c:pt idx="41">
                  <c:v>9</c:v>
                </c:pt>
                <c:pt idx="42" formatCode="&quot;$&quot;#,##0.00;[Red]\-&quot;$&quot;#,##0.00">
                  <c:v>48</c:v>
                </c:pt>
                <c:pt idx="43" formatCode="&quot;$&quot;#,##0.00;[Red]\-&quot;$&quot;#,##0.00">
                  <c:v>86.4</c:v>
                </c:pt>
                <c:pt idx="44">
                  <c:v>28.8</c:v>
                </c:pt>
                <c:pt idx="45" formatCode="&quot;$&quot;#,##0.00;[Red]\-&quot;$&quot;#,##0.00">
                  <c:v>36</c:v>
                </c:pt>
                <c:pt idx="46" formatCode="&quot;$&quot;#,##0.00;[Red]\-&quot;$&quot;#,##0.00">
                  <c:v>36</c:v>
                </c:pt>
                <c:pt idx="47" formatCode="&quot;$&quot;#,##0.00;[Red]\-&quot;$&quot;#,##0.00">
                  <c:v>18</c:v>
                </c:pt>
                <c:pt idx="48">
                  <c:v>28.8</c:v>
                </c:pt>
                <c:pt idx="49">
                  <c:v>57.6</c:v>
                </c:pt>
                <c:pt idx="50">
                  <c:v>28.8</c:v>
                </c:pt>
                <c:pt idx="51" formatCode="&quot;$&quot;#,##0.00;[Red]\-&quot;$&quot;#,##0.00">
                  <c:v>28.8</c:v>
                </c:pt>
                <c:pt idx="52">
                  <c:v>57.6</c:v>
                </c:pt>
                <c:pt idx="53" formatCode="&quot;$&quot;#,##0.00;[Red]\-&quot;$&quot;#,##0.00">
                  <c:v>35.200000000000003</c:v>
                </c:pt>
                <c:pt idx="54">
                  <c:v>9</c:v>
                </c:pt>
                <c:pt idx="55">
                  <c:v>18</c:v>
                </c:pt>
                <c:pt idx="56" formatCode="&quot;$&quot;#,##0.00;[Red]\-&quot;$&quot;#,##0.00">
                  <c:v>27</c:v>
                </c:pt>
                <c:pt idx="57" formatCode="&quot;$&quot;#,##0.00;[Red]\-&quot;$&quot;#,##0.00">
                  <c:v>36</c:v>
                </c:pt>
                <c:pt idx="58">
                  <c:v>72</c:v>
                </c:pt>
                <c:pt idx="59" formatCode="&quot;$&quot;#,##0.00;[Red]\-&quot;$&quot;#,##0.00">
                  <c:v>36</c:v>
                </c:pt>
                <c:pt idx="60" formatCode="&quot;$&quot;#,##0.00;[Red]\-&quot;$&quot;#,##0.00">
                  <c:v>17.600000000000001</c:v>
                </c:pt>
                <c:pt idx="61">
                  <c:v>27</c:v>
                </c:pt>
                <c:pt idx="62" formatCode="&quot;$&quot;#,##0.00;[Red]\-&quot;$&quot;#,##0.00">
                  <c:v>51.8</c:v>
                </c:pt>
                <c:pt idx="63" formatCode="&quot;$&quot;#,##0.00;[Red]\-&quot;$&quot;#,##0.00">
                  <c:v>18</c:v>
                </c:pt>
                <c:pt idx="64">
                  <c:v>28.8</c:v>
                </c:pt>
                <c:pt idx="65">
                  <c:v>28.8</c:v>
                </c:pt>
                <c:pt idx="66" formatCode="&quot;$&quot;#,##0.00;[Red]\-&quot;$&quot;#,##0.00">
                  <c:v>86.4</c:v>
                </c:pt>
                <c:pt idx="67">
                  <c:v>36</c:v>
                </c:pt>
                <c:pt idx="68" formatCode="&quot;$&quot;#,##0.00;[Red]\-&quot;$&quot;#,##0.00">
                  <c:v>28.8</c:v>
                </c:pt>
                <c:pt idx="69">
                  <c:v>45.6</c:v>
                </c:pt>
                <c:pt idx="70">
                  <c:v>28.8</c:v>
                </c:pt>
                <c:pt idx="71">
                  <c:v>36</c:v>
                </c:pt>
                <c:pt idx="72">
                  <c:v>28.8</c:v>
                </c:pt>
                <c:pt idx="73" formatCode="&quot;$&quot;#,##0.00;[Red]\-&quot;$&quot;#,##0.00">
                  <c:v>36</c:v>
                </c:pt>
                <c:pt idx="74">
                  <c:v>27</c:v>
                </c:pt>
                <c:pt idx="75">
                  <c:v>30</c:v>
                </c:pt>
                <c:pt idx="76" formatCode="&quot;$&quot;#,##0.00;[Red]\-&quot;$&quot;#,##0.00">
                  <c:v>36</c:v>
                </c:pt>
                <c:pt idx="77" formatCode="&quot;$&quot;#,##0.00;[Red]\-&quot;$&quot;#,##0.00">
                  <c:v>28.8</c:v>
                </c:pt>
                <c:pt idx="78" formatCode="&quot;$&quot;#,##0.00;[Red]\-&quot;$&quot;#,##0.00">
                  <c:v>38.4</c:v>
                </c:pt>
                <c:pt idx="79" formatCode="&quot;$&quot;#,##0.00;[Red]\-&quot;$&quot;#,##0.00">
                  <c:v>35.200000000000003</c:v>
                </c:pt>
                <c:pt idx="80" formatCode="&quot;$&quot;#,##0.00;[Red]\-&quot;$&quot;#,##0.00">
                  <c:v>28.8</c:v>
                </c:pt>
                <c:pt idx="81">
                  <c:v>28.8</c:v>
                </c:pt>
                <c:pt idx="82" formatCode="&quot;$&quot;#,##0.00;[Red]\-&quot;$&quot;#,##0.00">
                  <c:v>30.4</c:v>
                </c:pt>
                <c:pt idx="83">
                  <c:v>127</c:v>
                </c:pt>
                <c:pt idx="84" formatCode="&quot;$&quot;#,##0.00;[Red]\-&quot;$&quot;#,##0.00">
                  <c:v>15</c:v>
                </c:pt>
                <c:pt idx="85">
                  <c:v>86.4</c:v>
                </c:pt>
                <c:pt idx="86">
                  <c:v>57.6</c:v>
                </c:pt>
                <c:pt idx="87">
                  <c:v>28.8</c:v>
                </c:pt>
                <c:pt idx="88">
                  <c:v>9</c:v>
                </c:pt>
                <c:pt idx="89">
                  <c:v>36</c:v>
                </c:pt>
                <c:pt idx="90">
                  <c:v>9</c:v>
                </c:pt>
                <c:pt idx="91">
                  <c:v>45</c:v>
                </c:pt>
                <c:pt idx="92">
                  <c:v>28.8</c:v>
                </c:pt>
                <c:pt idx="93">
                  <c:v>28.8</c:v>
                </c:pt>
                <c:pt idx="94">
                  <c:v>28.8</c:v>
                </c:pt>
                <c:pt idx="95" formatCode="&quot;$&quot;#,##0.00;[Red]\-&quot;$&quot;#,##0.00">
                  <c:v>29.92</c:v>
                </c:pt>
                <c:pt idx="96" formatCode="&quot;$&quot;#,##0.00;[Red]\-&quot;$&quot;#,##0.00">
                  <c:v>38.4</c:v>
                </c:pt>
                <c:pt idx="97">
                  <c:v>28.8</c:v>
                </c:pt>
                <c:pt idx="98" formatCode="&quot;$&quot;#,##0.00;[Red]\-&quot;$&quot;#,##0.00">
                  <c:v>28.8</c:v>
                </c:pt>
                <c:pt idx="99">
                  <c:v>28.8</c:v>
                </c:pt>
                <c:pt idx="100">
                  <c:v>36</c:v>
                </c:pt>
                <c:pt idx="101">
                  <c:v>28.8</c:v>
                </c:pt>
                <c:pt idx="102">
                  <c:v>14.4</c:v>
                </c:pt>
                <c:pt idx="103" formatCode="&quot;$&quot;#,##0.00;[Red]\-&quot;$&quot;#,##0.00">
                  <c:v>72</c:v>
                </c:pt>
                <c:pt idx="104" formatCode="&quot;$&quot;#,##0.00;[Red]\-&quot;$&quot;#,##0.00">
                  <c:v>29.92</c:v>
                </c:pt>
                <c:pt idx="105">
                  <c:v>28.8</c:v>
                </c:pt>
                <c:pt idx="106">
                  <c:v>28.8</c:v>
                </c:pt>
                <c:pt idx="107">
                  <c:v>42.4</c:v>
                </c:pt>
                <c:pt idx="108">
                  <c:v>36</c:v>
                </c:pt>
                <c:pt idx="109" formatCode="&quot;$&quot;#,##0.00;[Red]\-&quot;$&quot;#,##0.00">
                  <c:v>38.4</c:v>
                </c:pt>
                <c:pt idx="110">
                  <c:v>81</c:v>
                </c:pt>
                <c:pt idx="111" formatCode="&quot;$&quot;#,##0.00;[Red]\-&quot;$&quot;#,##0.00">
                  <c:v>28.8</c:v>
                </c:pt>
                <c:pt idx="112" formatCode="&quot;$&quot;#,##0.00;[Red]\-&quot;$&quot;#,##0.00">
                  <c:v>28.8</c:v>
                </c:pt>
                <c:pt idx="113">
                  <c:v>28.8</c:v>
                </c:pt>
                <c:pt idx="114" formatCode="&quot;$&quot;#,##0.00;[Red]\-&quot;$&quot;#,##0.00">
                  <c:v>14.4</c:v>
                </c:pt>
                <c:pt idx="115" formatCode="&quot;$&quot;#,##0.00;[Red]\-&quot;$&quot;#,##0.00">
                  <c:v>28.8</c:v>
                </c:pt>
                <c:pt idx="116" formatCode="&quot;$&quot;#,##0.00;[Red]\-&quot;$&quot;#,##0.00">
                  <c:v>35.200000000000003</c:v>
                </c:pt>
                <c:pt idx="117">
                  <c:v>28.8</c:v>
                </c:pt>
                <c:pt idx="118">
                  <c:v>28.8</c:v>
                </c:pt>
                <c:pt idx="119">
                  <c:v>9</c:v>
                </c:pt>
                <c:pt idx="120">
                  <c:v>18</c:v>
                </c:pt>
                <c:pt idx="121">
                  <c:v>28.8</c:v>
                </c:pt>
                <c:pt idx="122" formatCode="&quot;$&quot;#,##0.00;[Red]\-&quot;$&quot;#,##0.00">
                  <c:v>28.8</c:v>
                </c:pt>
                <c:pt idx="123" formatCode="&quot;$&quot;#,##0.00;[Red]\-&quot;$&quot;#,##0.00">
                  <c:v>36</c:v>
                </c:pt>
                <c:pt idx="124" formatCode="&quot;$&quot;#,##0.00;[Red]\-&quot;$&quot;#,##0.00">
                  <c:v>70.400000000000006</c:v>
                </c:pt>
                <c:pt idx="125">
                  <c:v>18</c:v>
                </c:pt>
                <c:pt idx="126" formatCode="&quot;$&quot;#,##0.00;[Red]\-&quot;$&quot;#,##0.00">
                  <c:v>11</c:v>
                </c:pt>
                <c:pt idx="127" formatCode="&quot;$&quot;#,##0.00;[Red]\-&quot;$&quot;#,##0.00">
                  <c:v>13.5</c:v>
                </c:pt>
                <c:pt idx="128" formatCode="&quot;$&quot;#,##0.00;[Red]\-&quot;$&quot;#,##0.00">
                  <c:v>29.92</c:v>
                </c:pt>
                <c:pt idx="129" formatCode="&quot;$&quot;#,##0.00;[Red]\-&quot;$&quot;#,##0.00">
                  <c:v>36.799999999999997</c:v>
                </c:pt>
                <c:pt idx="130" formatCode="&quot;$&quot;#,##0.00;[Red]\-&quot;$&quot;#,##0.00">
                  <c:v>52.8</c:v>
                </c:pt>
                <c:pt idx="131">
                  <c:v>28.8</c:v>
                </c:pt>
                <c:pt idx="132" formatCode="&quot;$&quot;#,##0.00;[Red]\-&quot;$&quot;#,##0.00">
                  <c:v>28.8</c:v>
                </c:pt>
                <c:pt idx="133">
                  <c:v>115.2</c:v>
                </c:pt>
                <c:pt idx="134">
                  <c:v>27</c:v>
                </c:pt>
                <c:pt idx="135" formatCode="&quot;$&quot;#,##0.00;[Red]\-&quot;$&quot;#,##0.00">
                  <c:v>35.200000000000003</c:v>
                </c:pt>
                <c:pt idx="136">
                  <c:v>28.8</c:v>
                </c:pt>
                <c:pt idx="137">
                  <c:v>57.6</c:v>
                </c:pt>
                <c:pt idx="138">
                  <c:v>36</c:v>
                </c:pt>
                <c:pt idx="139" formatCode="&quot;$&quot;#,##0.00;[Red]\-&quot;$&quot;#,##0.00">
                  <c:v>21</c:v>
                </c:pt>
                <c:pt idx="140" formatCode="&quot;$&quot;#,##0.00;[Red]\-&quot;$&quot;#,##0.00">
                  <c:v>36</c:v>
                </c:pt>
                <c:pt idx="141">
                  <c:v>28.8</c:v>
                </c:pt>
                <c:pt idx="142" formatCode="&quot;$&quot;#,##0.00;[Red]\-&quot;$&quot;#,##0.00">
                  <c:v>17.600000000000001</c:v>
                </c:pt>
                <c:pt idx="143">
                  <c:v>28.8</c:v>
                </c:pt>
                <c:pt idx="144" formatCode="&quot;$&quot;#,##0.00;[Red]\-&quot;$&quot;#,##0.00">
                  <c:v>28.8</c:v>
                </c:pt>
                <c:pt idx="145" formatCode="&quot;$&quot;#,##0.00;[Red]\-&quot;$&quot;#,##0.00">
                  <c:v>33.6</c:v>
                </c:pt>
                <c:pt idx="146" formatCode="&quot;$&quot;#,##0.00;[Red]\-&quot;$&quot;#,##0.00">
                  <c:v>57.6</c:v>
                </c:pt>
                <c:pt idx="147" formatCode="&quot;$&quot;#,##0.00;[Red]\-&quot;$&quot;#,##0.00">
                  <c:v>28.8</c:v>
                </c:pt>
                <c:pt idx="148" formatCode="&quot;$&quot;#,##0.00;[Red]\-&quot;$&quot;#,##0.00">
                  <c:v>59.84</c:v>
                </c:pt>
                <c:pt idx="149">
                  <c:v>9</c:v>
                </c:pt>
                <c:pt idx="150">
                  <c:v>9</c:v>
                </c:pt>
                <c:pt idx="151">
                  <c:v>28.8</c:v>
                </c:pt>
                <c:pt idx="152">
                  <c:v>23.04</c:v>
                </c:pt>
                <c:pt idx="153">
                  <c:v>18</c:v>
                </c:pt>
                <c:pt idx="154">
                  <c:v>57.6</c:v>
                </c:pt>
                <c:pt idx="155">
                  <c:v>9</c:v>
                </c:pt>
                <c:pt idx="156" formatCode="&quot;$&quot;#,##0.00;[Red]\-&quot;$&quot;#,##0.00">
                  <c:v>18</c:v>
                </c:pt>
                <c:pt idx="157" formatCode="&quot;$&quot;#,##0.00;[Red]\-&quot;$&quot;#,##0.00">
                  <c:v>28.8</c:v>
                </c:pt>
                <c:pt idx="158" formatCode="&quot;$&quot;#,##0.00;[Red]\-&quot;$&quot;#,##0.00">
                  <c:v>27</c:v>
                </c:pt>
                <c:pt idx="159">
                  <c:v>18</c:v>
                </c:pt>
                <c:pt idx="160">
                  <c:v>28.8</c:v>
                </c:pt>
                <c:pt idx="161" formatCode="&quot;$&quot;#,##0.00;[Red]\-&quot;$&quot;#,##0.00">
                  <c:v>36</c:v>
                </c:pt>
                <c:pt idx="162" formatCode="&quot;$&quot;#,##0.00;[Red]\-&quot;$&quot;#,##0.00">
                  <c:v>28.8</c:v>
                </c:pt>
                <c:pt idx="163" formatCode="&quot;$&quot;#,##0.00;[Red]\-&quot;$&quot;#,##0.00">
                  <c:v>54</c:v>
                </c:pt>
                <c:pt idx="164" formatCode="&quot;$&quot;#,##0.00;[Red]\-&quot;$&quot;#,##0.00">
                  <c:v>78</c:v>
                </c:pt>
                <c:pt idx="165" formatCode="&quot;$&quot;#,##0.00;[Red]\-&quot;$&quot;#,##0.00">
                  <c:v>49.76</c:v>
                </c:pt>
                <c:pt idx="166">
                  <c:v>28.8</c:v>
                </c:pt>
                <c:pt idx="167">
                  <c:v>27</c:v>
                </c:pt>
                <c:pt idx="168" formatCode="&quot;$&quot;#,##0.00;[Red]\-&quot;$&quot;#,##0.00">
                  <c:v>70.400000000000006</c:v>
                </c:pt>
                <c:pt idx="169">
                  <c:v>52.8</c:v>
                </c:pt>
                <c:pt idx="170">
                  <c:v>9</c:v>
                </c:pt>
                <c:pt idx="171">
                  <c:v>43.2</c:v>
                </c:pt>
                <c:pt idx="172" formatCode="&quot;$&quot;#,##0.00;[Red]\-&quot;$&quot;#,##0.00">
                  <c:v>48</c:v>
                </c:pt>
                <c:pt idx="173">
                  <c:v>36</c:v>
                </c:pt>
                <c:pt idx="174">
                  <c:v>63.2</c:v>
                </c:pt>
                <c:pt idx="175">
                  <c:v>28.8</c:v>
                </c:pt>
                <c:pt idx="176" formatCode="&quot;$&quot;#,##0.00;[Red]\-&quot;$&quot;#,##0.00">
                  <c:v>65.92</c:v>
                </c:pt>
                <c:pt idx="177" formatCode="&quot;$&quot;#,##0.00;[Red]\-&quot;$&quot;#,##0.00">
                  <c:v>36</c:v>
                </c:pt>
                <c:pt idx="178" formatCode="&quot;$&quot;#,##0.00;[Red]\-&quot;$&quot;#,##0.00">
                  <c:v>52.8</c:v>
                </c:pt>
                <c:pt idx="179" formatCode="&quot;$&quot;#,##0.00;[Red]\-&quot;$&quot;#,##0.00">
                  <c:v>28.8</c:v>
                </c:pt>
                <c:pt idx="180">
                  <c:v>9</c:v>
                </c:pt>
                <c:pt idx="181">
                  <c:v>28.8</c:v>
                </c:pt>
                <c:pt idx="182">
                  <c:v>36</c:v>
                </c:pt>
                <c:pt idx="183">
                  <c:v>28.8</c:v>
                </c:pt>
                <c:pt idx="184">
                  <c:v>54</c:v>
                </c:pt>
                <c:pt idx="185">
                  <c:v>27</c:v>
                </c:pt>
                <c:pt idx="186" formatCode="&quot;$&quot;#,##0.00;[Red]\-&quot;$&quot;#,##0.00">
                  <c:v>28.8</c:v>
                </c:pt>
                <c:pt idx="187" formatCode="&quot;$&quot;#,##0.00;[Red]\-&quot;$&quot;#,##0.00">
                  <c:v>18</c:v>
                </c:pt>
                <c:pt idx="188" formatCode="&quot;$&quot;#,##0.00;[Red]\-&quot;$&quot;#,##0.00">
                  <c:v>56.32</c:v>
                </c:pt>
                <c:pt idx="189">
                  <c:v>61.6</c:v>
                </c:pt>
                <c:pt idx="190">
                  <c:v>28.8</c:v>
                </c:pt>
                <c:pt idx="191">
                  <c:v>18</c:v>
                </c:pt>
                <c:pt idx="192">
                  <c:v>36</c:v>
                </c:pt>
                <c:pt idx="193" formatCode="&quot;$&quot;#,##0.00;[Red]\-&quot;$&quot;#,##0.00">
                  <c:v>64.8</c:v>
                </c:pt>
                <c:pt idx="194">
                  <c:v>9</c:v>
                </c:pt>
                <c:pt idx="195">
                  <c:v>14.4</c:v>
                </c:pt>
                <c:pt idx="196">
                  <c:v>21.6</c:v>
                </c:pt>
                <c:pt idx="197">
                  <c:v>9</c:v>
                </c:pt>
                <c:pt idx="198" formatCode="&quot;$&quot;#,##0.00;[Red]\-&quot;$&quot;#,##0.00">
                  <c:v>29.92</c:v>
                </c:pt>
                <c:pt idx="199" formatCode="&quot;$&quot;#,##0.00;[Red]\-&quot;$&quot;#,##0.00">
                  <c:v>172.8</c:v>
                </c:pt>
                <c:pt idx="200">
                  <c:v>18</c:v>
                </c:pt>
                <c:pt idx="201" formatCode="&quot;$&quot;#,##0.00;[Red]\-&quot;$&quot;#,##0.00">
                  <c:v>86.4</c:v>
                </c:pt>
                <c:pt idx="202">
                  <c:v>9</c:v>
                </c:pt>
                <c:pt idx="203" formatCode="&quot;$&quot;#,##0.00;[Red]\-&quot;$&quot;#,##0.00">
                  <c:v>38.72</c:v>
                </c:pt>
                <c:pt idx="204" formatCode="&quot;$&quot;#,##0.00;[Red]\-&quot;$&quot;#,##0.00">
                  <c:v>31.5</c:v>
                </c:pt>
                <c:pt idx="205">
                  <c:v>18</c:v>
                </c:pt>
                <c:pt idx="206">
                  <c:v>28.8</c:v>
                </c:pt>
                <c:pt idx="207" formatCode="&quot;$&quot;#,##0.00;[Red]\-&quot;$&quot;#,##0.00">
                  <c:v>47.25</c:v>
                </c:pt>
                <c:pt idx="208">
                  <c:v>70</c:v>
                </c:pt>
                <c:pt idx="209">
                  <c:v>28.8</c:v>
                </c:pt>
                <c:pt idx="210">
                  <c:v>201.6</c:v>
                </c:pt>
                <c:pt idx="211" formatCode="&quot;$&quot;#,##0.00;[Red]\-&quot;$&quot;#,##0.00">
                  <c:v>59.84</c:v>
                </c:pt>
                <c:pt idx="212" formatCode="&quot;$&quot;#,##0.00;[Red]\-&quot;$&quot;#,##0.00">
                  <c:v>22</c:v>
                </c:pt>
                <c:pt idx="213">
                  <c:v>36</c:v>
                </c:pt>
                <c:pt idx="214">
                  <c:v>21.6</c:v>
                </c:pt>
                <c:pt idx="215">
                  <c:v>28.8</c:v>
                </c:pt>
                <c:pt idx="216">
                  <c:v>57.6</c:v>
                </c:pt>
                <c:pt idx="217" formatCode="&quot;$&quot;#,##0.00;[Red]\-&quot;$&quot;#,##0.00">
                  <c:v>28.8</c:v>
                </c:pt>
                <c:pt idx="218" formatCode="&quot;$&quot;#,##0.00;[Red]\-&quot;$&quot;#,##0.00">
                  <c:v>28.05</c:v>
                </c:pt>
                <c:pt idx="219">
                  <c:v>28.8</c:v>
                </c:pt>
                <c:pt idx="220">
                  <c:v>36</c:v>
                </c:pt>
                <c:pt idx="221">
                  <c:v>18</c:v>
                </c:pt>
                <c:pt idx="222" formatCode="&quot;$&quot;#,##0.00;[Red]\-&quot;$&quot;#,##0.00">
                  <c:v>124.96</c:v>
                </c:pt>
                <c:pt idx="223" formatCode="&quot;$&quot;#,##0.00;[Red]\-&quot;$&quot;#,##0.00">
                  <c:v>14.4</c:v>
                </c:pt>
                <c:pt idx="224">
                  <c:v>30.6</c:v>
                </c:pt>
                <c:pt idx="225" formatCode="&quot;$&quot;#,##0.00;[Red]\-&quot;$&quot;#,##0.00">
                  <c:v>35.200000000000003</c:v>
                </c:pt>
                <c:pt idx="226" formatCode="&quot;$&quot;#,##0.00;[Red]\-&quot;$&quot;#,##0.00">
                  <c:v>28.8</c:v>
                </c:pt>
                <c:pt idx="227" formatCode="&quot;$&quot;#,##0.00;[Red]\-&quot;$&quot;#,##0.00">
                  <c:v>6.75</c:v>
                </c:pt>
                <c:pt idx="228">
                  <c:v>18</c:v>
                </c:pt>
                <c:pt idx="229" formatCode="&quot;$&quot;#,##0.00;[Red]\-&quot;$&quot;#,##0.00">
                  <c:v>112.64</c:v>
                </c:pt>
                <c:pt idx="230" formatCode="&quot;$&quot;#,##0.00;[Red]\-&quot;$&quot;#,##0.00">
                  <c:v>56.32</c:v>
                </c:pt>
                <c:pt idx="231">
                  <c:v>28.8</c:v>
                </c:pt>
                <c:pt idx="232">
                  <c:v>27</c:v>
                </c:pt>
                <c:pt idx="233" formatCode="&quot;$&quot;#,##0.00;[Red]\-&quot;$&quot;#,##0.00">
                  <c:v>33</c:v>
                </c:pt>
                <c:pt idx="234" formatCode="&quot;$&quot;#,##0.00;[Red]\-&quot;$&quot;#,##0.00">
                  <c:v>35.200000000000003</c:v>
                </c:pt>
                <c:pt idx="235">
                  <c:v>21.6</c:v>
                </c:pt>
                <c:pt idx="236" formatCode="&quot;$&quot;#,##0.00;[Red]\-&quot;$&quot;#,##0.00">
                  <c:v>28.8</c:v>
                </c:pt>
                <c:pt idx="237" formatCode="&quot;$&quot;#,##0.00;[Red]\-&quot;$&quot;#,##0.00">
                  <c:v>28.8</c:v>
                </c:pt>
                <c:pt idx="238" formatCode="&quot;$&quot;#,##0.00;[Red]\-&quot;$&quot;#,##0.00">
                  <c:v>57.6</c:v>
                </c:pt>
                <c:pt idx="239">
                  <c:v>28.8</c:v>
                </c:pt>
                <c:pt idx="240" formatCode="&quot;$&quot;#,##0.00;[Red]\-&quot;$&quot;#,##0.00">
                  <c:v>59.84</c:v>
                </c:pt>
                <c:pt idx="241">
                  <c:v>18</c:v>
                </c:pt>
                <c:pt idx="242" formatCode="&quot;$&quot;#,##0.00;[Red]\-&quot;$&quot;#,##0.00">
                  <c:v>47.2</c:v>
                </c:pt>
                <c:pt idx="243" formatCode="&quot;$&quot;#,##0.00;[Red]\-&quot;$&quot;#,##0.00">
                  <c:v>68</c:v>
                </c:pt>
                <c:pt idx="244" formatCode="&quot;$&quot;#,##0.00;[Red]\-&quot;$&quot;#,##0.00">
                  <c:v>27</c:v>
                </c:pt>
                <c:pt idx="245" formatCode="&quot;$&quot;#,##0.00;[Red]\-&quot;$&quot;#,##0.00">
                  <c:v>36</c:v>
                </c:pt>
                <c:pt idx="246" formatCode="&quot;$&quot;#,##0.00;[Red]\-&quot;$&quot;#,##0.00">
                  <c:v>36</c:v>
                </c:pt>
                <c:pt idx="247">
                  <c:v>9</c:v>
                </c:pt>
                <c:pt idx="248" formatCode="&quot;$&quot;#,##0.00;[Red]\-&quot;$&quot;#,##0.00">
                  <c:v>45</c:v>
                </c:pt>
                <c:pt idx="249" formatCode="&quot;$&quot;#,##0.00;[Red]\-&quot;$&quot;#,##0.00">
                  <c:v>14.4</c:v>
                </c:pt>
                <c:pt idx="250">
                  <c:v>57.6</c:v>
                </c:pt>
                <c:pt idx="251">
                  <c:v>14.4</c:v>
                </c:pt>
                <c:pt idx="252" formatCode="&quot;$&quot;#,##0.00;[Red]\-&quot;$&quot;#,##0.00">
                  <c:v>121.44</c:v>
                </c:pt>
                <c:pt idx="253">
                  <c:v>30.6</c:v>
                </c:pt>
                <c:pt idx="254" formatCode="&quot;$&quot;#,##0.00;[Red]\-&quot;$&quot;#,##0.00">
                  <c:v>14.4</c:v>
                </c:pt>
                <c:pt idx="255" formatCode="&quot;$&quot;#,##0.00;[Red]\-&quot;$&quot;#,##0.00">
                  <c:v>112.64</c:v>
                </c:pt>
                <c:pt idx="256">
                  <c:v>30.6</c:v>
                </c:pt>
                <c:pt idx="257">
                  <c:v>18</c:v>
                </c:pt>
                <c:pt idx="258">
                  <c:v>57.6</c:v>
                </c:pt>
                <c:pt idx="259" formatCode="&quot;$&quot;#,##0.00;[Red]\-&quot;$&quot;#,##0.00">
                  <c:v>36</c:v>
                </c:pt>
                <c:pt idx="260">
                  <c:v>14.4</c:v>
                </c:pt>
                <c:pt idx="261">
                  <c:v>9</c:v>
                </c:pt>
                <c:pt idx="262">
                  <c:v>9</c:v>
                </c:pt>
                <c:pt idx="263" formatCode="&quot;$&quot;#,##0.00;[Red]\-&quot;$&quot;#,##0.00">
                  <c:v>29.92</c:v>
                </c:pt>
                <c:pt idx="264" formatCode="&quot;$&quot;#,##0.00;[Red]\-&quot;$&quot;#,##0.00">
                  <c:v>38.4</c:v>
                </c:pt>
                <c:pt idx="265" formatCode="&quot;$&quot;#,##0.00;[Red]\-&quot;$&quot;#,##0.00">
                  <c:v>45</c:v>
                </c:pt>
                <c:pt idx="266" formatCode="&quot;$&quot;#,##0.00;[Red]\-&quot;$&quot;#,##0.00">
                  <c:v>56.32</c:v>
                </c:pt>
                <c:pt idx="267">
                  <c:v>27.2</c:v>
                </c:pt>
                <c:pt idx="268">
                  <c:v>36</c:v>
                </c:pt>
                <c:pt idx="269" formatCode="&quot;$&quot;#,##0.00;[Red]\-&quot;$&quot;#,##0.00">
                  <c:v>56.32</c:v>
                </c:pt>
                <c:pt idx="270" formatCode="&quot;$&quot;#,##0.00;[Red]\-&quot;$&quot;#,##0.00">
                  <c:v>35.200000000000003</c:v>
                </c:pt>
                <c:pt idx="271">
                  <c:v>28.8</c:v>
                </c:pt>
                <c:pt idx="272" formatCode="&quot;$&quot;#,##0.00;[Red]\-&quot;$&quot;#,##0.00">
                  <c:v>70.400000000000006</c:v>
                </c:pt>
                <c:pt idx="273" formatCode="&quot;$&quot;#,##0.00;[Red]\-&quot;$&quot;#,##0.00">
                  <c:v>28.8</c:v>
                </c:pt>
                <c:pt idx="274">
                  <c:v>36</c:v>
                </c:pt>
                <c:pt idx="275" formatCode="&quot;$&quot;#,##0.00;[Red]\-&quot;$&quot;#,##0.00">
                  <c:v>28.8</c:v>
                </c:pt>
                <c:pt idx="276">
                  <c:v>28.8</c:v>
                </c:pt>
                <c:pt idx="277" formatCode="&quot;$&quot;#,##0.00;[Red]\-&quot;$&quot;#,##0.00">
                  <c:v>140.80000000000001</c:v>
                </c:pt>
                <c:pt idx="278" formatCode="&quot;$&quot;#,##0.00;[Red]\-&quot;$&quot;#,##0.00">
                  <c:v>45.6</c:v>
                </c:pt>
                <c:pt idx="279">
                  <c:v>36</c:v>
                </c:pt>
                <c:pt idx="280">
                  <c:v>36</c:v>
                </c:pt>
                <c:pt idx="281">
                  <c:v>36</c:v>
                </c:pt>
                <c:pt idx="282" formatCode="&quot;$&quot;#,##0.00;[Red]\-&quot;$&quot;#,##0.00">
                  <c:v>74.8</c:v>
                </c:pt>
                <c:pt idx="283" formatCode="&quot;$&quot;#,##0.00;[Red]\-&quot;$&quot;#,##0.00">
                  <c:v>56.32</c:v>
                </c:pt>
                <c:pt idx="284">
                  <c:v>9</c:v>
                </c:pt>
                <c:pt idx="285">
                  <c:v>9</c:v>
                </c:pt>
                <c:pt idx="286">
                  <c:v>9</c:v>
                </c:pt>
                <c:pt idx="287">
                  <c:v>36</c:v>
                </c:pt>
                <c:pt idx="288" formatCode="&quot;$&quot;#,##0.00;[Red]\-&quot;$&quot;#,##0.00">
                  <c:v>29.92</c:v>
                </c:pt>
                <c:pt idx="289" formatCode="&quot;$&quot;#,##0.00;[Red]\-&quot;$&quot;#,##0.00">
                  <c:v>28.8</c:v>
                </c:pt>
                <c:pt idx="290">
                  <c:v>9</c:v>
                </c:pt>
                <c:pt idx="291">
                  <c:v>8</c:v>
                </c:pt>
                <c:pt idx="292" formatCode="&quot;$&quot;#,##0.00;[Red]\-&quot;$&quot;#,##0.00">
                  <c:v>40.799999999999997</c:v>
                </c:pt>
                <c:pt idx="293" formatCode="&quot;$&quot;#,##0.00;[Red]\-&quot;$&quot;#,##0.00">
                  <c:v>25.6</c:v>
                </c:pt>
                <c:pt idx="294" formatCode="&quot;$&quot;#,##0.00;[Red]\-&quot;$&quot;#,##0.00">
                  <c:v>29.92</c:v>
                </c:pt>
                <c:pt idx="295">
                  <c:v>36</c:v>
                </c:pt>
                <c:pt idx="296" formatCode="&quot;$&quot;#,##0.00;[Red]\-&quot;$&quot;#,##0.00">
                  <c:v>28.8</c:v>
                </c:pt>
                <c:pt idx="297">
                  <c:v>14.4</c:v>
                </c:pt>
                <c:pt idx="298">
                  <c:v>28.8</c:v>
                </c:pt>
                <c:pt idx="299" formatCode="&quot;$&quot;#,##0.00;[Red]\-&quot;$&quot;#,##0.00">
                  <c:v>28.8</c:v>
                </c:pt>
                <c:pt idx="300">
                  <c:v>36</c:v>
                </c:pt>
                <c:pt idx="301" formatCode="&quot;$&quot;#,##0.00;[Red]\-&quot;$&quot;#,##0.00">
                  <c:v>29.92</c:v>
                </c:pt>
                <c:pt idx="302">
                  <c:v>27</c:v>
                </c:pt>
                <c:pt idx="303">
                  <c:v>57.6</c:v>
                </c:pt>
                <c:pt idx="304" formatCode="&quot;$&quot;#,##0.00;[Red]\-&quot;$&quot;#,##0.00">
                  <c:v>32.799999999999997</c:v>
                </c:pt>
                <c:pt idx="305" formatCode="&quot;$&quot;#,##0.00;[Red]\-&quot;$&quot;#,##0.00">
                  <c:v>26.4</c:v>
                </c:pt>
                <c:pt idx="306" formatCode="&quot;$&quot;#,##0.00;[Red]\-&quot;$&quot;#,##0.00">
                  <c:v>29.92</c:v>
                </c:pt>
                <c:pt idx="307" formatCode="&quot;$&quot;#,##0.00;[Red]\-&quot;$&quot;#,##0.00">
                  <c:v>18</c:v>
                </c:pt>
                <c:pt idx="308">
                  <c:v>9</c:v>
                </c:pt>
                <c:pt idx="309">
                  <c:v>28.8</c:v>
                </c:pt>
                <c:pt idx="310">
                  <c:v>36</c:v>
                </c:pt>
                <c:pt idx="311">
                  <c:v>28.8</c:v>
                </c:pt>
                <c:pt idx="312" formatCode="&quot;$&quot;#,##0.00;[Red]\-&quot;$&quot;#,##0.00">
                  <c:v>28.8</c:v>
                </c:pt>
                <c:pt idx="313" formatCode="&quot;$&quot;#,##0.00;[Red]\-&quot;$&quot;#,##0.00">
                  <c:v>35.200000000000003</c:v>
                </c:pt>
                <c:pt idx="314" formatCode="&quot;$&quot;#,##0.00;[Red]\-&quot;$&quot;#,##0.00">
                  <c:v>56.32</c:v>
                </c:pt>
                <c:pt idx="315">
                  <c:v>36</c:v>
                </c:pt>
                <c:pt idx="316" formatCode="&quot;$&quot;#,##0.00;[Red]\-&quot;$&quot;#,##0.00">
                  <c:v>57.6</c:v>
                </c:pt>
                <c:pt idx="317">
                  <c:v>18</c:v>
                </c:pt>
                <c:pt idx="318">
                  <c:v>36</c:v>
                </c:pt>
                <c:pt idx="319">
                  <c:v>86.4</c:v>
                </c:pt>
                <c:pt idx="320">
                  <c:v>9</c:v>
                </c:pt>
                <c:pt idx="321" formatCode="&quot;$&quot;#,##0.00;[Red]\-&quot;$&quot;#,##0.00">
                  <c:v>28.8</c:v>
                </c:pt>
                <c:pt idx="322">
                  <c:v>64.8</c:v>
                </c:pt>
                <c:pt idx="323">
                  <c:v>28.8</c:v>
                </c:pt>
                <c:pt idx="324">
                  <c:v>28.8</c:v>
                </c:pt>
                <c:pt idx="325">
                  <c:v>57.6</c:v>
                </c:pt>
                <c:pt idx="326">
                  <c:v>28.8</c:v>
                </c:pt>
                <c:pt idx="327" formatCode="&quot;$&quot;#,##0.00;[Red]\-&quot;$&quot;#,##0.00">
                  <c:v>29.92</c:v>
                </c:pt>
                <c:pt idx="328" formatCode="&quot;$&quot;#,##0.00;[Red]\-&quot;$&quot;#,##0.00">
                  <c:v>86.4</c:v>
                </c:pt>
                <c:pt idx="329">
                  <c:v>27.2</c:v>
                </c:pt>
                <c:pt idx="330" formatCode="&quot;$&quot;#,##0.00;[Red]\-&quot;$&quot;#,##0.00">
                  <c:v>25.6</c:v>
                </c:pt>
                <c:pt idx="331">
                  <c:v>9</c:v>
                </c:pt>
                <c:pt idx="332" formatCode="&quot;$&quot;#,##0.00;[Red]\-&quot;$&quot;#,##0.00">
                  <c:v>119.68</c:v>
                </c:pt>
                <c:pt idx="333">
                  <c:v>28.8</c:v>
                </c:pt>
                <c:pt idx="334">
                  <c:v>9</c:v>
                </c:pt>
                <c:pt idx="335">
                  <c:v>25.6</c:v>
                </c:pt>
                <c:pt idx="336" formatCode="&quot;$&quot;#,##0.00;[Red]\-&quot;$&quot;#,##0.00">
                  <c:v>36</c:v>
                </c:pt>
                <c:pt idx="337" formatCode="&quot;$&quot;#,##0.00;[Red]\-&quot;$&quot;#,##0.00">
                  <c:v>111.2</c:v>
                </c:pt>
                <c:pt idx="338">
                  <c:v>27</c:v>
                </c:pt>
                <c:pt idx="339" formatCode="&quot;$&quot;#,##0.00;[Red]\-&quot;$&quot;#,##0.00">
                  <c:v>29.92</c:v>
                </c:pt>
                <c:pt idx="340" formatCode="&quot;$&quot;#,##0.00;[Red]\-&quot;$&quot;#,##0.00">
                  <c:v>28.8</c:v>
                </c:pt>
                <c:pt idx="341">
                  <c:v>18</c:v>
                </c:pt>
                <c:pt idx="342" formatCode="&quot;$&quot;#,##0.00;[Red]\-&quot;$&quot;#,##0.00">
                  <c:v>29.92</c:v>
                </c:pt>
                <c:pt idx="343" formatCode="&quot;$&quot;#,##0.00;[Red]\-&quot;$&quot;#,##0.00">
                  <c:v>29.92</c:v>
                </c:pt>
                <c:pt idx="344">
                  <c:v>36</c:v>
                </c:pt>
                <c:pt idx="345">
                  <c:v>28.8</c:v>
                </c:pt>
                <c:pt idx="346" formatCode="&quot;$&quot;#,##0.00;[Red]\-&quot;$&quot;#,##0.00">
                  <c:v>81</c:v>
                </c:pt>
                <c:pt idx="347">
                  <c:v>14.4</c:v>
                </c:pt>
                <c:pt idx="348" formatCode="&quot;$&quot;#,##0.00;[Red]\-&quot;$&quot;#,##0.00">
                  <c:v>73.8</c:v>
                </c:pt>
                <c:pt idx="349">
                  <c:v>18</c:v>
                </c:pt>
                <c:pt idx="350" formatCode="&quot;$&quot;#,##0.00;[Red]\-&quot;$&quot;#,##0.00">
                  <c:v>11</c:v>
                </c:pt>
                <c:pt idx="351" formatCode="&quot;$&quot;#,##0.00;[Red]\-&quot;$&quot;#,##0.00">
                  <c:v>22</c:v>
                </c:pt>
                <c:pt idx="352">
                  <c:v>9</c:v>
                </c:pt>
                <c:pt idx="353">
                  <c:v>30.6</c:v>
                </c:pt>
                <c:pt idx="354" formatCode="&quot;$&quot;#,##0.00;[Red]\-&quot;$&quot;#,##0.00">
                  <c:v>29.92</c:v>
                </c:pt>
                <c:pt idx="355" formatCode="&quot;$&quot;#,##0.00;[Red]\-&quot;$&quot;#,##0.00">
                  <c:v>56.32</c:v>
                </c:pt>
                <c:pt idx="356" formatCode="&quot;$&quot;#,##0.00;[Red]\-&quot;$&quot;#,##0.00">
                  <c:v>72</c:v>
                </c:pt>
                <c:pt idx="357" formatCode="&quot;$&quot;#,##0.00;[Red]\-&quot;$&quot;#,##0.00">
                  <c:v>18</c:v>
                </c:pt>
                <c:pt idx="358" formatCode="&quot;$&quot;#,##0.00;[Red]\-&quot;$&quot;#,##0.00">
                  <c:v>18.399999999999999</c:v>
                </c:pt>
                <c:pt idx="359">
                  <c:v>91.8</c:v>
                </c:pt>
                <c:pt idx="360" formatCode="&quot;$&quot;#,##0.00;[Red]\-&quot;$&quot;#,##0.00">
                  <c:v>28.8</c:v>
                </c:pt>
                <c:pt idx="361">
                  <c:v>27</c:v>
                </c:pt>
                <c:pt idx="362" formatCode="&quot;$&quot;#,##0.00;[Red]\-&quot;$&quot;#,##0.00">
                  <c:v>105.6</c:v>
                </c:pt>
                <c:pt idx="363" formatCode="&quot;$&quot;#,##0.00;[Red]\-&quot;$&quot;#,##0.00">
                  <c:v>36</c:v>
                </c:pt>
                <c:pt idx="364">
                  <c:v>18</c:v>
                </c:pt>
                <c:pt idx="365" formatCode="&quot;$&quot;#,##0.00;[Red]\-&quot;$&quot;#,##0.00">
                  <c:v>28.8</c:v>
                </c:pt>
                <c:pt idx="366" formatCode="&quot;$&quot;#,##0.00;[Red]\-&quot;$&quot;#,##0.00">
                  <c:v>28.8</c:v>
                </c:pt>
                <c:pt idx="367">
                  <c:v>28.8</c:v>
                </c:pt>
                <c:pt idx="368">
                  <c:v>28.8</c:v>
                </c:pt>
                <c:pt idx="369" formatCode="&quot;$&quot;#,##0.00;[Red]\-&quot;$&quot;#,##0.00">
                  <c:v>57.6</c:v>
                </c:pt>
                <c:pt idx="370">
                  <c:v>43.2</c:v>
                </c:pt>
                <c:pt idx="371">
                  <c:v>9</c:v>
                </c:pt>
                <c:pt idx="372" formatCode="&quot;$&quot;#,##0.00;[Red]\-&quot;$&quot;#,##0.00">
                  <c:v>28.8</c:v>
                </c:pt>
                <c:pt idx="373">
                  <c:v>28.8</c:v>
                </c:pt>
                <c:pt idx="374">
                  <c:v>18</c:v>
                </c:pt>
                <c:pt idx="375">
                  <c:v>9</c:v>
                </c:pt>
                <c:pt idx="376">
                  <c:v>28.8</c:v>
                </c:pt>
                <c:pt idx="377" formatCode="&quot;$&quot;#,##0.00;[Red]\-&quot;$&quot;#,##0.00">
                  <c:v>52</c:v>
                </c:pt>
                <c:pt idx="378">
                  <c:v>9</c:v>
                </c:pt>
                <c:pt idx="379" formatCode="&quot;$&quot;#,##0.00;[Red]\-&quot;$&quot;#,##0.00">
                  <c:v>28.8</c:v>
                </c:pt>
                <c:pt idx="380" formatCode="&quot;$&quot;#,##0.00;[Red]\-&quot;$&quot;#,##0.00">
                  <c:v>28.05</c:v>
                </c:pt>
                <c:pt idx="381">
                  <c:v>57.6</c:v>
                </c:pt>
                <c:pt idx="382">
                  <c:v>54</c:v>
                </c:pt>
                <c:pt idx="383">
                  <c:v>28.8</c:v>
                </c:pt>
                <c:pt idx="384" formatCode="&quot;$&quot;#,##0.00;[Red]\-&quot;$&quot;#,##0.00">
                  <c:v>72</c:v>
                </c:pt>
                <c:pt idx="385">
                  <c:v>28.8</c:v>
                </c:pt>
                <c:pt idx="386">
                  <c:v>21.6</c:v>
                </c:pt>
                <c:pt idx="387">
                  <c:v>43.2</c:v>
                </c:pt>
                <c:pt idx="388">
                  <c:v>9</c:v>
                </c:pt>
                <c:pt idx="389" formatCode="&quot;$&quot;#,##0.00;[Red]\-&quot;$&quot;#,##0.00">
                  <c:v>28.8</c:v>
                </c:pt>
                <c:pt idx="390" formatCode="&quot;$&quot;#,##0.00;[Red]\-&quot;$&quot;#,##0.00">
                  <c:v>74.8</c:v>
                </c:pt>
                <c:pt idx="391">
                  <c:v>57.6</c:v>
                </c:pt>
                <c:pt idx="392" formatCode="&quot;$&quot;#,##0.00;[Red]\-&quot;$&quot;#,##0.00">
                  <c:v>86.8</c:v>
                </c:pt>
                <c:pt idx="393" formatCode="&quot;$&quot;#,##0.00;[Red]\-&quot;$&quot;#,##0.00">
                  <c:v>29.92</c:v>
                </c:pt>
                <c:pt idx="394" formatCode="&quot;$&quot;#,##0.00;[Red]\-&quot;$&quot;#,##0.00">
                  <c:v>77.55</c:v>
                </c:pt>
                <c:pt idx="395" formatCode="&quot;$&quot;#,##0.00;[Red]\-&quot;$&quot;#,##0.00">
                  <c:v>144</c:v>
                </c:pt>
                <c:pt idx="396">
                  <c:v>57.6</c:v>
                </c:pt>
                <c:pt idx="397">
                  <c:v>14.4</c:v>
                </c:pt>
                <c:pt idx="398" formatCode="&quot;$&quot;#,##0.00;[Red]\-&quot;$&quot;#,##0.00">
                  <c:v>37.4</c:v>
                </c:pt>
                <c:pt idx="399">
                  <c:v>9</c:v>
                </c:pt>
                <c:pt idx="400" formatCode="&quot;$&quot;#,##0.00;[Red]\-&quot;$&quot;#,##0.00">
                  <c:v>12</c:v>
                </c:pt>
                <c:pt idx="401" formatCode="&quot;$&quot;#,##0.00;[Red]\-&quot;$&quot;#,##0.00">
                  <c:v>80.849999999999994</c:v>
                </c:pt>
                <c:pt idx="402" formatCode="&quot;$&quot;#,##0.00;[Red]\-&quot;$&quot;#,##0.00">
                  <c:v>81.599999999999994</c:v>
                </c:pt>
                <c:pt idx="403" formatCode="&quot;$&quot;#,##0.00;[Red]\-&quot;$&quot;#,##0.00">
                  <c:v>36</c:v>
                </c:pt>
                <c:pt idx="404" formatCode="&quot;$&quot;#,##0.00;[Red]\-&quot;$&quot;#,##0.00">
                  <c:v>56.32</c:v>
                </c:pt>
                <c:pt idx="405">
                  <c:v>9</c:v>
                </c:pt>
                <c:pt idx="406" formatCode="&quot;$&quot;#,##0.00;[Red]\-&quot;$&quot;#,##0.00">
                  <c:v>11</c:v>
                </c:pt>
                <c:pt idx="407" formatCode="&quot;$&quot;#,##0.00;[Red]\-&quot;$&quot;#,##0.00">
                  <c:v>28.8</c:v>
                </c:pt>
                <c:pt idx="408" formatCode="&quot;$&quot;#,##0.00;[Red]\-&quot;$&quot;#,##0.00">
                  <c:v>28.8</c:v>
                </c:pt>
                <c:pt idx="409" formatCode="&quot;$&quot;#,##0.00;[Red]\-&quot;$&quot;#,##0.00">
                  <c:v>29.92</c:v>
                </c:pt>
                <c:pt idx="410">
                  <c:v>18</c:v>
                </c:pt>
                <c:pt idx="411" formatCode="&quot;$&quot;#,##0.00;[Red]\-&quot;$&quot;#,##0.00">
                  <c:v>57.6</c:v>
                </c:pt>
                <c:pt idx="412" formatCode="&quot;$&quot;#,##0.00;[Red]\-&quot;$&quot;#,##0.00">
                  <c:v>28.8</c:v>
                </c:pt>
                <c:pt idx="413" formatCode="&quot;$&quot;#,##0.00;[Red]\-&quot;$&quot;#,##0.00">
                  <c:v>29.92</c:v>
                </c:pt>
                <c:pt idx="414" formatCode="&quot;$&quot;#,##0.00;[Red]\-&quot;$&quot;#,##0.00">
                  <c:v>22</c:v>
                </c:pt>
                <c:pt idx="415" formatCode="&quot;$&quot;#,##0.00;[Red]\-&quot;$&quot;#,##0.00">
                  <c:v>28.8</c:v>
                </c:pt>
                <c:pt idx="416">
                  <c:v>28.8</c:v>
                </c:pt>
                <c:pt idx="417">
                  <c:v>57.6</c:v>
                </c:pt>
                <c:pt idx="418">
                  <c:v>28.8</c:v>
                </c:pt>
                <c:pt idx="419">
                  <c:v>50.4</c:v>
                </c:pt>
                <c:pt idx="420">
                  <c:v>50.4</c:v>
                </c:pt>
                <c:pt idx="421">
                  <c:v>28.8</c:v>
                </c:pt>
                <c:pt idx="422" formatCode="&quot;$&quot;#,##0.00;[Red]\-&quot;$&quot;#,##0.00">
                  <c:v>36</c:v>
                </c:pt>
                <c:pt idx="423">
                  <c:v>28.8</c:v>
                </c:pt>
                <c:pt idx="424" formatCode="&quot;$&quot;#,##0.00;[Red]\-&quot;$&quot;#,##0.00">
                  <c:v>28.8</c:v>
                </c:pt>
                <c:pt idx="425">
                  <c:v>27</c:v>
                </c:pt>
                <c:pt idx="426">
                  <c:v>52.8</c:v>
                </c:pt>
                <c:pt idx="427">
                  <c:v>18</c:v>
                </c:pt>
                <c:pt idx="428" formatCode="&quot;$&quot;#,##0.00;[Red]\-&quot;$&quot;#,##0.00">
                  <c:v>29.92</c:v>
                </c:pt>
                <c:pt idx="429">
                  <c:v>18</c:v>
                </c:pt>
                <c:pt idx="430" formatCode="&quot;$&quot;#,##0.00;[Red]\-&quot;$&quot;#,##0.00">
                  <c:v>29.92</c:v>
                </c:pt>
                <c:pt idx="431">
                  <c:v>18</c:v>
                </c:pt>
                <c:pt idx="432">
                  <c:v>28.8</c:v>
                </c:pt>
                <c:pt idx="433" formatCode="&quot;$&quot;#,##0.00;[Red]\-&quot;$&quot;#,##0.00">
                  <c:v>59.84</c:v>
                </c:pt>
                <c:pt idx="434" formatCode="&quot;$&quot;#,##0.00;[Red]\-&quot;$&quot;#,##0.00">
                  <c:v>14.4</c:v>
                </c:pt>
                <c:pt idx="435">
                  <c:v>115.2</c:v>
                </c:pt>
                <c:pt idx="436" formatCode="&quot;$&quot;#,##0.00;[Red]\-&quot;$&quot;#,##0.00">
                  <c:v>29.92</c:v>
                </c:pt>
                <c:pt idx="437">
                  <c:v>57.6</c:v>
                </c:pt>
                <c:pt idx="438" formatCode="&quot;$&quot;#,##0.00;[Red]\-&quot;$&quot;#,##0.00">
                  <c:v>28.8</c:v>
                </c:pt>
                <c:pt idx="439">
                  <c:v>28.8</c:v>
                </c:pt>
                <c:pt idx="440" formatCode="&quot;$&quot;#,##0.00;[Red]\-&quot;$&quot;#,##0.00">
                  <c:v>30.6</c:v>
                </c:pt>
                <c:pt idx="441" formatCode="&quot;$&quot;#,##0.00;[Red]\-&quot;$&quot;#,##0.00">
                  <c:v>37.4</c:v>
                </c:pt>
                <c:pt idx="442" formatCode="&quot;$&quot;#,##0.00;[Red]\-&quot;$&quot;#,##0.00">
                  <c:v>54</c:v>
                </c:pt>
                <c:pt idx="443">
                  <c:v>9</c:v>
                </c:pt>
                <c:pt idx="444" formatCode="&quot;$&quot;#,##0.00;[Red]\-&quot;$&quot;#,##0.00">
                  <c:v>32.64</c:v>
                </c:pt>
                <c:pt idx="445">
                  <c:v>14.4</c:v>
                </c:pt>
                <c:pt idx="446" formatCode="&quot;$&quot;#,##0.00;[Red]\-&quot;$&quot;#,##0.00">
                  <c:v>28.8</c:v>
                </c:pt>
                <c:pt idx="447" formatCode="&quot;$&quot;#,##0.00;[Red]\-&quot;$&quot;#,##0.00">
                  <c:v>28.8</c:v>
                </c:pt>
                <c:pt idx="448" formatCode="&quot;$&quot;#,##0.00;[Red]\-&quot;$&quot;#,##0.00">
                  <c:v>28.8</c:v>
                </c:pt>
                <c:pt idx="449" formatCode="&quot;$&quot;#,##0.00;[Red]\-&quot;$&quot;#,##0.00">
                  <c:v>21.6</c:v>
                </c:pt>
                <c:pt idx="450">
                  <c:v>21.6</c:v>
                </c:pt>
                <c:pt idx="451">
                  <c:v>28.8</c:v>
                </c:pt>
                <c:pt idx="452" formatCode="&quot;$&quot;#,##0.00;[Red]\-&quot;$&quot;#,##0.00">
                  <c:v>29.92</c:v>
                </c:pt>
                <c:pt idx="453">
                  <c:v>28.8</c:v>
                </c:pt>
                <c:pt idx="454" formatCode="&quot;$&quot;#,##0.00;[Red]\-&quot;$&quot;#,##0.00">
                  <c:v>18</c:v>
                </c:pt>
                <c:pt idx="455" formatCode="&quot;$&quot;#,##0.00;[Red]\-&quot;$&quot;#,##0.00">
                  <c:v>56.32</c:v>
                </c:pt>
                <c:pt idx="456" formatCode="&quot;$&quot;#,##0.00;[Red]\-&quot;$&quot;#,##0.00">
                  <c:v>56.32</c:v>
                </c:pt>
                <c:pt idx="457" formatCode="&quot;$&quot;#,##0.00;[Red]\-&quot;$&quot;#,##0.00">
                  <c:v>39</c:v>
                </c:pt>
                <c:pt idx="458" formatCode="&quot;$&quot;#,##0.00;[Red]\-&quot;$&quot;#,##0.00">
                  <c:v>35.200000000000003</c:v>
                </c:pt>
                <c:pt idx="459">
                  <c:v>18</c:v>
                </c:pt>
                <c:pt idx="460">
                  <c:v>43.2</c:v>
                </c:pt>
                <c:pt idx="461" formatCode="&quot;$&quot;#,##0.00;[Red]\-&quot;$&quot;#,##0.00">
                  <c:v>57.6</c:v>
                </c:pt>
                <c:pt idx="462">
                  <c:v>27</c:v>
                </c:pt>
                <c:pt idx="463">
                  <c:v>144</c:v>
                </c:pt>
                <c:pt idx="464">
                  <c:v>28.8</c:v>
                </c:pt>
                <c:pt idx="465" formatCode="&quot;$&quot;#,##0.00;[Red]\-&quot;$&quot;#,##0.00">
                  <c:v>36</c:v>
                </c:pt>
                <c:pt idx="466">
                  <c:v>9</c:v>
                </c:pt>
                <c:pt idx="467">
                  <c:v>27</c:v>
                </c:pt>
                <c:pt idx="468">
                  <c:v>28.8</c:v>
                </c:pt>
                <c:pt idx="469">
                  <c:v>14.4</c:v>
                </c:pt>
                <c:pt idx="470">
                  <c:v>41.6</c:v>
                </c:pt>
                <c:pt idx="471" formatCode="&quot;$&quot;#,##0.00;[Red]\-&quot;$&quot;#,##0.00">
                  <c:v>72</c:v>
                </c:pt>
                <c:pt idx="472" formatCode="&quot;$&quot;#,##0.00;[Red]\-&quot;$&quot;#,##0.00">
                  <c:v>28.8</c:v>
                </c:pt>
                <c:pt idx="473">
                  <c:v>57.6</c:v>
                </c:pt>
                <c:pt idx="474">
                  <c:v>9</c:v>
                </c:pt>
                <c:pt idx="475" formatCode="&quot;$&quot;#,##0.00;[Red]\-&quot;$&quot;#,##0.00">
                  <c:v>51.2</c:v>
                </c:pt>
                <c:pt idx="476">
                  <c:v>27</c:v>
                </c:pt>
                <c:pt idx="477" formatCode="&quot;$&quot;#,##0.00;[Red]\-&quot;$&quot;#,##0.00">
                  <c:v>56.32</c:v>
                </c:pt>
                <c:pt idx="478">
                  <c:v>14.4</c:v>
                </c:pt>
                <c:pt idx="479">
                  <c:v>9</c:v>
                </c:pt>
                <c:pt idx="480" formatCode="&quot;$&quot;#,##0.00;[Red]\-&quot;$&quot;#,##0.00">
                  <c:v>18</c:v>
                </c:pt>
                <c:pt idx="481" formatCode="&quot;$&quot;#,##0.00;[Red]\-&quot;$&quot;#,##0.00">
                  <c:v>28.8</c:v>
                </c:pt>
                <c:pt idx="482" formatCode="&quot;$&quot;#,##0.00;[Red]\-&quot;$&quot;#,##0.00">
                  <c:v>11</c:v>
                </c:pt>
                <c:pt idx="483">
                  <c:v>18</c:v>
                </c:pt>
                <c:pt idx="484" formatCode="&quot;$&quot;#,##0.00;[Red]\-&quot;$&quot;#,##0.00">
                  <c:v>52.8</c:v>
                </c:pt>
                <c:pt idx="485" formatCode="&quot;$&quot;#,##0.00;[Red]\-&quot;$&quot;#,##0.00">
                  <c:v>29.92</c:v>
                </c:pt>
                <c:pt idx="486" formatCode="&quot;$&quot;#,##0.00;[Red]\-&quot;$&quot;#,##0.00">
                  <c:v>22</c:v>
                </c:pt>
                <c:pt idx="487">
                  <c:v>27</c:v>
                </c:pt>
                <c:pt idx="488">
                  <c:v>18</c:v>
                </c:pt>
                <c:pt idx="489" formatCode="&quot;$&quot;#,##0.00;[Red]\-&quot;$&quot;#,##0.00">
                  <c:v>28.8</c:v>
                </c:pt>
                <c:pt idx="490" formatCode="&quot;$&quot;#,##0.00;[Red]\-&quot;$&quot;#,##0.00">
                  <c:v>57.6</c:v>
                </c:pt>
                <c:pt idx="491" formatCode="&quot;$&quot;#,##0.00;[Red]\-&quot;$&quot;#,##0.00">
                  <c:v>65.92</c:v>
                </c:pt>
                <c:pt idx="492">
                  <c:v>9</c:v>
                </c:pt>
                <c:pt idx="493">
                  <c:v>43.2</c:v>
                </c:pt>
                <c:pt idx="494">
                  <c:v>28.8</c:v>
                </c:pt>
                <c:pt idx="495" formatCode="&quot;$&quot;#,##0.00;[Red]\-&quot;$&quot;#,##0.00">
                  <c:v>29.92</c:v>
                </c:pt>
                <c:pt idx="496" formatCode="&quot;$&quot;#,##0.00;[Red]\-&quot;$&quot;#,##0.00">
                  <c:v>30.6</c:v>
                </c:pt>
                <c:pt idx="497" formatCode="&quot;$&quot;#,##0.00;[Red]\-&quot;$&quot;#,##0.00">
                  <c:v>28.8</c:v>
                </c:pt>
                <c:pt idx="498">
                  <c:v>18</c:v>
                </c:pt>
                <c:pt idx="499" formatCode="&quot;$&quot;#,##0.00;[Red]\-&quot;$&quot;#,##0.00">
                  <c:v>56.32</c:v>
                </c:pt>
                <c:pt idx="500">
                  <c:v>57.6</c:v>
                </c:pt>
                <c:pt idx="501">
                  <c:v>28.8</c:v>
                </c:pt>
                <c:pt idx="502">
                  <c:v>28.8</c:v>
                </c:pt>
                <c:pt idx="503" formatCode="&quot;$&quot;#,##0.00;[Red]\-&quot;$&quot;#,##0.00">
                  <c:v>86.4</c:v>
                </c:pt>
                <c:pt idx="504" formatCode="&quot;$&quot;#,##0.00;[Red]\-&quot;$&quot;#,##0.00">
                  <c:v>21</c:v>
                </c:pt>
                <c:pt idx="505" formatCode="&quot;$&quot;#,##0.00;[Red]\-&quot;$&quot;#,##0.00">
                  <c:v>40.799999999999997</c:v>
                </c:pt>
                <c:pt idx="506">
                  <c:v>72</c:v>
                </c:pt>
                <c:pt idx="507" formatCode="&quot;$&quot;#,##0.00;[Red]\-&quot;$&quot;#,##0.00">
                  <c:v>22</c:v>
                </c:pt>
                <c:pt idx="508">
                  <c:v>28.8</c:v>
                </c:pt>
                <c:pt idx="509" formatCode="&quot;$&quot;#,##0.00;[Red]\-&quot;$&quot;#,##0.00">
                  <c:v>29.92</c:v>
                </c:pt>
                <c:pt idx="510" formatCode="&quot;$&quot;#,##0.00;[Red]\-&quot;$&quot;#,##0.00">
                  <c:v>28.8</c:v>
                </c:pt>
                <c:pt idx="511">
                  <c:v>28.8</c:v>
                </c:pt>
                <c:pt idx="512">
                  <c:v>36</c:v>
                </c:pt>
                <c:pt idx="513" formatCode="&quot;$&quot;#,##0.00;[Red]\-&quot;$&quot;#,##0.00">
                  <c:v>30.6</c:v>
                </c:pt>
                <c:pt idx="514">
                  <c:v>18</c:v>
                </c:pt>
                <c:pt idx="515" formatCode="&quot;$&quot;#,##0.00;[Red]\-&quot;$&quot;#,##0.00">
                  <c:v>36</c:v>
                </c:pt>
                <c:pt idx="516">
                  <c:v>57.6</c:v>
                </c:pt>
                <c:pt idx="517" formatCode="&quot;$&quot;#,##0.00;[Red]\-&quot;$&quot;#,##0.00">
                  <c:v>36</c:v>
                </c:pt>
                <c:pt idx="518">
                  <c:v>28.8</c:v>
                </c:pt>
                <c:pt idx="519">
                  <c:v>28.8</c:v>
                </c:pt>
                <c:pt idx="520" formatCode="&quot;$&quot;#,##0.00;[Red]\-&quot;$&quot;#,##0.00">
                  <c:v>43.2</c:v>
                </c:pt>
                <c:pt idx="521" formatCode="&quot;$&quot;#,##0.00;[Red]\-&quot;$&quot;#,##0.00">
                  <c:v>57.6</c:v>
                </c:pt>
                <c:pt idx="522">
                  <c:v>18</c:v>
                </c:pt>
                <c:pt idx="523">
                  <c:v>9</c:v>
                </c:pt>
                <c:pt idx="524">
                  <c:v>28.8</c:v>
                </c:pt>
                <c:pt idx="525">
                  <c:v>9</c:v>
                </c:pt>
                <c:pt idx="526" formatCode="&quot;$&quot;#,##0.00;[Red]\-&quot;$&quot;#,##0.00">
                  <c:v>21</c:v>
                </c:pt>
                <c:pt idx="527" formatCode="&quot;$&quot;#,##0.00;[Red]\-&quot;$&quot;#,##0.00">
                  <c:v>36</c:v>
                </c:pt>
                <c:pt idx="528" formatCode="&quot;$&quot;#,##0.00;[Red]\-&quot;$&quot;#,##0.00">
                  <c:v>36</c:v>
                </c:pt>
                <c:pt idx="529" formatCode="&quot;$&quot;#,##0.00;[Red]\-&quot;$&quot;#,##0.00">
                  <c:v>56.32</c:v>
                </c:pt>
                <c:pt idx="530">
                  <c:v>28.8</c:v>
                </c:pt>
                <c:pt idx="531" formatCode="&quot;$&quot;#,##0.00;[Red]\-&quot;$&quot;#,##0.00">
                  <c:v>28.8</c:v>
                </c:pt>
                <c:pt idx="532" formatCode="&quot;$&quot;#,##0.00;[Red]\-&quot;$&quot;#,##0.00">
                  <c:v>29.92</c:v>
                </c:pt>
                <c:pt idx="533" formatCode="&quot;$&quot;#,##0.00;[Red]\-&quot;$&quot;#,##0.00">
                  <c:v>36</c:v>
                </c:pt>
                <c:pt idx="534" formatCode="&quot;$&quot;#,##0.00;[Red]\-&quot;$&quot;#,##0.00">
                  <c:v>11</c:v>
                </c:pt>
                <c:pt idx="535">
                  <c:v>28.8</c:v>
                </c:pt>
                <c:pt idx="536">
                  <c:v>28.8</c:v>
                </c:pt>
                <c:pt idx="537">
                  <c:v>36</c:v>
                </c:pt>
                <c:pt idx="538" formatCode="&quot;$&quot;#,##0.00;[Red]\-&quot;$&quot;#,##0.00">
                  <c:v>86.24</c:v>
                </c:pt>
                <c:pt idx="539">
                  <c:v>57.6</c:v>
                </c:pt>
                <c:pt idx="540" formatCode="&quot;$&quot;#,##0.00;[Red]\-&quot;$&quot;#,##0.00">
                  <c:v>153.6</c:v>
                </c:pt>
                <c:pt idx="541">
                  <c:v>57.6</c:v>
                </c:pt>
                <c:pt idx="542">
                  <c:v>18</c:v>
                </c:pt>
                <c:pt idx="543" formatCode="&quot;$&quot;#,##0.00;[Red]\-&quot;$&quot;#,##0.00">
                  <c:v>29.92</c:v>
                </c:pt>
                <c:pt idx="544">
                  <c:v>28.8</c:v>
                </c:pt>
                <c:pt idx="545">
                  <c:v>36</c:v>
                </c:pt>
                <c:pt idx="546" formatCode="&quot;$&quot;#,##0.00;[Red]\-&quot;$&quot;#,##0.00">
                  <c:v>12</c:v>
                </c:pt>
                <c:pt idx="547">
                  <c:v>7</c:v>
                </c:pt>
                <c:pt idx="548" formatCode="&quot;$&quot;#,##0.00;[Red]\-&quot;$&quot;#,##0.00">
                  <c:v>28.8</c:v>
                </c:pt>
                <c:pt idx="549" formatCode="&quot;$&quot;#,##0.00;[Red]\-&quot;$&quot;#,##0.00">
                  <c:v>37.4</c:v>
                </c:pt>
                <c:pt idx="550" formatCode="&quot;$&quot;#,##0.00;[Red]\-&quot;$&quot;#,##0.00">
                  <c:v>22</c:v>
                </c:pt>
                <c:pt idx="551" formatCode="&quot;$&quot;#,##0.00;[Red]\-&quot;$&quot;#,##0.00">
                  <c:v>27</c:v>
                </c:pt>
                <c:pt idx="552">
                  <c:v>28.8</c:v>
                </c:pt>
                <c:pt idx="553" formatCode="&quot;$&quot;#,##0.00;[Red]\-&quot;$&quot;#,##0.00">
                  <c:v>29.92</c:v>
                </c:pt>
                <c:pt idx="554" formatCode="&quot;$&quot;#,##0.00;[Red]\-&quot;$&quot;#,##0.00">
                  <c:v>68.64</c:v>
                </c:pt>
                <c:pt idx="555">
                  <c:v>30.6</c:v>
                </c:pt>
                <c:pt idx="556">
                  <c:v>27</c:v>
                </c:pt>
                <c:pt idx="557">
                  <c:v>18</c:v>
                </c:pt>
                <c:pt idx="558" formatCode="&quot;$&quot;#,##0.00;[Red]\-&quot;$&quot;#,##0.00">
                  <c:v>27</c:v>
                </c:pt>
                <c:pt idx="559">
                  <c:v>18</c:v>
                </c:pt>
                <c:pt idx="560" formatCode="&quot;$&quot;#,##0.00;[Red]\-&quot;$&quot;#,##0.00">
                  <c:v>72</c:v>
                </c:pt>
                <c:pt idx="561">
                  <c:v>30.6</c:v>
                </c:pt>
                <c:pt idx="562">
                  <c:v>57.6</c:v>
                </c:pt>
                <c:pt idx="563">
                  <c:v>9</c:v>
                </c:pt>
                <c:pt idx="564">
                  <c:v>28.8</c:v>
                </c:pt>
                <c:pt idx="565" formatCode="&quot;$&quot;#,##0.00;[Red]\-&quot;$&quot;#,##0.00">
                  <c:v>172.8</c:v>
                </c:pt>
                <c:pt idx="566" formatCode="&quot;$&quot;#,##0.00;[Red]\-&quot;$&quot;#,##0.00">
                  <c:v>29.92</c:v>
                </c:pt>
                <c:pt idx="567" formatCode="&quot;$&quot;#,##0.00;[Red]\-&quot;$&quot;#,##0.00">
                  <c:v>56.32</c:v>
                </c:pt>
                <c:pt idx="568">
                  <c:v>50.4</c:v>
                </c:pt>
                <c:pt idx="569">
                  <c:v>72</c:v>
                </c:pt>
                <c:pt idx="570">
                  <c:v>57.6</c:v>
                </c:pt>
                <c:pt idx="571" formatCode="&quot;$&quot;#,##0.00;[Red]\-&quot;$&quot;#,##0.00">
                  <c:v>9</c:v>
                </c:pt>
                <c:pt idx="572" formatCode="&quot;$&quot;#,##0.00;[Red]\-&quot;$&quot;#,##0.00">
                  <c:v>108.9</c:v>
                </c:pt>
                <c:pt idx="573">
                  <c:v>36</c:v>
                </c:pt>
                <c:pt idx="574">
                  <c:v>28.8</c:v>
                </c:pt>
                <c:pt idx="575" formatCode="&quot;$&quot;#,##0.00;[Red]\-&quot;$&quot;#,##0.00">
                  <c:v>12</c:v>
                </c:pt>
                <c:pt idx="576">
                  <c:v>28.8</c:v>
                </c:pt>
                <c:pt idx="577">
                  <c:v>28.8</c:v>
                </c:pt>
                <c:pt idx="578" formatCode="&quot;$&quot;#,##0.00;[Red]\-&quot;$&quot;#,##0.00">
                  <c:v>28.8</c:v>
                </c:pt>
                <c:pt idx="579">
                  <c:v>18</c:v>
                </c:pt>
                <c:pt idx="580" formatCode="&quot;$&quot;#,##0.00;[Red]\-&quot;$&quot;#,##0.00">
                  <c:v>27</c:v>
                </c:pt>
                <c:pt idx="581" formatCode="&quot;$&quot;#,##0.00;[Red]\-&quot;$&quot;#,##0.00">
                  <c:v>22</c:v>
                </c:pt>
                <c:pt idx="582">
                  <c:v>28.8</c:v>
                </c:pt>
                <c:pt idx="583" formatCode="&quot;$&quot;#,##0.00;[Red]\-&quot;$&quot;#,##0.00">
                  <c:v>35.200000000000003</c:v>
                </c:pt>
                <c:pt idx="584">
                  <c:v>9</c:v>
                </c:pt>
                <c:pt idx="585" formatCode="&quot;$&quot;#,##0.00;[Red]\-&quot;$&quot;#,##0.00">
                  <c:v>88.6</c:v>
                </c:pt>
                <c:pt idx="586">
                  <c:v>14.4</c:v>
                </c:pt>
                <c:pt idx="587" formatCode="&quot;$&quot;#,##0.00;[Red]\-&quot;$&quot;#,##0.00">
                  <c:v>57.6</c:v>
                </c:pt>
                <c:pt idx="588" formatCode="&quot;$&quot;#,##0.00;[Red]\-&quot;$&quot;#,##0.00">
                  <c:v>37.4</c:v>
                </c:pt>
                <c:pt idx="589" formatCode="&quot;$&quot;#,##0.00;[Red]\-&quot;$&quot;#,##0.00">
                  <c:v>22</c:v>
                </c:pt>
                <c:pt idx="590">
                  <c:v>28.8</c:v>
                </c:pt>
                <c:pt idx="591" formatCode="&quot;$&quot;#,##0.00;[Red]\-&quot;$&quot;#,##0.00">
                  <c:v>22</c:v>
                </c:pt>
                <c:pt idx="592">
                  <c:v>64.8</c:v>
                </c:pt>
                <c:pt idx="593">
                  <c:v>28.8</c:v>
                </c:pt>
                <c:pt idx="594">
                  <c:v>9</c:v>
                </c:pt>
                <c:pt idx="595">
                  <c:v>9</c:v>
                </c:pt>
                <c:pt idx="596" formatCode="&quot;$&quot;#,##0.00;[Red]\-&quot;$&quot;#,##0.00">
                  <c:v>28.8</c:v>
                </c:pt>
                <c:pt idx="597" formatCode="&quot;$&quot;#,##0.00;[Red]\-&quot;$&quot;#,##0.00">
                  <c:v>72</c:v>
                </c:pt>
                <c:pt idx="598">
                  <c:v>18</c:v>
                </c:pt>
                <c:pt idx="599">
                  <c:v>27</c:v>
                </c:pt>
                <c:pt idx="600">
                  <c:v>57.6</c:v>
                </c:pt>
                <c:pt idx="601" formatCode="&quot;$&quot;#,##0.00;[Red]\-&quot;$&quot;#,##0.00">
                  <c:v>37.4</c:v>
                </c:pt>
                <c:pt idx="602">
                  <c:v>57.6</c:v>
                </c:pt>
                <c:pt idx="603" formatCode="&quot;$&quot;#,##0.00;[Red]\-&quot;$&quot;#,##0.00">
                  <c:v>43.2</c:v>
                </c:pt>
                <c:pt idx="604" formatCode="&quot;$&quot;#,##0.00;[Red]\-&quot;$&quot;#,##0.00">
                  <c:v>37.4</c:v>
                </c:pt>
                <c:pt idx="605">
                  <c:v>27.2</c:v>
                </c:pt>
                <c:pt idx="606" formatCode="&quot;$&quot;#,##0.00;[Red]\-&quot;$&quot;#,##0.00">
                  <c:v>29.92</c:v>
                </c:pt>
                <c:pt idx="607">
                  <c:v>9</c:v>
                </c:pt>
                <c:pt idx="608" formatCode="&quot;$&quot;#,##0.00;[Red]\-&quot;$&quot;#,##0.00">
                  <c:v>36</c:v>
                </c:pt>
                <c:pt idx="609" formatCode="&quot;$&quot;#,##0.00;[Red]\-&quot;$&quot;#,##0.00">
                  <c:v>28.8</c:v>
                </c:pt>
                <c:pt idx="610">
                  <c:v>72</c:v>
                </c:pt>
                <c:pt idx="611" formatCode="&quot;$&quot;#,##0.00;[Red]\-&quot;$&quot;#,##0.00">
                  <c:v>29.92</c:v>
                </c:pt>
                <c:pt idx="612" formatCode="&quot;$&quot;#,##0.00;[Red]\-&quot;$&quot;#,##0.00">
                  <c:v>36</c:v>
                </c:pt>
                <c:pt idx="613">
                  <c:v>28.8</c:v>
                </c:pt>
                <c:pt idx="614" formatCode="&quot;$&quot;#,##0.00;[Red]\-&quot;$&quot;#,##0.00">
                  <c:v>28.8</c:v>
                </c:pt>
                <c:pt idx="615" formatCode="&quot;$&quot;#,##0.00;[Red]\-&quot;$&quot;#,##0.00">
                  <c:v>27</c:v>
                </c:pt>
                <c:pt idx="616" formatCode="&quot;$&quot;#,##0.00;[Red]\-&quot;$&quot;#,##0.00">
                  <c:v>27.2</c:v>
                </c:pt>
                <c:pt idx="617">
                  <c:v>14.4</c:v>
                </c:pt>
                <c:pt idx="618" formatCode="&quot;$&quot;#,##0.00;[Red]\-&quot;$&quot;#,##0.00">
                  <c:v>57.6</c:v>
                </c:pt>
                <c:pt idx="619" formatCode="&quot;$&quot;#,##0.00;[Red]\-&quot;$&quot;#,##0.00">
                  <c:v>36</c:v>
                </c:pt>
                <c:pt idx="620" formatCode="&quot;$&quot;#,##0.00;[Red]\-&quot;$&quot;#,##0.00">
                  <c:v>50.4</c:v>
                </c:pt>
                <c:pt idx="621">
                  <c:v>28.8</c:v>
                </c:pt>
                <c:pt idx="622" formatCode="&quot;$&quot;#,##0.00;[Red]\-&quot;$&quot;#,##0.00">
                  <c:v>97.28</c:v>
                </c:pt>
                <c:pt idx="623">
                  <c:v>14.4</c:v>
                </c:pt>
                <c:pt idx="624">
                  <c:v>9</c:v>
                </c:pt>
                <c:pt idx="625">
                  <c:v>18</c:v>
                </c:pt>
                <c:pt idx="626" formatCode="&quot;$&quot;#,##0.00;[Red]\-&quot;$&quot;#,##0.00">
                  <c:v>36</c:v>
                </c:pt>
                <c:pt idx="627" formatCode="&quot;$&quot;#,##0.00;[Red]\-&quot;$&quot;#,##0.00">
                  <c:v>56.32</c:v>
                </c:pt>
                <c:pt idx="628">
                  <c:v>28.8</c:v>
                </c:pt>
                <c:pt idx="629" formatCode="&quot;$&quot;#,##0.00;[Red]\-&quot;$&quot;#,##0.00">
                  <c:v>36.799999999999997</c:v>
                </c:pt>
                <c:pt idx="630" formatCode="&quot;$&quot;#,##0.00;[Red]\-&quot;$&quot;#,##0.00">
                  <c:v>22</c:v>
                </c:pt>
                <c:pt idx="631">
                  <c:v>18</c:v>
                </c:pt>
                <c:pt idx="632" formatCode="&quot;$&quot;#,##0.00;[Red]\-&quot;$&quot;#,##0.00">
                  <c:v>38.72</c:v>
                </c:pt>
                <c:pt idx="633" formatCode="&quot;$&quot;#,##0.00;[Red]\-&quot;$&quot;#,##0.00">
                  <c:v>28.8</c:v>
                </c:pt>
                <c:pt idx="634" formatCode="&quot;$&quot;#,##0.00;[Red]\-&quot;$&quot;#,##0.00">
                  <c:v>35.200000000000003</c:v>
                </c:pt>
                <c:pt idx="635">
                  <c:v>43.2</c:v>
                </c:pt>
                <c:pt idx="636" formatCode="&quot;$&quot;#,##0.00;[Red]\-&quot;$&quot;#,##0.00">
                  <c:v>48</c:v>
                </c:pt>
                <c:pt idx="637" formatCode="&quot;$&quot;#,##0.00;[Red]\-&quot;$&quot;#,##0.00">
                  <c:v>28.8</c:v>
                </c:pt>
                <c:pt idx="638">
                  <c:v>14.4</c:v>
                </c:pt>
                <c:pt idx="639">
                  <c:v>28.8</c:v>
                </c:pt>
                <c:pt idx="640">
                  <c:v>50.4</c:v>
                </c:pt>
                <c:pt idx="641">
                  <c:v>54</c:v>
                </c:pt>
                <c:pt idx="642">
                  <c:v>28.8</c:v>
                </c:pt>
                <c:pt idx="643" formatCode="&quot;$&quot;#,##0.00;[Red]\-&quot;$&quot;#,##0.00">
                  <c:v>43.2</c:v>
                </c:pt>
                <c:pt idx="644">
                  <c:v>34.4</c:v>
                </c:pt>
                <c:pt idx="645" formatCode="&quot;$&quot;#,##0.00;[Red]\-&quot;$&quot;#,##0.00">
                  <c:v>56.32</c:v>
                </c:pt>
                <c:pt idx="646" formatCode="&quot;$&quot;#,##0.00;[Red]\-&quot;$&quot;#,##0.00">
                  <c:v>72</c:v>
                </c:pt>
                <c:pt idx="647" formatCode="&quot;$&quot;#,##0.00;[Red]\-&quot;$&quot;#,##0.00">
                  <c:v>18</c:v>
                </c:pt>
                <c:pt idx="648" formatCode="&quot;$&quot;#,##0.00;[Red]\-&quot;$&quot;#,##0.00">
                  <c:v>18</c:v>
                </c:pt>
                <c:pt idx="649">
                  <c:v>9</c:v>
                </c:pt>
                <c:pt idx="650" formatCode="&quot;$&quot;#,##0.00;[Red]\-&quot;$&quot;#,##0.00">
                  <c:v>267.3</c:v>
                </c:pt>
                <c:pt idx="651">
                  <c:v>28.8</c:v>
                </c:pt>
                <c:pt idx="652" formatCode="&quot;$&quot;#,##0.00;[Red]\-&quot;$&quot;#,##0.00">
                  <c:v>29.92</c:v>
                </c:pt>
                <c:pt idx="653">
                  <c:v>30.6</c:v>
                </c:pt>
                <c:pt idx="654" formatCode="&quot;$&quot;#,##0.00;[Red]\-&quot;$&quot;#,##0.00">
                  <c:v>35.200000000000003</c:v>
                </c:pt>
                <c:pt idx="655">
                  <c:v>18</c:v>
                </c:pt>
                <c:pt idx="656" formatCode="&quot;$&quot;#,##0.00;[Red]\-&quot;$&quot;#,##0.00">
                  <c:v>28.8</c:v>
                </c:pt>
                <c:pt idx="657">
                  <c:v>56</c:v>
                </c:pt>
                <c:pt idx="658">
                  <c:v>57.6</c:v>
                </c:pt>
                <c:pt idx="659">
                  <c:v>57.6</c:v>
                </c:pt>
                <c:pt idx="660" formatCode="&quot;$&quot;#,##0.00;[Red]\-&quot;$&quot;#,##0.00">
                  <c:v>38.72</c:v>
                </c:pt>
                <c:pt idx="661">
                  <c:v>28.8</c:v>
                </c:pt>
                <c:pt idx="662">
                  <c:v>28.8</c:v>
                </c:pt>
                <c:pt idx="663">
                  <c:v>45</c:v>
                </c:pt>
                <c:pt idx="664">
                  <c:v>57.6</c:v>
                </c:pt>
                <c:pt idx="665">
                  <c:v>36</c:v>
                </c:pt>
                <c:pt idx="666" formatCode="&quot;$&quot;#,##0.00;[Red]\-&quot;$&quot;#,##0.00">
                  <c:v>28.8</c:v>
                </c:pt>
                <c:pt idx="667">
                  <c:v>28.8</c:v>
                </c:pt>
                <c:pt idx="668">
                  <c:v>14.4</c:v>
                </c:pt>
                <c:pt idx="669" formatCode="&quot;$&quot;#,##0.00;[Red]\-&quot;$&quot;#,##0.00">
                  <c:v>28.8</c:v>
                </c:pt>
                <c:pt idx="670">
                  <c:v>27</c:v>
                </c:pt>
                <c:pt idx="671">
                  <c:v>36</c:v>
                </c:pt>
                <c:pt idx="672">
                  <c:v>28.8</c:v>
                </c:pt>
                <c:pt idx="673" formatCode="&quot;$&quot;#,##0.00;[Red]\-&quot;$&quot;#,##0.00">
                  <c:v>86.4</c:v>
                </c:pt>
                <c:pt idx="674">
                  <c:v>28.8</c:v>
                </c:pt>
                <c:pt idx="675">
                  <c:v>28.8</c:v>
                </c:pt>
                <c:pt idx="676">
                  <c:v>27</c:v>
                </c:pt>
                <c:pt idx="677" formatCode="&quot;$&quot;#,##0.00;[Red]\-&quot;$&quot;#,##0.00">
                  <c:v>13</c:v>
                </c:pt>
                <c:pt idx="678">
                  <c:v>28.8</c:v>
                </c:pt>
                <c:pt idx="679" formatCode="&quot;$&quot;#,##0.00;[Red]\-&quot;$&quot;#,##0.00">
                  <c:v>12</c:v>
                </c:pt>
                <c:pt idx="680">
                  <c:v>28.8</c:v>
                </c:pt>
                <c:pt idx="681">
                  <c:v>14.4</c:v>
                </c:pt>
                <c:pt idx="682">
                  <c:v>43.2</c:v>
                </c:pt>
                <c:pt idx="683" formatCode="&quot;$&quot;#,##0.00;[Red]\-&quot;$&quot;#,##0.00">
                  <c:v>57.6</c:v>
                </c:pt>
                <c:pt idx="684">
                  <c:v>57.6</c:v>
                </c:pt>
                <c:pt idx="685" formatCode="&quot;$&quot;#,##0.00;[Red]\-&quot;$&quot;#,##0.00">
                  <c:v>38.4</c:v>
                </c:pt>
                <c:pt idx="686">
                  <c:v>14.4</c:v>
                </c:pt>
                <c:pt idx="687">
                  <c:v>36</c:v>
                </c:pt>
                <c:pt idx="688" formatCode="&quot;$&quot;#,##0.00;[Red]\-&quot;$&quot;#,##0.00">
                  <c:v>37.4</c:v>
                </c:pt>
                <c:pt idx="689" formatCode="&quot;$&quot;#,##0.00;[Red]\-&quot;$&quot;#,##0.00">
                  <c:v>72</c:v>
                </c:pt>
                <c:pt idx="690">
                  <c:v>59</c:v>
                </c:pt>
                <c:pt idx="691">
                  <c:v>79.2</c:v>
                </c:pt>
                <c:pt idx="692">
                  <c:v>28.8</c:v>
                </c:pt>
                <c:pt idx="693" formatCode="&quot;$&quot;#,##0.00;[Red]\-&quot;$&quot;#,##0.00">
                  <c:v>37.4</c:v>
                </c:pt>
                <c:pt idx="694">
                  <c:v>36</c:v>
                </c:pt>
                <c:pt idx="695">
                  <c:v>9</c:v>
                </c:pt>
                <c:pt idx="696" formatCode="&quot;$&quot;#,##0.00;[Red]\-&quot;$&quot;#,##0.00">
                  <c:v>11</c:v>
                </c:pt>
                <c:pt idx="697">
                  <c:v>18</c:v>
                </c:pt>
                <c:pt idx="698" formatCode="&quot;$&quot;#,##0.00;[Red]\-&quot;$&quot;#,##0.00">
                  <c:v>36</c:v>
                </c:pt>
                <c:pt idx="699" formatCode="&quot;$&quot;#,##0.00;[Red]\-&quot;$&quot;#,##0.00">
                  <c:v>74.400000000000006</c:v>
                </c:pt>
                <c:pt idx="700">
                  <c:v>9</c:v>
                </c:pt>
                <c:pt idx="701">
                  <c:v>72</c:v>
                </c:pt>
                <c:pt idx="702" formatCode="&quot;$&quot;#,##0.00;[Red]\-&quot;$&quot;#,##0.00">
                  <c:v>28.8</c:v>
                </c:pt>
                <c:pt idx="703" formatCode="&quot;$&quot;#,##0.00;[Red]\-&quot;$&quot;#,##0.00">
                  <c:v>38.72</c:v>
                </c:pt>
                <c:pt idx="704">
                  <c:v>57.6</c:v>
                </c:pt>
                <c:pt idx="705" formatCode="&quot;$&quot;#,##0.00;[Red]\-&quot;$&quot;#,##0.00">
                  <c:v>19.2</c:v>
                </c:pt>
                <c:pt idx="706" formatCode="&quot;$&quot;#,##0.00;[Red]\-&quot;$&quot;#,##0.00">
                  <c:v>44</c:v>
                </c:pt>
                <c:pt idx="707" formatCode="&quot;$&quot;#,##0.00;[Red]\-&quot;$&quot;#,##0.00">
                  <c:v>29.92</c:v>
                </c:pt>
                <c:pt idx="708" formatCode="&quot;$&quot;#,##0.00;[Red]\-&quot;$&quot;#,##0.00">
                  <c:v>24.75</c:v>
                </c:pt>
                <c:pt idx="709">
                  <c:v>28.8</c:v>
                </c:pt>
                <c:pt idx="710" formatCode="&quot;$&quot;#,##0.00;[Red]\-&quot;$&quot;#,##0.00">
                  <c:v>38.4</c:v>
                </c:pt>
                <c:pt idx="711">
                  <c:v>43.2</c:v>
                </c:pt>
                <c:pt idx="712" formatCode="&quot;$&quot;#,##0.00;[Red]\-&quot;$&quot;#,##0.00">
                  <c:v>138</c:v>
                </c:pt>
                <c:pt idx="713" formatCode="&quot;$&quot;#,##0.00;[Red]\-&quot;$&quot;#,##0.00">
                  <c:v>28.8</c:v>
                </c:pt>
                <c:pt idx="714">
                  <c:v>28.8</c:v>
                </c:pt>
                <c:pt idx="715" formatCode="&quot;$&quot;#,##0.00;[Red]\-&quot;$&quot;#,##0.00">
                  <c:v>52.8</c:v>
                </c:pt>
                <c:pt idx="716">
                  <c:v>27</c:v>
                </c:pt>
                <c:pt idx="717" formatCode="&quot;$&quot;#,##0.00;[Red]\-&quot;$&quot;#,##0.00">
                  <c:v>56.1</c:v>
                </c:pt>
                <c:pt idx="718" formatCode="&quot;$&quot;#,##0.00;[Red]\-&quot;$&quot;#,##0.00">
                  <c:v>17.600000000000001</c:v>
                </c:pt>
                <c:pt idx="719" formatCode="&quot;$&quot;#,##0.00;[Red]\-&quot;$&quot;#,##0.00">
                  <c:v>35.200000000000003</c:v>
                </c:pt>
                <c:pt idx="720">
                  <c:v>36</c:v>
                </c:pt>
                <c:pt idx="721">
                  <c:v>21.6</c:v>
                </c:pt>
                <c:pt idx="722" formatCode="&quot;$&quot;#,##0.00;[Red]\-&quot;$&quot;#,##0.00">
                  <c:v>28.8</c:v>
                </c:pt>
                <c:pt idx="723">
                  <c:v>18</c:v>
                </c:pt>
                <c:pt idx="724">
                  <c:v>36</c:v>
                </c:pt>
                <c:pt idx="725">
                  <c:v>18</c:v>
                </c:pt>
                <c:pt idx="726">
                  <c:v>36</c:v>
                </c:pt>
                <c:pt idx="727">
                  <c:v>27</c:v>
                </c:pt>
                <c:pt idx="728" formatCode="&quot;$&quot;#,##0.00;[Red]\-&quot;$&quot;#,##0.00">
                  <c:v>56.32</c:v>
                </c:pt>
                <c:pt idx="729" formatCode="&quot;$&quot;#,##0.00;[Red]\-&quot;$&quot;#,##0.00">
                  <c:v>47.52</c:v>
                </c:pt>
                <c:pt idx="730">
                  <c:v>28.8</c:v>
                </c:pt>
                <c:pt idx="731" formatCode="&quot;$&quot;#,##0.00;[Red]\-&quot;$&quot;#,##0.00">
                  <c:v>57.6</c:v>
                </c:pt>
                <c:pt idx="732">
                  <c:v>36</c:v>
                </c:pt>
                <c:pt idx="733">
                  <c:v>18</c:v>
                </c:pt>
                <c:pt idx="734">
                  <c:v>9</c:v>
                </c:pt>
                <c:pt idx="735">
                  <c:v>28.8</c:v>
                </c:pt>
                <c:pt idx="736">
                  <c:v>52.7</c:v>
                </c:pt>
                <c:pt idx="737" formatCode="&quot;$&quot;#,##0.00;[Red]\-&quot;$&quot;#,##0.00">
                  <c:v>72</c:v>
                </c:pt>
                <c:pt idx="738" formatCode="&quot;$&quot;#,##0.00;[Red]\-&quot;$&quot;#,##0.00">
                  <c:v>29.92</c:v>
                </c:pt>
                <c:pt idx="739" formatCode="&quot;$&quot;#,##0.00;[Red]\-&quot;$&quot;#,##0.00">
                  <c:v>60.75</c:v>
                </c:pt>
                <c:pt idx="740">
                  <c:v>28.8</c:v>
                </c:pt>
                <c:pt idx="741">
                  <c:v>72</c:v>
                </c:pt>
                <c:pt idx="742">
                  <c:v>28.8</c:v>
                </c:pt>
                <c:pt idx="743">
                  <c:v>30.6</c:v>
                </c:pt>
                <c:pt idx="744" formatCode="&quot;$&quot;#,##0.00;[Red]\-&quot;$&quot;#,##0.00">
                  <c:v>38.4</c:v>
                </c:pt>
                <c:pt idx="745">
                  <c:v>72</c:v>
                </c:pt>
                <c:pt idx="746" formatCode="&quot;$&quot;#,##0.00;[Red]\-&quot;$&quot;#,##0.00">
                  <c:v>81.599999999999994</c:v>
                </c:pt>
                <c:pt idx="747">
                  <c:v>9</c:v>
                </c:pt>
                <c:pt idx="748" formatCode="&quot;$&quot;#,##0.00;[Red]\-&quot;$&quot;#,##0.00">
                  <c:v>187</c:v>
                </c:pt>
                <c:pt idx="749">
                  <c:v>30.6</c:v>
                </c:pt>
                <c:pt idx="750">
                  <c:v>36</c:v>
                </c:pt>
                <c:pt idx="751" formatCode="&quot;$&quot;#,##0.00;[Red]\-&quot;$&quot;#,##0.00">
                  <c:v>38.4</c:v>
                </c:pt>
                <c:pt idx="752">
                  <c:v>108</c:v>
                </c:pt>
                <c:pt idx="753">
                  <c:v>18</c:v>
                </c:pt>
                <c:pt idx="754">
                  <c:v>36</c:v>
                </c:pt>
                <c:pt idx="755" formatCode="&quot;$&quot;#,##0.00;[Red]\-&quot;$&quot;#,##0.00">
                  <c:v>38.4</c:v>
                </c:pt>
                <c:pt idx="756">
                  <c:v>28.8</c:v>
                </c:pt>
                <c:pt idx="757">
                  <c:v>36</c:v>
                </c:pt>
                <c:pt idx="758">
                  <c:v>115.2</c:v>
                </c:pt>
                <c:pt idx="759" formatCode="&quot;$&quot;#,##0.00;[Red]\-&quot;$&quot;#,##0.00">
                  <c:v>46</c:v>
                </c:pt>
                <c:pt idx="760" formatCode="&quot;$&quot;#,##0.00;[Red]\-&quot;$&quot;#,##0.00">
                  <c:v>28.05</c:v>
                </c:pt>
                <c:pt idx="761">
                  <c:v>57.6</c:v>
                </c:pt>
                <c:pt idx="762" formatCode="&quot;$&quot;#,##0.00;[Red]\-&quot;$&quot;#,##0.00">
                  <c:v>36</c:v>
                </c:pt>
                <c:pt idx="763">
                  <c:v>28.8</c:v>
                </c:pt>
                <c:pt idx="764">
                  <c:v>9</c:v>
                </c:pt>
                <c:pt idx="765" formatCode="&quot;$&quot;#,##0.00;[Red]\-&quot;$&quot;#,##0.00">
                  <c:v>29.92</c:v>
                </c:pt>
                <c:pt idx="766">
                  <c:v>9</c:v>
                </c:pt>
                <c:pt idx="767">
                  <c:v>115.2</c:v>
                </c:pt>
                <c:pt idx="768">
                  <c:v>9</c:v>
                </c:pt>
                <c:pt idx="769" formatCode="&quot;$&quot;#,##0.00;[Red]\-&quot;$&quot;#,##0.00">
                  <c:v>21.6</c:v>
                </c:pt>
                <c:pt idx="770" formatCode="&quot;$&quot;#,##0.00;[Red]\-&quot;$&quot;#,##0.00">
                  <c:v>28.8</c:v>
                </c:pt>
                <c:pt idx="771">
                  <c:v>28.8</c:v>
                </c:pt>
                <c:pt idx="772" formatCode="&quot;$&quot;#,##0.00;[Red]\-&quot;$&quot;#,##0.00">
                  <c:v>86.4</c:v>
                </c:pt>
                <c:pt idx="773" formatCode="&quot;$&quot;#,##0.00;[Red]\-&quot;$&quot;#,##0.00">
                  <c:v>72</c:v>
                </c:pt>
                <c:pt idx="774" formatCode="&quot;$&quot;#,##0.00;[Red]\-&quot;$&quot;#,##0.00">
                  <c:v>28.8</c:v>
                </c:pt>
                <c:pt idx="775">
                  <c:v>9</c:v>
                </c:pt>
                <c:pt idx="776" formatCode="&quot;$&quot;#,##0.00;[Red]\-&quot;$&quot;#,##0.00">
                  <c:v>29.92</c:v>
                </c:pt>
                <c:pt idx="777" formatCode="&quot;$&quot;#,##0.00;[Red]\-&quot;$&quot;#,##0.00">
                  <c:v>36</c:v>
                </c:pt>
                <c:pt idx="778" formatCode="&quot;$&quot;#,##0.00;[Red]\-&quot;$&quot;#,##0.00">
                  <c:v>28.8</c:v>
                </c:pt>
                <c:pt idx="779">
                  <c:v>28.8</c:v>
                </c:pt>
                <c:pt idx="780">
                  <c:v>57.6</c:v>
                </c:pt>
                <c:pt idx="781" formatCode="&quot;$&quot;#,##0.00;[Red]\-&quot;$&quot;#,##0.00">
                  <c:v>29.92</c:v>
                </c:pt>
                <c:pt idx="782">
                  <c:v>57.6</c:v>
                </c:pt>
                <c:pt idx="783">
                  <c:v>14.4</c:v>
                </c:pt>
                <c:pt idx="784">
                  <c:v>57.6</c:v>
                </c:pt>
                <c:pt idx="785" formatCode="&quot;$&quot;#,##0.00;[Red]\-&quot;$&quot;#,##0.00">
                  <c:v>28.8</c:v>
                </c:pt>
                <c:pt idx="786">
                  <c:v>28.8</c:v>
                </c:pt>
                <c:pt idx="787" formatCode="&quot;$&quot;#,##0.00;[Red]\-&quot;$&quot;#,##0.00">
                  <c:v>71.400000000000006</c:v>
                </c:pt>
                <c:pt idx="788" formatCode="&quot;$&quot;#,##0.00;[Red]\-&quot;$&quot;#,##0.00">
                  <c:v>28.8</c:v>
                </c:pt>
                <c:pt idx="789">
                  <c:v>36</c:v>
                </c:pt>
                <c:pt idx="790" formatCode="&quot;$&quot;#,##0.00;[Red]\-&quot;$&quot;#,##0.00">
                  <c:v>29.92</c:v>
                </c:pt>
                <c:pt idx="791" formatCode="&quot;$&quot;#,##0.00;[Red]\-&quot;$&quot;#,##0.00">
                  <c:v>162.80000000000001</c:v>
                </c:pt>
                <c:pt idx="792">
                  <c:v>50.4</c:v>
                </c:pt>
                <c:pt idx="793" formatCode="&quot;$&quot;#,##0.00;[Red]\-&quot;$&quot;#,##0.00">
                  <c:v>29.92</c:v>
                </c:pt>
                <c:pt idx="794">
                  <c:v>28.8</c:v>
                </c:pt>
                <c:pt idx="795">
                  <c:v>27.2</c:v>
                </c:pt>
                <c:pt idx="796" formatCode="&quot;$&quot;#,##0.00;[Red]\-&quot;$&quot;#,##0.00">
                  <c:v>32.64</c:v>
                </c:pt>
                <c:pt idx="797" formatCode="&quot;$&quot;#,##0.00;[Red]\-&quot;$&quot;#,##0.00">
                  <c:v>27</c:v>
                </c:pt>
                <c:pt idx="798">
                  <c:v>9</c:v>
                </c:pt>
                <c:pt idx="799">
                  <c:v>18</c:v>
                </c:pt>
                <c:pt idx="800" formatCode="&quot;$&quot;#,##0.00;[Red]\-&quot;$&quot;#,##0.00">
                  <c:v>22</c:v>
                </c:pt>
                <c:pt idx="801">
                  <c:v>28.8</c:v>
                </c:pt>
                <c:pt idx="802" formatCode="&quot;$&quot;#,##0.00;[Red]\-&quot;$&quot;#,##0.00">
                  <c:v>28.8</c:v>
                </c:pt>
                <c:pt idx="803" formatCode="&quot;$&quot;#,##0.00;[Red]\-&quot;$&quot;#,##0.00">
                  <c:v>28.8</c:v>
                </c:pt>
                <c:pt idx="804">
                  <c:v>28.8</c:v>
                </c:pt>
                <c:pt idx="805">
                  <c:v>9</c:v>
                </c:pt>
                <c:pt idx="806">
                  <c:v>14.4</c:v>
                </c:pt>
                <c:pt idx="807">
                  <c:v>28.8</c:v>
                </c:pt>
                <c:pt idx="808" formatCode="&quot;$&quot;#,##0.00;[Red]\-&quot;$&quot;#,##0.00">
                  <c:v>36</c:v>
                </c:pt>
                <c:pt idx="809" formatCode="&quot;$&quot;#,##0.00;[Red]\-&quot;$&quot;#,##0.00">
                  <c:v>72</c:v>
                </c:pt>
                <c:pt idx="810" formatCode="&quot;$&quot;#,##0.00;[Red]\-&quot;$&quot;#,##0.00">
                  <c:v>44</c:v>
                </c:pt>
                <c:pt idx="811">
                  <c:v>27</c:v>
                </c:pt>
                <c:pt idx="812" formatCode="&quot;$&quot;#,##0.00;[Red]\-&quot;$&quot;#,##0.00">
                  <c:v>22</c:v>
                </c:pt>
                <c:pt idx="813" formatCode="&quot;$&quot;#,##0.00;[Red]\-&quot;$&quot;#,##0.00">
                  <c:v>59.84</c:v>
                </c:pt>
                <c:pt idx="814" formatCode="&quot;$&quot;#,##0.00;[Red]\-&quot;$&quot;#,##0.00">
                  <c:v>54</c:v>
                </c:pt>
                <c:pt idx="815" formatCode="&quot;$&quot;#,##0.00;[Red]\-&quot;$&quot;#,##0.00">
                  <c:v>35.200000000000003</c:v>
                </c:pt>
                <c:pt idx="816">
                  <c:v>28.8</c:v>
                </c:pt>
                <c:pt idx="817">
                  <c:v>57.6</c:v>
                </c:pt>
                <c:pt idx="818">
                  <c:v>18</c:v>
                </c:pt>
                <c:pt idx="819" formatCode="&quot;$&quot;#,##0.00;[Red]\-&quot;$&quot;#,##0.00">
                  <c:v>38.72</c:v>
                </c:pt>
                <c:pt idx="820" formatCode="&quot;$&quot;#,##0.00;[Red]\-&quot;$&quot;#,##0.00">
                  <c:v>33</c:v>
                </c:pt>
                <c:pt idx="821">
                  <c:v>27</c:v>
                </c:pt>
                <c:pt idx="822">
                  <c:v>27.2</c:v>
                </c:pt>
                <c:pt idx="823" formatCode="&quot;$&quot;#,##0.00;[Red]\-&quot;$&quot;#,##0.00">
                  <c:v>108</c:v>
                </c:pt>
                <c:pt idx="824">
                  <c:v>28.8</c:v>
                </c:pt>
                <c:pt idx="825" formatCode="&quot;$&quot;#,##0.00;[Red]\-&quot;$&quot;#,##0.00">
                  <c:v>119.68</c:v>
                </c:pt>
                <c:pt idx="826" formatCode="&quot;$&quot;#,##0.00;[Red]\-&quot;$&quot;#,##0.00">
                  <c:v>22</c:v>
                </c:pt>
                <c:pt idx="827">
                  <c:v>18</c:v>
                </c:pt>
                <c:pt idx="828" formatCode="&quot;$&quot;#,##0.00;[Red]\-&quot;$&quot;#,##0.00">
                  <c:v>51.68</c:v>
                </c:pt>
                <c:pt idx="829">
                  <c:v>28.8</c:v>
                </c:pt>
                <c:pt idx="830" formatCode="&quot;$&quot;#,##0.00;[Red]\-&quot;$&quot;#,##0.00">
                  <c:v>21.6</c:v>
                </c:pt>
                <c:pt idx="831">
                  <c:v>28.8</c:v>
                </c:pt>
                <c:pt idx="832" formatCode="&quot;$&quot;#,##0.00;[Red]\-&quot;$&quot;#,##0.00">
                  <c:v>59.84</c:v>
                </c:pt>
                <c:pt idx="833">
                  <c:v>36</c:v>
                </c:pt>
                <c:pt idx="834">
                  <c:v>28.8</c:v>
                </c:pt>
                <c:pt idx="835" formatCode="&quot;$&quot;#,##0.00;[Red]\-&quot;$&quot;#,##0.00">
                  <c:v>28.8</c:v>
                </c:pt>
                <c:pt idx="836">
                  <c:v>18</c:v>
                </c:pt>
                <c:pt idx="837">
                  <c:v>24</c:v>
                </c:pt>
                <c:pt idx="838" formatCode="&quot;$&quot;#,##0.00;[Red]\-&quot;$&quot;#,##0.00">
                  <c:v>28.8</c:v>
                </c:pt>
                <c:pt idx="839">
                  <c:v>36</c:v>
                </c:pt>
                <c:pt idx="840" formatCode="&quot;$&quot;#,##0.00;[Red]\-&quot;$&quot;#,##0.00">
                  <c:v>37.4</c:v>
                </c:pt>
                <c:pt idx="841" formatCode="&quot;$&quot;#,##0.00;[Red]\-&quot;$&quot;#,##0.00">
                  <c:v>28.8</c:v>
                </c:pt>
                <c:pt idx="842">
                  <c:v>18</c:v>
                </c:pt>
                <c:pt idx="843">
                  <c:v>28.8</c:v>
                </c:pt>
                <c:pt idx="844" formatCode="&quot;$&quot;#,##0.00;[Red]\-&quot;$&quot;#,##0.00">
                  <c:v>11</c:v>
                </c:pt>
                <c:pt idx="845">
                  <c:v>18</c:v>
                </c:pt>
                <c:pt idx="846" formatCode="&quot;$&quot;#,##0.00;[Red]\-&quot;$&quot;#,##0.00">
                  <c:v>59.84</c:v>
                </c:pt>
                <c:pt idx="847" formatCode="&quot;$&quot;#,##0.00;[Red]\-&quot;$&quot;#,##0.00">
                  <c:v>32.64</c:v>
                </c:pt>
                <c:pt idx="848">
                  <c:v>64.8</c:v>
                </c:pt>
                <c:pt idx="849" formatCode="&quot;$&quot;#,##0.00;[Red]\-&quot;$&quot;#,##0.00">
                  <c:v>65.28</c:v>
                </c:pt>
                <c:pt idx="850" formatCode="&quot;$&quot;#,##0.00;[Red]\-&quot;$&quot;#,##0.00">
                  <c:v>22</c:v>
                </c:pt>
                <c:pt idx="851">
                  <c:v>115.2</c:v>
                </c:pt>
                <c:pt idx="852">
                  <c:v>36</c:v>
                </c:pt>
                <c:pt idx="853" formatCode="&quot;$&quot;#,##0.00;[Red]\-&quot;$&quot;#,##0.00">
                  <c:v>6.75</c:v>
                </c:pt>
                <c:pt idx="854" formatCode="&quot;$&quot;#,##0.00;[Red]\-&quot;$&quot;#,##0.00">
                  <c:v>29.92</c:v>
                </c:pt>
                <c:pt idx="855" formatCode="&quot;$&quot;#,##0.00;[Red]\-&quot;$&quot;#,##0.00">
                  <c:v>35.200000000000003</c:v>
                </c:pt>
                <c:pt idx="856" formatCode="&quot;$&quot;#,##0.00;[Red]\-&quot;$&quot;#,##0.00">
                  <c:v>89.76</c:v>
                </c:pt>
                <c:pt idx="857" formatCode="&quot;$&quot;#,##0.00;[Red]\-&quot;$&quot;#,##0.00">
                  <c:v>36</c:v>
                </c:pt>
                <c:pt idx="858" formatCode="&quot;$&quot;#,##0.00;[Red]\-&quot;$&quot;#,##0.00">
                  <c:v>168.96</c:v>
                </c:pt>
                <c:pt idx="859" formatCode="&quot;$&quot;#,##0.00;[Red]\-&quot;$&quot;#,##0.00">
                  <c:v>79</c:v>
                </c:pt>
                <c:pt idx="860">
                  <c:v>144</c:v>
                </c:pt>
                <c:pt idx="861">
                  <c:v>43.2</c:v>
                </c:pt>
                <c:pt idx="862">
                  <c:v>28.8</c:v>
                </c:pt>
                <c:pt idx="863" formatCode="&quot;$&quot;#,##0.00;[Red]\-&quot;$&quot;#,##0.00">
                  <c:v>22</c:v>
                </c:pt>
                <c:pt idx="864">
                  <c:v>45</c:v>
                </c:pt>
                <c:pt idx="865">
                  <c:v>115.2</c:v>
                </c:pt>
                <c:pt idx="866" formatCode="&quot;$&quot;#,##0.00;[Red]\-&quot;$&quot;#,##0.00">
                  <c:v>28.05</c:v>
                </c:pt>
                <c:pt idx="867" formatCode="&quot;$&quot;#,##0.00;[Red]\-&quot;$&quot;#,##0.00">
                  <c:v>70.400000000000006</c:v>
                </c:pt>
                <c:pt idx="868" formatCode="&quot;$&quot;#,##0.00;[Red]\-&quot;$&quot;#,##0.00">
                  <c:v>52.8</c:v>
                </c:pt>
                <c:pt idx="869" formatCode="&quot;$&quot;#,##0.00;[Red]\-&quot;$&quot;#,##0.00">
                  <c:v>21</c:v>
                </c:pt>
                <c:pt idx="870" formatCode="&quot;$&quot;#,##0.00;[Red]\-&quot;$&quot;#,##0.00">
                  <c:v>28.8</c:v>
                </c:pt>
                <c:pt idx="871">
                  <c:v>28.8</c:v>
                </c:pt>
                <c:pt idx="872">
                  <c:v>28.8</c:v>
                </c:pt>
                <c:pt idx="873" formatCode="&quot;$&quot;#,##0.00;[Red]\-&quot;$&quot;#,##0.00">
                  <c:v>36</c:v>
                </c:pt>
                <c:pt idx="874">
                  <c:v>36</c:v>
                </c:pt>
                <c:pt idx="875" formatCode="&quot;$&quot;#,##0.00;[Red]\-&quot;$&quot;#,##0.00">
                  <c:v>14.4</c:v>
                </c:pt>
                <c:pt idx="876">
                  <c:v>115.2</c:v>
                </c:pt>
                <c:pt idx="877" formatCode="&quot;$&quot;#,##0.00;[Red]\-&quot;$&quot;#,##0.00">
                  <c:v>50.4</c:v>
                </c:pt>
                <c:pt idx="878">
                  <c:v>45.9</c:v>
                </c:pt>
                <c:pt idx="879" formatCode="&quot;$&quot;#,##0.00;[Red]\-&quot;$&quot;#,##0.00">
                  <c:v>29.92</c:v>
                </c:pt>
                <c:pt idx="880" formatCode="&quot;$&quot;#,##0.00;[Red]\-&quot;$&quot;#,##0.00">
                  <c:v>29.92</c:v>
                </c:pt>
                <c:pt idx="881" formatCode="&quot;$&quot;#,##0.00;[Red]\-&quot;$&quot;#,##0.00">
                  <c:v>28.8</c:v>
                </c:pt>
                <c:pt idx="882" formatCode="&quot;$&quot;#,##0.00;[Red]\-&quot;$&quot;#,##0.00">
                  <c:v>59.84</c:v>
                </c:pt>
                <c:pt idx="883" formatCode="&quot;$&quot;#,##0.00;[Red]\-&quot;$&quot;#,##0.00">
                  <c:v>28.8</c:v>
                </c:pt>
                <c:pt idx="884">
                  <c:v>28.8</c:v>
                </c:pt>
                <c:pt idx="885">
                  <c:v>72</c:v>
                </c:pt>
                <c:pt idx="886" formatCode="&quot;$&quot;#,##0.00;[Red]\-&quot;$&quot;#,##0.00">
                  <c:v>14.4</c:v>
                </c:pt>
                <c:pt idx="887" formatCode="&quot;$&quot;#,##0.00;[Red]\-&quot;$&quot;#,##0.00">
                  <c:v>67.2</c:v>
                </c:pt>
                <c:pt idx="888" formatCode="&quot;$&quot;#,##0.00;[Red]\-&quot;$&quot;#,##0.00">
                  <c:v>18</c:v>
                </c:pt>
                <c:pt idx="889">
                  <c:v>28.8</c:v>
                </c:pt>
                <c:pt idx="890" formatCode="&quot;$&quot;#,##0.00;[Red]\-&quot;$&quot;#,##0.00">
                  <c:v>72</c:v>
                </c:pt>
                <c:pt idx="891" formatCode="&quot;$&quot;#,##0.00;[Red]\-&quot;$&quot;#,##0.00">
                  <c:v>29.92</c:v>
                </c:pt>
                <c:pt idx="892">
                  <c:v>36</c:v>
                </c:pt>
                <c:pt idx="893" formatCode="&quot;$&quot;#,##0.00;[Red]\-&quot;$&quot;#,##0.00">
                  <c:v>86.24</c:v>
                </c:pt>
                <c:pt idx="894">
                  <c:v>40.799999999999997</c:v>
                </c:pt>
                <c:pt idx="895">
                  <c:v>14.4</c:v>
                </c:pt>
                <c:pt idx="896">
                  <c:v>28.8</c:v>
                </c:pt>
                <c:pt idx="897" formatCode="&quot;$&quot;#,##0.00;[Red]\-&quot;$&quot;#,##0.00">
                  <c:v>57.6</c:v>
                </c:pt>
                <c:pt idx="898">
                  <c:v>88</c:v>
                </c:pt>
                <c:pt idx="899">
                  <c:v>42.4</c:v>
                </c:pt>
                <c:pt idx="900">
                  <c:v>57.6</c:v>
                </c:pt>
                <c:pt idx="901">
                  <c:v>14.4</c:v>
                </c:pt>
                <c:pt idx="902">
                  <c:v>57.6</c:v>
                </c:pt>
                <c:pt idx="903" formatCode="&quot;$&quot;#,##0.00;[Red]\-&quot;$&quot;#,##0.00">
                  <c:v>28.8</c:v>
                </c:pt>
                <c:pt idx="904" formatCode="&quot;$&quot;#,##0.00;[Red]\-&quot;$&quot;#,##0.00">
                  <c:v>18</c:v>
                </c:pt>
                <c:pt idx="905" formatCode="&quot;$&quot;#,##0.00;[Red]\-&quot;$&quot;#,##0.00">
                  <c:v>36</c:v>
                </c:pt>
                <c:pt idx="906" formatCode="&quot;$&quot;#,##0.00;[Red]\-&quot;$&quot;#,##0.00">
                  <c:v>115.2</c:v>
                </c:pt>
                <c:pt idx="907" formatCode="&quot;$&quot;#,##0.00;[Red]\-&quot;$&quot;#,##0.00">
                  <c:v>28.8</c:v>
                </c:pt>
                <c:pt idx="908" formatCode="&quot;$&quot;#,##0.00;[Red]\-&quot;$&quot;#,##0.00">
                  <c:v>29.92</c:v>
                </c:pt>
                <c:pt idx="909" formatCode="&quot;$&quot;#,##0.00;[Red]\-&quot;$&quot;#,##0.00">
                  <c:v>14.4</c:v>
                </c:pt>
                <c:pt idx="910">
                  <c:v>28.8</c:v>
                </c:pt>
                <c:pt idx="911" formatCode="&quot;$&quot;#,##0.00;[Red]\-&quot;$&quot;#,##0.00">
                  <c:v>18</c:v>
                </c:pt>
                <c:pt idx="912">
                  <c:v>18</c:v>
                </c:pt>
                <c:pt idx="913">
                  <c:v>9</c:v>
                </c:pt>
                <c:pt idx="914" formatCode="&quot;$&quot;#,##0.00;[Red]\-&quot;$&quot;#,##0.00">
                  <c:v>28.8</c:v>
                </c:pt>
                <c:pt idx="915" formatCode="&quot;$&quot;#,##0.00;[Red]\-&quot;$&quot;#,##0.00">
                  <c:v>39.6</c:v>
                </c:pt>
                <c:pt idx="916">
                  <c:v>28.8</c:v>
                </c:pt>
                <c:pt idx="917">
                  <c:v>28.8</c:v>
                </c:pt>
                <c:pt idx="918" formatCode="&quot;$&quot;#,##0.00;[Red]\-&quot;$&quot;#,##0.00">
                  <c:v>28.8</c:v>
                </c:pt>
                <c:pt idx="919" formatCode="&quot;$&quot;#,##0.00;[Red]\-&quot;$&quot;#,##0.00">
                  <c:v>43.2</c:v>
                </c:pt>
                <c:pt idx="920" formatCode="&quot;$&quot;#,##0.00;[Red]\-&quot;$&quot;#,##0.00">
                  <c:v>28.8</c:v>
                </c:pt>
                <c:pt idx="921">
                  <c:v>28.8</c:v>
                </c:pt>
                <c:pt idx="922" formatCode="&quot;$&quot;#,##0.00;[Red]\-&quot;$&quot;#,##0.00">
                  <c:v>23.04</c:v>
                </c:pt>
                <c:pt idx="923">
                  <c:v>20.8</c:v>
                </c:pt>
                <c:pt idx="924" formatCode="&quot;$&quot;#,##0.00;[Red]\-&quot;$&quot;#,##0.00">
                  <c:v>28.8</c:v>
                </c:pt>
                <c:pt idx="925">
                  <c:v>28.8</c:v>
                </c:pt>
                <c:pt idx="926" formatCode="&quot;$&quot;#,##0.00;[Red]\-&quot;$&quot;#,##0.00">
                  <c:v>28.05</c:v>
                </c:pt>
                <c:pt idx="927" formatCode="&quot;$&quot;#,##0.00;[Red]\-&quot;$&quot;#,##0.00">
                  <c:v>56.32</c:v>
                </c:pt>
                <c:pt idx="928">
                  <c:v>30.6</c:v>
                </c:pt>
                <c:pt idx="929">
                  <c:v>9</c:v>
                </c:pt>
                <c:pt idx="930">
                  <c:v>28.8</c:v>
                </c:pt>
                <c:pt idx="931">
                  <c:v>18</c:v>
                </c:pt>
                <c:pt idx="932" formatCode="&quot;$&quot;#,##0.00;[Red]\-&quot;$&quot;#,##0.00">
                  <c:v>28.8</c:v>
                </c:pt>
                <c:pt idx="933" formatCode="&quot;$&quot;#,##0.00;[Red]\-&quot;$&quot;#,##0.00">
                  <c:v>72</c:v>
                </c:pt>
                <c:pt idx="934" formatCode="&quot;$&quot;#,##0.00;[Red]\-&quot;$&quot;#,##0.00">
                  <c:v>45</c:v>
                </c:pt>
                <c:pt idx="935" formatCode="&quot;$&quot;#,##0.00;[Red]\-&quot;$&quot;#,##0.00">
                  <c:v>32.64</c:v>
                </c:pt>
                <c:pt idx="936" formatCode="&quot;$&quot;#,##0.00;[Red]\-&quot;$&quot;#,##0.00">
                  <c:v>29.92</c:v>
                </c:pt>
                <c:pt idx="937">
                  <c:v>9</c:v>
                </c:pt>
                <c:pt idx="938">
                  <c:v>18</c:v>
                </c:pt>
                <c:pt idx="939">
                  <c:v>28.8</c:v>
                </c:pt>
                <c:pt idx="940" formatCode="&quot;$&quot;#,##0.00;[Red]\-&quot;$&quot;#,##0.00">
                  <c:v>38.72</c:v>
                </c:pt>
                <c:pt idx="941" formatCode="&quot;$&quot;#,##0.00;[Red]\-&quot;$&quot;#,##0.00">
                  <c:v>32.64</c:v>
                </c:pt>
                <c:pt idx="942" formatCode="&quot;$&quot;#,##0.00;[Red]\-&quot;$&quot;#,##0.00">
                  <c:v>37.4</c:v>
                </c:pt>
                <c:pt idx="943">
                  <c:v>28.8</c:v>
                </c:pt>
                <c:pt idx="944" formatCode="&quot;$&quot;#,##0.00;[Red]\-&quot;$&quot;#,##0.00">
                  <c:v>21.76</c:v>
                </c:pt>
                <c:pt idx="945" formatCode="&quot;$&quot;#,##0.00;[Red]\-&quot;$&quot;#,##0.00">
                  <c:v>29.92</c:v>
                </c:pt>
                <c:pt idx="946" formatCode="&quot;$&quot;#,##0.00;[Red]\-&quot;$&quot;#,##0.00">
                  <c:v>18</c:v>
                </c:pt>
                <c:pt idx="947" formatCode="&quot;$&quot;#,##0.00;[Red]\-&quot;$&quot;#,##0.00">
                  <c:v>17.600000000000001</c:v>
                </c:pt>
                <c:pt idx="948">
                  <c:v>28.8</c:v>
                </c:pt>
                <c:pt idx="949" formatCode="&quot;$&quot;#,##0.00;[Red]\-&quot;$&quot;#,##0.00">
                  <c:v>28.8</c:v>
                </c:pt>
                <c:pt idx="950">
                  <c:v>43.2</c:v>
                </c:pt>
                <c:pt idx="951">
                  <c:v>72</c:v>
                </c:pt>
                <c:pt idx="952" formatCode="&quot;$&quot;#,##0.00;[Red]\-&quot;$&quot;#,##0.00">
                  <c:v>22</c:v>
                </c:pt>
                <c:pt idx="953" formatCode="&quot;$&quot;#,##0.00;[Red]\-&quot;$&quot;#,##0.00">
                  <c:v>56.32</c:v>
                </c:pt>
                <c:pt idx="954" formatCode="&quot;$&quot;#,##0.00;[Red]\-&quot;$&quot;#,##0.00">
                  <c:v>31.2</c:v>
                </c:pt>
                <c:pt idx="955">
                  <c:v>57.6</c:v>
                </c:pt>
                <c:pt idx="956">
                  <c:v>61.2</c:v>
                </c:pt>
                <c:pt idx="957" formatCode="&quot;$&quot;#,##0.00;[Red]\-&quot;$&quot;#,##0.00">
                  <c:v>35.200000000000003</c:v>
                </c:pt>
                <c:pt idx="958">
                  <c:v>52.8</c:v>
                </c:pt>
                <c:pt idx="959">
                  <c:v>28.8</c:v>
                </c:pt>
                <c:pt idx="960" formatCode="&quot;$&quot;#,##0.00;[Red]\-&quot;$&quot;#,##0.00">
                  <c:v>43.2</c:v>
                </c:pt>
                <c:pt idx="961" formatCode="&quot;$&quot;#,##0.00;[Red]\-&quot;$&quot;#,##0.00">
                  <c:v>124.8</c:v>
                </c:pt>
                <c:pt idx="962">
                  <c:v>9</c:v>
                </c:pt>
                <c:pt idx="963" formatCode="&quot;$&quot;#,##0.00;[Red]\-&quot;$&quot;#,##0.00">
                  <c:v>56.32</c:v>
                </c:pt>
                <c:pt idx="964">
                  <c:v>18</c:v>
                </c:pt>
                <c:pt idx="965" formatCode="&quot;$&quot;#,##0.00;[Red]\-&quot;$&quot;#,##0.00">
                  <c:v>20.25</c:v>
                </c:pt>
                <c:pt idx="966">
                  <c:v>18</c:v>
                </c:pt>
                <c:pt idx="967">
                  <c:v>57.6</c:v>
                </c:pt>
                <c:pt idx="968">
                  <c:v>27</c:v>
                </c:pt>
                <c:pt idx="969" formatCode="&quot;$&quot;#,##0.00;[Red]\-&quot;$&quot;#,##0.00">
                  <c:v>16.5</c:v>
                </c:pt>
                <c:pt idx="970" formatCode="&quot;$&quot;#,##0.00;[Red]\-&quot;$&quot;#,##0.00">
                  <c:v>56.32</c:v>
                </c:pt>
                <c:pt idx="971" formatCode="&quot;$&quot;#,##0.00;[Red]\-&quot;$&quot;#,##0.00">
                  <c:v>29.92</c:v>
                </c:pt>
                <c:pt idx="972" formatCode="&quot;$&quot;#,##0.00;[Red]\-&quot;$&quot;#,##0.00">
                  <c:v>133.65</c:v>
                </c:pt>
                <c:pt idx="973">
                  <c:v>28.8</c:v>
                </c:pt>
                <c:pt idx="974">
                  <c:v>28.8</c:v>
                </c:pt>
                <c:pt idx="975">
                  <c:v>57.6</c:v>
                </c:pt>
                <c:pt idx="976" formatCode="&quot;$&quot;#,##0.00;[Red]\-&quot;$&quot;#,##0.00">
                  <c:v>27</c:v>
                </c:pt>
                <c:pt idx="977" formatCode="&quot;$&quot;#,##0.00;[Red]\-&quot;$&quot;#,##0.00">
                  <c:v>35.200000000000003</c:v>
                </c:pt>
                <c:pt idx="978" formatCode="&quot;$&quot;#,##0.00;[Red]\-&quot;$&quot;#,##0.00">
                  <c:v>28.8</c:v>
                </c:pt>
                <c:pt idx="979" formatCode="&quot;$&quot;#,##0.00;[Red]\-&quot;$&quot;#,##0.00">
                  <c:v>57.6</c:v>
                </c:pt>
                <c:pt idx="980">
                  <c:v>18</c:v>
                </c:pt>
                <c:pt idx="981" formatCode="&quot;$&quot;#,##0.00;[Red]\-&quot;$&quot;#,##0.00">
                  <c:v>27.2</c:v>
                </c:pt>
                <c:pt idx="982">
                  <c:v>28.8</c:v>
                </c:pt>
                <c:pt idx="983" formatCode="&quot;$&quot;#,##0.00;[Red]\-&quot;$&quot;#,##0.00">
                  <c:v>28.8</c:v>
                </c:pt>
                <c:pt idx="984" formatCode="&quot;$&quot;#,##0.00;[Red]\-&quot;$&quot;#,##0.00">
                  <c:v>28.8</c:v>
                </c:pt>
                <c:pt idx="985" formatCode="&quot;$&quot;#,##0.00;[Red]\-&quot;$&quot;#,##0.00">
                  <c:v>29.92</c:v>
                </c:pt>
                <c:pt idx="986" formatCode="&quot;$&quot;#,##0.00;[Red]\-&quot;$&quot;#,##0.00">
                  <c:v>18</c:v>
                </c:pt>
                <c:pt idx="987">
                  <c:v>28.8</c:v>
                </c:pt>
                <c:pt idx="988">
                  <c:v>43.2</c:v>
                </c:pt>
                <c:pt idx="989">
                  <c:v>36</c:v>
                </c:pt>
                <c:pt idx="990" formatCode="&quot;$&quot;#,##0.00;[Red]\-&quot;$&quot;#,##0.00">
                  <c:v>9</c:v>
                </c:pt>
                <c:pt idx="991">
                  <c:v>21.6</c:v>
                </c:pt>
                <c:pt idx="992" formatCode="&quot;$&quot;#,##0.00;[Red]\-&quot;$&quot;#,##0.00">
                  <c:v>50.24</c:v>
                </c:pt>
                <c:pt idx="993" formatCode="&quot;$&quot;#,##0.00;[Red]\-&quot;$&quot;#,##0.00">
                  <c:v>57.6</c:v>
                </c:pt>
                <c:pt idx="994">
                  <c:v>27</c:v>
                </c:pt>
                <c:pt idx="995">
                  <c:v>21.6</c:v>
                </c:pt>
                <c:pt idx="996" formatCode="&quot;$&quot;#,##0.00;[Red]\-&quot;$&quot;#,##0.00">
                  <c:v>56.32</c:v>
                </c:pt>
                <c:pt idx="997">
                  <c:v>43.2</c:v>
                </c:pt>
                <c:pt idx="998">
                  <c:v>36</c:v>
                </c:pt>
                <c:pt idx="999">
                  <c:v>28.8</c:v>
                </c:pt>
                <c:pt idx="1000">
                  <c:v>72</c:v>
                </c:pt>
                <c:pt idx="1001" formatCode="&quot;$&quot;#,##0.00;[Red]\-&quot;$&quot;#,##0.00">
                  <c:v>29.92</c:v>
                </c:pt>
                <c:pt idx="1002">
                  <c:v>36</c:v>
                </c:pt>
                <c:pt idx="1003" formatCode="&quot;$&quot;#,##0.00;[Red]\-&quot;$&quot;#,##0.00">
                  <c:v>27</c:v>
                </c:pt>
                <c:pt idx="1004" formatCode="&quot;$&quot;#,##0.00;[Red]\-&quot;$&quot;#,##0.00">
                  <c:v>14.4</c:v>
                </c:pt>
                <c:pt idx="1005">
                  <c:v>27</c:v>
                </c:pt>
                <c:pt idx="1006">
                  <c:v>21.6</c:v>
                </c:pt>
                <c:pt idx="1007">
                  <c:v>49.99</c:v>
                </c:pt>
                <c:pt idx="1008">
                  <c:v>9</c:v>
                </c:pt>
                <c:pt idx="1009" formatCode="&quot;$&quot;#,##0.00;[Red]\-&quot;$&quot;#,##0.00">
                  <c:v>44</c:v>
                </c:pt>
                <c:pt idx="1010" formatCode="&quot;$&quot;#,##0.00;[Red]\-&quot;$&quot;#,##0.00">
                  <c:v>33</c:v>
                </c:pt>
                <c:pt idx="1011">
                  <c:v>30.6</c:v>
                </c:pt>
                <c:pt idx="1012">
                  <c:v>43.2</c:v>
                </c:pt>
                <c:pt idx="1013" formatCode="&quot;$&quot;#,##0.00;[Red]\-&quot;$&quot;#,##0.00">
                  <c:v>28.8</c:v>
                </c:pt>
                <c:pt idx="1014">
                  <c:v>27</c:v>
                </c:pt>
                <c:pt idx="1015">
                  <c:v>57.6</c:v>
                </c:pt>
                <c:pt idx="1016">
                  <c:v>30.6</c:v>
                </c:pt>
                <c:pt idx="1017" formatCode="&quot;$&quot;#,##0.00;[Red]\-&quot;$&quot;#,##0.00">
                  <c:v>57.6</c:v>
                </c:pt>
                <c:pt idx="1018" formatCode="&quot;$&quot;#,##0.00;[Red]\-&quot;$&quot;#,##0.00">
                  <c:v>32.64</c:v>
                </c:pt>
                <c:pt idx="1019" formatCode="&quot;$&quot;#,##0.00;[Red]\-&quot;$&quot;#,##0.00">
                  <c:v>18</c:v>
                </c:pt>
                <c:pt idx="1020">
                  <c:v>9</c:v>
                </c:pt>
                <c:pt idx="1021">
                  <c:v>43.2</c:v>
                </c:pt>
                <c:pt idx="1022">
                  <c:v>8</c:v>
                </c:pt>
                <c:pt idx="1023">
                  <c:v>36</c:v>
                </c:pt>
                <c:pt idx="1024" formatCode="&quot;$&quot;#,##0.00;[Red]\-&quot;$&quot;#,##0.00">
                  <c:v>76.8</c:v>
                </c:pt>
                <c:pt idx="1025">
                  <c:v>30.6</c:v>
                </c:pt>
                <c:pt idx="1026" formatCode="&quot;$&quot;#,##0.00;[Red]\-&quot;$&quot;#,##0.00">
                  <c:v>28.05</c:v>
                </c:pt>
                <c:pt idx="1027" formatCode="&quot;$&quot;#,##0.00;[Red]\-&quot;$&quot;#,##0.00">
                  <c:v>18</c:v>
                </c:pt>
                <c:pt idx="1028" formatCode="&quot;$&quot;#,##0.00;[Red]\-&quot;$&quot;#,##0.00">
                  <c:v>56.32</c:v>
                </c:pt>
                <c:pt idx="1029" formatCode="&quot;$&quot;#,##0.00;[Red]\-&quot;$&quot;#,##0.00">
                  <c:v>9</c:v>
                </c:pt>
                <c:pt idx="1030">
                  <c:v>28.8</c:v>
                </c:pt>
                <c:pt idx="1031" formatCode="&quot;$&quot;#,##0.00;[Red]\-&quot;$&quot;#,##0.00">
                  <c:v>16</c:v>
                </c:pt>
                <c:pt idx="1032">
                  <c:v>18</c:v>
                </c:pt>
                <c:pt idx="1033">
                  <c:v>36</c:v>
                </c:pt>
                <c:pt idx="1034" formatCode="&quot;$&quot;#,##0.00;[Red]\-&quot;$&quot;#,##0.00">
                  <c:v>186.88</c:v>
                </c:pt>
                <c:pt idx="1035" formatCode="&quot;$&quot;#,##0.00;[Red]\-&quot;$&quot;#,##0.00">
                  <c:v>29.92</c:v>
                </c:pt>
                <c:pt idx="1036" formatCode="&quot;$&quot;#,##0.00;[Red]\-&quot;$&quot;#,##0.00">
                  <c:v>36</c:v>
                </c:pt>
                <c:pt idx="1037" formatCode="&quot;$&quot;#,##0.00;[Red]\-&quot;$&quot;#,##0.00">
                  <c:v>59.84</c:v>
                </c:pt>
                <c:pt idx="1038" formatCode="&quot;$&quot;#,##0.00;[Red]\-&quot;$&quot;#,##0.00">
                  <c:v>36</c:v>
                </c:pt>
                <c:pt idx="1039">
                  <c:v>28.8</c:v>
                </c:pt>
                <c:pt idx="1040">
                  <c:v>57.6</c:v>
                </c:pt>
                <c:pt idx="1041" formatCode="&quot;$&quot;#,##0.00;[Red]\-&quot;$&quot;#,##0.00">
                  <c:v>37.4</c:v>
                </c:pt>
                <c:pt idx="1042" formatCode="&quot;$&quot;#,##0.00;[Red]\-&quot;$&quot;#,##0.00">
                  <c:v>28.8</c:v>
                </c:pt>
                <c:pt idx="1043">
                  <c:v>14.4</c:v>
                </c:pt>
                <c:pt idx="1044">
                  <c:v>63</c:v>
                </c:pt>
                <c:pt idx="1045" formatCode="&quot;$&quot;#,##0.00;[Red]\-&quot;$&quot;#,##0.00">
                  <c:v>59.84</c:v>
                </c:pt>
                <c:pt idx="1046" formatCode="&quot;$&quot;#,##0.00;[Red]\-&quot;$&quot;#,##0.00">
                  <c:v>28.05</c:v>
                </c:pt>
                <c:pt idx="1047" formatCode="&quot;$&quot;#,##0.00;[Red]\-&quot;$&quot;#,##0.00">
                  <c:v>29.92</c:v>
                </c:pt>
                <c:pt idx="1048" formatCode="&quot;$&quot;#,##0.00;[Red]\-&quot;$&quot;#,##0.00">
                  <c:v>28.8</c:v>
                </c:pt>
              </c:numCache>
            </c:numRef>
          </c:yVal>
          <c:smooth val="0"/>
          <c:extLst>
            <c:ext xmlns:c16="http://schemas.microsoft.com/office/drawing/2014/chart" uri="{C3380CC4-5D6E-409C-BE32-E72D297353CC}">
              <c16:uniqueId val="{00000000-32A1-4B78-88AC-763EA6236D21}"/>
            </c:ext>
          </c:extLst>
        </c:ser>
        <c:dLbls>
          <c:showLegendKey val="0"/>
          <c:showVal val="0"/>
          <c:showCatName val="0"/>
          <c:showSerName val="0"/>
          <c:showPercent val="0"/>
          <c:showBubbleSize val="0"/>
        </c:dLbls>
        <c:axId val="859820624"/>
        <c:axId val="859821456"/>
      </c:scatterChart>
      <c:valAx>
        <c:axId val="859820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sites Visted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21456"/>
        <c:crosses val="autoZero"/>
        <c:crossBetween val="midCat"/>
      </c:valAx>
      <c:valAx>
        <c:axId val="85982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First</a:t>
                </a:r>
                <a:r>
                  <a:rPr lang="en-US" baseline="0"/>
                  <a:t> Order Revenues</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20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First Order Revenue Distribution</cx:v>
        </cx:txData>
      </cx:tx>
      <cx:txPr>
        <a:bodyPr spcFirstLastPara="1" vertOverflow="ellipsis" horzOverflow="overflow" wrap="square" lIns="0" tIns="0" rIns="0" bIns="0" anchor="ctr" anchorCtr="1"/>
        <a:lstStyle/>
        <a:p>
          <a:pPr algn="ctr" rtl="0">
            <a:defRPr/>
          </a:pPr>
          <a:r>
            <a:rPr lang="en-US"/>
            <a:t>First Order Revenue Distribution</a:t>
          </a:r>
        </a:p>
      </cx:txPr>
    </cx:title>
    <cx:plotArea>
      <cx:plotAreaRegion>
        <cx:series layoutId="boxWhisker" uniqueId="{4C305E83-931D-4540-A0F2-811F31BB3CB4}">
          <cx:tx>
            <cx:txData>
              <cx:f>_xlchart.v1.0</cx:f>
              <cx:v>First Order Revenue</cx:v>
            </cx:txData>
          </cx:tx>
          <cx:dataId val="0"/>
          <cx:layoutPr>
            <cx:visibility meanLine="0" meanMarker="1" nonoutliers="0" outliers="1"/>
            <cx:statistics quartileMethod="exclusive"/>
          </cx:layoutPr>
        </cx:series>
      </cx:plotAreaRegion>
      <cx:axis id="0">
        <cx:catScaling gapWidth="1"/>
        <cx:title>
          <cx:tx>
            <cx:txData>
              <cx:v>Revenue of First Order</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Revenue of First Order</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max="270"/>
        <cx:majorGridlines/>
        <cx:tickLabels/>
        <cx:numFmt formatCode="_($* #,##0_);_($* (#,##0);_($* &quot;-&quot;_);_(@_)"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Items Purchased Distrobution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Items Purchased Distrobution</a:t>
          </a:r>
        </a:p>
      </cx:txPr>
    </cx:title>
    <cx:plotArea>
      <cx:plotAreaRegion>
        <cx:series layoutId="boxWhisker" uniqueId="{E1A48A3B-5312-4411-A2F3-234C1459FB49}">
          <cx:tx>
            <cx:txData>
              <cx:f>_xlchart.v1.2</cx:f>
              <cx:v>Items purchased</cx:v>
            </cx:txData>
          </cx:tx>
          <cx:dataId val="0"/>
          <cx:layoutPr>
            <cx:visibility meanLine="0" meanMarker="1" nonoutliers="0" outliers="1"/>
            <cx:statistics quartileMethod="exclusive"/>
          </cx:layoutPr>
        </cx:series>
      </cx:plotAreaRegion>
      <cx:axis id="0">
        <cx:catScaling gapWidth="1"/>
        <cx:title>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title>
        <cx:tickLabels/>
      </cx:axis>
      <cx:axis id="1">
        <cx:valScaling/>
        <cx:title>
          <cx:tx>
            <cx:txData>
              <cx:v>Items Purchased</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Items Purchased</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122237</xdr:colOff>
      <xdr:row>0</xdr:row>
      <xdr:rowOff>68262</xdr:rowOff>
    </xdr:from>
    <xdr:to>
      <xdr:col>6</xdr:col>
      <xdr:colOff>163512</xdr:colOff>
      <xdr:row>5</xdr:row>
      <xdr:rowOff>163512</xdr:rowOff>
    </xdr:to>
    <xdr:sp macro="" textlink="">
      <xdr:nvSpPr>
        <xdr:cNvPr id="2" name="TextBox 1">
          <a:extLst>
            <a:ext uri="{FF2B5EF4-FFF2-40B4-BE49-F238E27FC236}">
              <a16:creationId xmlns:a16="http://schemas.microsoft.com/office/drawing/2014/main" id="{A30C7051-6208-44CB-88FD-455585D976FC}"/>
            </a:ext>
          </a:extLst>
        </xdr:cNvPr>
        <xdr:cNvSpPr txBox="1"/>
      </xdr:nvSpPr>
      <xdr:spPr>
        <a:xfrm>
          <a:off x="7161212" y="68262"/>
          <a:ext cx="1870075" cy="1000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Complete this column and then make sure you create appropriate visuals according to the data type.</a:t>
          </a:r>
        </a:p>
      </xdr:txBody>
    </xdr:sp>
    <xdr:clientData/>
  </xdr:twoCellAnchor>
  <xdr:twoCellAnchor>
    <xdr:from>
      <xdr:col>0</xdr:col>
      <xdr:colOff>57150</xdr:colOff>
      <xdr:row>18</xdr:row>
      <xdr:rowOff>123825</xdr:rowOff>
    </xdr:from>
    <xdr:to>
      <xdr:col>3</xdr:col>
      <xdr:colOff>0</xdr:colOff>
      <xdr:row>23</xdr:row>
      <xdr:rowOff>171450</xdr:rowOff>
    </xdr:to>
    <xdr:sp macro="" textlink="">
      <xdr:nvSpPr>
        <xdr:cNvPr id="4" name="TextBox 3">
          <a:extLst>
            <a:ext uri="{FF2B5EF4-FFF2-40B4-BE49-F238E27FC236}">
              <a16:creationId xmlns:a16="http://schemas.microsoft.com/office/drawing/2014/main" id="{15119CB1-0D15-0E29-7F2A-1A1D49784A47}"/>
            </a:ext>
          </a:extLst>
        </xdr:cNvPr>
        <xdr:cNvSpPr txBox="1"/>
      </xdr:nvSpPr>
      <xdr:spPr>
        <a:xfrm>
          <a:off x="57150" y="3552825"/>
          <a:ext cx="6657975" cy="1000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 Set Description</a:t>
          </a:r>
        </a:p>
        <a:p>
          <a:r>
            <a:rPr lang="en-US" sz="1100" b="0" i="0"/>
            <a:t>This</a:t>
          </a:r>
          <a:r>
            <a:rPr lang="en-US" sz="1100" b="0" i="0" baseline="0"/>
            <a:t> data set for the start-up Bombas was obtained by Dr. Julia Kokina from Andrew Heath and Alex Yu of Bombas. The raw data set is a random sample of 1100 customer First Orders. That is, it is the first time this customer had ordered from Bombas. First Orders were placed between </a:t>
          </a:r>
          <a:r>
            <a:rPr lang="en-US" sz="1100" b="0" i="0" baseline="0">
              <a:solidFill>
                <a:schemeClr val="dk1"/>
              </a:solidFill>
              <a:effectLst/>
              <a:latin typeface="+mn-lt"/>
              <a:ea typeface="+mn-ea"/>
              <a:cs typeface="+mn-cs"/>
            </a:rPr>
            <a:t>Jan 1, 2015 and Sep 24, 2015.</a:t>
          </a:r>
          <a:endParaRPr lang="en-US"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390525</xdr:colOff>
      <xdr:row>0</xdr:row>
      <xdr:rowOff>57147</xdr:rowOff>
    </xdr:from>
    <xdr:to>
      <xdr:col>12</xdr:col>
      <xdr:colOff>190499</xdr:colOff>
      <xdr:row>17</xdr:row>
      <xdr:rowOff>47625</xdr:rowOff>
    </xdr:to>
    <xdr:graphicFrame macro="">
      <xdr:nvGraphicFramePr>
        <xdr:cNvPr id="3" name="Chart 2">
          <a:extLst>
            <a:ext uri="{FF2B5EF4-FFF2-40B4-BE49-F238E27FC236}">
              <a16:creationId xmlns:a16="http://schemas.microsoft.com/office/drawing/2014/main" id="{8E9D4CAC-A4FE-462D-9F3F-3D2B2E27A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19</xdr:row>
      <xdr:rowOff>123825</xdr:rowOff>
    </xdr:from>
    <xdr:to>
      <xdr:col>12</xdr:col>
      <xdr:colOff>76200</xdr:colOff>
      <xdr:row>34</xdr:row>
      <xdr:rowOff>9525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EBE9065-8190-4049-8356-677058C071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38700" y="3771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0</xdr:row>
      <xdr:rowOff>114300</xdr:rowOff>
    </xdr:from>
    <xdr:to>
      <xdr:col>11</xdr:col>
      <xdr:colOff>266700</xdr:colOff>
      <xdr:row>14</xdr:row>
      <xdr:rowOff>180975</xdr:rowOff>
    </xdr:to>
    <xdr:graphicFrame macro="">
      <xdr:nvGraphicFramePr>
        <xdr:cNvPr id="3" name="Chart 2">
          <a:extLst>
            <a:ext uri="{FF2B5EF4-FFF2-40B4-BE49-F238E27FC236}">
              <a16:creationId xmlns:a16="http://schemas.microsoft.com/office/drawing/2014/main" id="{EF43D2CA-27CC-4E53-A999-1AD580B87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285750</xdr:colOff>
      <xdr:row>0</xdr:row>
      <xdr:rowOff>133350</xdr:rowOff>
    </xdr:from>
    <xdr:to>
      <xdr:col>18</xdr:col>
      <xdr:colOff>590550</xdr:colOff>
      <xdr:row>14</xdr:row>
      <xdr:rowOff>190500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FCE9C67-B94E-42E7-AF3D-81B9BFE466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48650" y="1333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xdr:colOff>
      <xdr:row>0</xdr:row>
      <xdr:rowOff>4761</xdr:rowOff>
    </xdr:from>
    <xdr:to>
      <xdr:col>9</xdr:col>
      <xdr:colOff>361950</xdr:colOff>
      <xdr:row>32</xdr:row>
      <xdr:rowOff>123824</xdr:rowOff>
    </xdr:to>
    <xdr:graphicFrame macro="">
      <xdr:nvGraphicFramePr>
        <xdr:cNvPr id="2" name="Chart 1">
          <a:extLst>
            <a:ext uri="{FF2B5EF4-FFF2-40B4-BE49-F238E27FC236}">
              <a16:creationId xmlns:a16="http://schemas.microsoft.com/office/drawing/2014/main" id="{68AA8847-2B43-FB81-F90E-8F902EFF7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371475</xdr:colOff>
      <xdr:row>0</xdr:row>
      <xdr:rowOff>123825</xdr:rowOff>
    </xdr:from>
    <xdr:to>
      <xdr:col>17</xdr:col>
      <xdr:colOff>38100</xdr:colOff>
      <xdr:row>17</xdr:row>
      <xdr:rowOff>104775</xdr:rowOff>
    </xdr:to>
    <xdr:sp macro="" textlink="">
      <xdr:nvSpPr>
        <xdr:cNvPr id="3" name="TextBox 2">
          <a:extLst>
            <a:ext uri="{FF2B5EF4-FFF2-40B4-BE49-F238E27FC236}">
              <a16:creationId xmlns:a16="http://schemas.microsoft.com/office/drawing/2014/main" id="{48016A39-B50F-5CA9-DA4B-871D466C3E46}"/>
            </a:ext>
          </a:extLst>
        </xdr:cNvPr>
        <xdr:cNvSpPr txBox="1"/>
      </xdr:nvSpPr>
      <xdr:spPr>
        <a:xfrm>
          <a:off x="7591425" y="123825"/>
          <a:ext cx="4543425"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First</a:t>
          </a:r>
          <a:r>
            <a:rPr lang="en-US" sz="1100" baseline="0"/>
            <a:t> orders of the month are spread out pretty evenly, with only 2 days standing out, being the 19th amd the 22nd, it seems as the purchases seem to slightly surge in the middle of the month. However, this suggests that the day of the month has little to no influence on orders.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640555</xdr:colOff>
      <xdr:row>1</xdr:row>
      <xdr:rowOff>130968</xdr:rowOff>
    </xdr:from>
    <xdr:to>
      <xdr:col>10</xdr:col>
      <xdr:colOff>30955</xdr:colOff>
      <xdr:row>16</xdr:row>
      <xdr:rowOff>159543</xdr:rowOff>
    </xdr:to>
    <xdr:graphicFrame macro="">
      <xdr:nvGraphicFramePr>
        <xdr:cNvPr id="2" name="Chart 1">
          <a:extLst>
            <a:ext uri="{FF2B5EF4-FFF2-40B4-BE49-F238E27FC236}">
              <a16:creationId xmlns:a16="http://schemas.microsoft.com/office/drawing/2014/main" id="{C4A068C3-0C97-4EAD-B637-C969FFA90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259555</xdr:colOff>
      <xdr:row>1</xdr:row>
      <xdr:rowOff>130968</xdr:rowOff>
    </xdr:from>
    <xdr:to>
      <xdr:col>10</xdr:col>
      <xdr:colOff>297655</xdr:colOff>
      <xdr:row>16</xdr:row>
      <xdr:rowOff>159543</xdr:rowOff>
    </xdr:to>
    <xdr:graphicFrame macro="">
      <xdr:nvGraphicFramePr>
        <xdr:cNvPr id="2" name="Chart 1">
          <a:extLst>
            <a:ext uri="{FF2B5EF4-FFF2-40B4-BE49-F238E27FC236}">
              <a16:creationId xmlns:a16="http://schemas.microsoft.com/office/drawing/2014/main" id="{78FD2129-C4B2-4742-9FD4-122E54024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521492</xdr:colOff>
      <xdr:row>2</xdr:row>
      <xdr:rowOff>7143</xdr:rowOff>
    </xdr:from>
    <xdr:to>
      <xdr:col>11</xdr:col>
      <xdr:colOff>547687</xdr:colOff>
      <xdr:row>17</xdr:row>
      <xdr:rowOff>35718</xdr:rowOff>
    </xdr:to>
    <xdr:graphicFrame macro="">
      <xdr:nvGraphicFramePr>
        <xdr:cNvPr id="2" name="Chart 1">
          <a:extLst>
            <a:ext uri="{FF2B5EF4-FFF2-40B4-BE49-F238E27FC236}">
              <a16:creationId xmlns:a16="http://schemas.microsoft.com/office/drawing/2014/main" id="{9A7FD76C-1A6C-4E70-9954-A38DD1917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17</xdr:col>
      <xdr:colOff>1202530</xdr:colOff>
      <xdr:row>0</xdr:row>
      <xdr:rowOff>95250</xdr:rowOff>
    </xdr:from>
    <xdr:to>
      <xdr:col>32</xdr:col>
      <xdr:colOff>83343</xdr:colOff>
      <xdr:row>15</xdr:row>
      <xdr:rowOff>123825</xdr:rowOff>
    </xdr:to>
    <xdr:graphicFrame macro="">
      <xdr:nvGraphicFramePr>
        <xdr:cNvPr id="2" name="Chart 1">
          <a:extLst>
            <a:ext uri="{FF2B5EF4-FFF2-40B4-BE49-F238E27FC236}">
              <a16:creationId xmlns:a16="http://schemas.microsoft.com/office/drawing/2014/main" id="{D0547CBB-DF39-4393-A951-0F932A652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1202531</xdr:colOff>
      <xdr:row>17</xdr:row>
      <xdr:rowOff>45243</xdr:rowOff>
    </xdr:from>
    <xdr:to>
      <xdr:col>32</xdr:col>
      <xdr:colOff>83344</xdr:colOff>
      <xdr:row>32</xdr:row>
      <xdr:rowOff>73818</xdr:rowOff>
    </xdr:to>
    <xdr:graphicFrame macro="">
      <xdr:nvGraphicFramePr>
        <xdr:cNvPr id="3" name="Chart 2">
          <a:extLst>
            <a:ext uri="{FF2B5EF4-FFF2-40B4-BE49-F238E27FC236}">
              <a16:creationId xmlns:a16="http://schemas.microsoft.com/office/drawing/2014/main" id="{B6B17F68-189C-466D-9287-8DB9DB738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de Miller" refreshedDate="46066.674812037039" createdVersion="8" refreshedVersion="8" minRefreshableVersion="3" recordCount="1050" xr:uid="{D6E24463-0AF3-488C-9BCE-12F71160ACB1}">
  <cacheSource type="worksheet">
    <worksheetSource ref="A1:Q1048576" sheet="Data"/>
  </cacheSource>
  <cacheFields count="16">
    <cacheField name="Customer ID" numFmtId="0">
      <sharedItems containsString="0" containsBlank="1" containsNumber="1" containsInteger="1" minValue="1" maxValue="1100"/>
    </cacheField>
    <cacheField name="State" numFmtId="0">
      <sharedItems containsBlank="1"/>
    </cacheField>
    <cacheField name="Postcode" numFmtId="0">
      <sharedItems containsBlank="1"/>
    </cacheField>
    <cacheField name="Registration date" numFmtId="0">
      <sharedItems containsNonDate="0" containsDate="1" containsString="0" containsBlank="1" minDate="2013-09-20T19:18:53" maxDate="2015-09-25T00:37:14"/>
    </cacheField>
    <cacheField name="Last site visit" numFmtId="0">
      <sharedItems containsNonDate="0" containsDate="1" containsString="0" containsBlank="1" minDate="2015-01-02T02:27:18" maxDate="2015-09-24T20:37:18"/>
    </cacheField>
    <cacheField name="Number of site visits" numFmtId="0">
      <sharedItems containsString="0" containsBlank="1" containsNumber="1" containsInteger="1" minValue="1" maxValue="22"/>
    </cacheField>
    <cacheField name="Number of product page views" numFmtId="0">
      <sharedItems containsString="0" containsBlank="1" containsNumber="1" containsInteger="1" minValue="0" maxValue="31"/>
    </cacheField>
    <cacheField name="Number of add to cart events" numFmtId="0">
      <sharedItems containsString="0" containsBlank="1" containsNumber="1" containsInteger="1" minValue="1" maxValue="43"/>
    </cacheField>
    <cacheField name="Number of checkout events" numFmtId="0">
      <sharedItems containsString="0" containsBlank="1" containsNumber="1" containsInteger="1" minValue="1" maxValue="34"/>
    </cacheField>
    <cacheField name="Number of orders placed" numFmtId="0">
      <sharedItems containsString="0" containsBlank="1" containsNumber="1" containsInteger="1" minValue="1" maxValue="3"/>
    </cacheField>
    <cacheField name="Items purchased" numFmtId="0">
      <sharedItems containsString="0" containsBlank="1" containsNumber="1" containsInteger="1" minValue="1" maxValue="32" count="19">
        <n v="1"/>
        <n v="3"/>
        <n v="4"/>
        <n v="2"/>
        <n v="7"/>
        <n v="6"/>
        <n v="5"/>
        <n v="13"/>
        <n v="8"/>
        <n v="14"/>
        <n v="32"/>
        <n v="12"/>
        <n v="9"/>
        <n v="16"/>
        <n v="10"/>
        <n v="24"/>
        <n v="11"/>
        <n v="15"/>
        <m/>
      </sharedItems>
      <fieldGroup base="10">
        <rangePr autoEnd="0" startNum="1" endNum="14" groupInterval="2"/>
        <groupItems count="9">
          <s v="(blank)"/>
          <s v="1-2"/>
          <s v="3-4"/>
          <s v="5-6"/>
          <s v="7-8"/>
          <s v="9-10"/>
          <s v="11-12"/>
          <s v="13-14"/>
          <s v="&gt;15"/>
        </groupItems>
      </fieldGroup>
    </cacheField>
    <cacheField name="First Order Revenue" numFmtId="0">
      <sharedItems containsString="0" containsBlank="1" containsNumber="1" minValue="6.75" maxValue="267.3" count="141">
        <n v="56.32"/>
        <n v="27"/>
        <n v="28.8"/>
        <n v="28.05"/>
        <n v="9"/>
        <n v="18"/>
        <n v="29.92"/>
        <n v="51.75"/>
        <n v="21.6"/>
        <n v="64.8"/>
        <n v="43.2"/>
        <n v="81.599999999999994"/>
        <n v="44"/>
        <n v="14.4"/>
        <n v="36"/>
        <n v="8.8000000000000007"/>
        <n v="115.2"/>
        <n v="20"/>
        <n v="32.799999999999997"/>
        <n v="48"/>
        <n v="86.4"/>
        <n v="57.6"/>
        <n v="35.200000000000003"/>
        <n v="72"/>
        <n v="17.600000000000001"/>
        <n v="51.8"/>
        <n v="45.6"/>
        <n v="30"/>
        <n v="38.4"/>
        <n v="30.4"/>
        <n v="127"/>
        <n v="15"/>
        <n v="45"/>
        <n v="42.4"/>
        <n v="81"/>
        <n v="70.400000000000006"/>
        <n v="11"/>
        <n v="13.5"/>
        <n v="36.799999999999997"/>
        <n v="52.8"/>
        <n v="21"/>
        <n v="33.6"/>
        <n v="59.84"/>
        <n v="23.04"/>
        <n v="54"/>
        <n v="78"/>
        <n v="49.76"/>
        <n v="63.2"/>
        <n v="65.92"/>
        <n v="61.6"/>
        <n v="172.8"/>
        <n v="38.72"/>
        <n v="31.5"/>
        <n v="47.25"/>
        <n v="70"/>
        <n v="201.6"/>
        <n v="22"/>
        <n v="124.96"/>
        <n v="30.6"/>
        <n v="6.75"/>
        <n v="112.64"/>
        <n v="33"/>
        <n v="47.2"/>
        <n v="68"/>
        <n v="121.44"/>
        <n v="27.2"/>
        <n v="140.80000000000001"/>
        <n v="74.8"/>
        <n v="8"/>
        <n v="40.799999999999997"/>
        <n v="25.6"/>
        <n v="26.4"/>
        <n v="119.68"/>
        <n v="111.2"/>
        <n v="73.8"/>
        <n v="18.399999999999999"/>
        <n v="91.8"/>
        <n v="105.6"/>
        <n v="52"/>
        <n v="86.8"/>
        <n v="77.55"/>
        <n v="144"/>
        <n v="37.4"/>
        <n v="12"/>
        <n v="80.849999999999994"/>
        <n v="50.4"/>
        <n v="32.64"/>
        <n v="39"/>
        <n v="41.6"/>
        <n v="51.2"/>
        <n v="86.24"/>
        <n v="153.6"/>
        <n v="7"/>
        <n v="68.64"/>
        <n v="108.9"/>
        <n v="88.6"/>
        <n v="97.28"/>
        <n v="34.4"/>
        <n v="267.3"/>
        <n v="56"/>
        <n v="13"/>
        <n v="59"/>
        <n v="79.2"/>
        <n v="74.400000000000006"/>
        <n v="19.2"/>
        <n v="24.75"/>
        <n v="138"/>
        <n v="56.1"/>
        <n v="47.52"/>
        <n v="52.7"/>
        <n v="60.75"/>
        <n v="187"/>
        <n v="108"/>
        <n v="46"/>
        <n v="71.400000000000006"/>
        <n v="162.80000000000001"/>
        <n v="51.68"/>
        <n v="24"/>
        <n v="65.28"/>
        <n v="89.76"/>
        <n v="168.96"/>
        <n v="79"/>
        <n v="45.9"/>
        <n v="67.2"/>
        <n v="88"/>
        <n v="39.6"/>
        <n v="20.8"/>
        <n v="21.76"/>
        <n v="31.2"/>
        <n v="61.2"/>
        <n v="124.8"/>
        <n v="20.25"/>
        <n v="16.5"/>
        <n v="133.65"/>
        <n v="50.24"/>
        <n v="49.99"/>
        <n v="76.8"/>
        <n v="16"/>
        <n v="186.88"/>
        <n v="63"/>
        <m/>
      </sharedItems>
      <fieldGroup base="11">
        <rangePr autoEnd="0" startNum="6.75" endNum="141.75" groupInterval="15"/>
        <groupItems count="11">
          <s v="(blank)"/>
          <s v="6.75-21.75"/>
          <s v="21.75-36.75"/>
          <s v="36.75-51.75"/>
          <s v="51.75-66.75"/>
          <s v="66.75-81.75"/>
          <s v="81.75-96.75"/>
          <s v="96.75-111.75"/>
          <s v="111.75-126.75"/>
          <s v="126.75-141.75"/>
          <s v="&gt;141.75"/>
        </groupItems>
      </fieldGroup>
    </cacheField>
    <cacheField name="First Order Purchase Date" numFmtId="0">
      <sharedItems containsNonDate="0" containsDate="1" containsString="0" containsBlank="1" minDate="2015-01-02T02:27:16" maxDate="2015-09-24T20:37:15"/>
    </cacheField>
    <cacheField name="First Order Purchase day" numFmtId="0">
      <sharedItems containsString="0" containsBlank="1" containsNumber="1" containsInteger="1" minValue="1" maxValue="31"/>
    </cacheField>
    <cacheField name="First Order Purchase weekday" numFmtId="0">
      <sharedItems containsString="0" containsBlank="1" containsNumber="1" containsInteger="1" minValue="1" maxValue="7"/>
    </cacheField>
    <cacheField name="First Order Purchase hour" numFmtId="0">
      <sharedItems containsString="0" containsBlank="1" containsNumber="1" containsInteger="1" minValue="0" maxValue="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ling Eve Downer" refreshedDate="46066.863465740738" createdVersion="7" refreshedVersion="7" minRefreshableVersion="3" recordCount="1049" xr:uid="{89DA21C7-C83D-4D9F-8F0A-27F904533530}">
  <cacheSource type="worksheet">
    <worksheetSource ref="A1:Q1050" sheet="Data"/>
  </cacheSource>
  <cacheFields count="16">
    <cacheField name="Customer ID" numFmtId="0">
      <sharedItems containsSemiMixedTypes="0" containsString="0" containsNumber="1" containsInteger="1" minValue="1" maxValue="1100"/>
    </cacheField>
    <cacheField name="State" numFmtId="0">
      <sharedItems containsBlank="1"/>
    </cacheField>
    <cacheField name="Postcode" numFmtId="0">
      <sharedItems containsBlank="1"/>
    </cacheField>
    <cacheField name="Registration date" numFmtId="22">
      <sharedItems containsSemiMixedTypes="0" containsNonDate="0" containsDate="1" containsString="0" minDate="2013-09-20T19:18:53" maxDate="2015-09-25T00:37:14"/>
    </cacheField>
    <cacheField name="Last site visit" numFmtId="22">
      <sharedItems containsSemiMixedTypes="0" containsNonDate="0" containsDate="1" containsString="0" minDate="2015-01-02T02:27:18" maxDate="2015-09-24T20:37:18"/>
    </cacheField>
    <cacheField name="Number of site visits" numFmtId="0">
      <sharedItems containsSemiMixedTypes="0" containsString="0" containsNumber="1" containsInteger="1" minValue="1" maxValue="22"/>
    </cacheField>
    <cacheField name="Number of product page views" numFmtId="0">
      <sharedItems containsSemiMixedTypes="0" containsString="0" containsNumber="1" containsInteger="1" minValue="0" maxValue="31"/>
    </cacheField>
    <cacheField name="Number of add to cart events" numFmtId="0">
      <sharedItems containsSemiMixedTypes="0" containsString="0" containsNumber="1" containsInteger="1" minValue="1" maxValue="43"/>
    </cacheField>
    <cacheField name="Number of checkout events" numFmtId="0">
      <sharedItems containsSemiMixedTypes="0" containsString="0" containsNumber="1" containsInteger="1" minValue="1" maxValue="34"/>
    </cacheField>
    <cacheField name="Number of orders placed" numFmtId="0">
      <sharedItems containsSemiMixedTypes="0" containsString="0" containsNumber="1" containsInteger="1" minValue="1" maxValue="3"/>
    </cacheField>
    <cacheField name="Items purchased" numFmtId="0">
      <sharedItems containsSemiMixedTypes="0" containsString="0" containsNumber="1" containsInteger="1" minValue="1" maxValue="32"/>
    </cacheField>
    <cacheField name="First Order Revenue" numFmtId="0">
      <sharedItems containsSemiMixedTypes="0" containsString="0" containsNumber="1" minValue="6.75" maxValue="267.3"/>
    </cacheField>
    <cacheField name="First Order Purchase Date" numFmtId="22">
      <sharedItems containsSemiMixedTypes="0" containsNonDate="0" containsDate="1" containsString="0" minDate="2015-01-02T02:27:16" maxDate="2015-09-24T20:37:15"/>
    </cacheField>
    <cacheField name="First Order Purchase day" numFmtId="0">
      <sharedItems containsSemiMixedTypes="0" containsString="0" containsNumber="1" containsInteger="1" minValue="1" maxValue="31"/>
    </cacheField>
    <cacheField name="First Order Purchase weekday" numFmtId="0">
      <sharedItems containsSemiMixedTypes="0" containsString="0" containsNumber="1" containsInteger="1" minValue="1" maxValue="7" count="7">
        <n v="7"/>
        <n v="5"/>
        <n v="1"/>
        <n v="2"/>
        <n v="6"/>
        <n v="3"/>
        <n v="4"/>
      </sharedItems>
    </cacheField>
    <cacheField name="First Order Purchase hour" numFmtId="0">
      <sharedItems containsSemiMixedTypes="0" containsString="0" containsNumber="1" containsInteger="1" minValue="0" maxValue="23" count="24">
        <n v="23"/>
        <n v="22"/>
        <n v="21"/>
        <n v="11"/>
        <n v="16"/>
        <n v="20"/>
        <n v="18"/>
        <n v="12"/>
        <n v="17"/>
        <n v="14"/>
        <n v="15"/>
        <n v="6"/>
        <n v="19"/>
        <n v="10"/>
        <n v="0"/>
        <n v="9"/>
        <n v="7"/>
        <n v="13"/>
        <n v="8"/>
        <n v="3"/>
        <n v="1"/>
        <n v="2"/>
        <n v="5"/>
        <n v="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ling Eve Downer" refreshedDate="46066.866421527775" createdVersion="7" refreshedVersion="7" minRefreshableVersion="3" recordCount="1049" xr:uid="{AB5DCB55-AD92-4986-B659-056BCF58F4DC}">
  <cacheSource type="worksheet">
    <worksheetSource name="Table1"/>
  </cacheSource>
  <cacheFields count="18">
    <cacheField name="Customer ID" numFmtId="0">
      <sharedItems containsSemiMixedTypes="0" containsString="0" containsNumber="1" containsInteger="1" minValue="1" maxValue="1100"/>
    </cacheField>
    <cacheField name="State" numFmtId="0">
      <sharedItems containsBlank="1"/>
    </cacheField>
    <cacheField name="Postcode" numFmtId="0">
      <sharedItems containsBlank="1"/>
    </cacheField>
    <cacheField name="Registration date" numFmtId="22">
      <sharedItems containsSemiMixedTypes="0" containsNonDate="0" containsDate="1" containsString="0" minDate="2013-09-20T19:18:53" maxDate="2015-09-25T00:37:14"/>
    </cacheField>
    <cacheField name="Last site visit" numFmtId="22">
      <sharedItems containsSemiMixedTypes="0" containsNonDate="0" containsDate="1" containsString="0" minDate="2015-01-02T02:27:18" maxDate="2015-09-24T20:37:18"/>
    </cacheField>
    <cacheField name="Number of site visits" numFmtId="0">
      <sharedItems containsSemiMixedTypes="0" containsString="0" containsNumber="1" containsInteger="1" minValue="1" maxValue="22"/>
    </cacheField>
    <cacheField name="Number of product page views" numFmtId="0">
      <sharedItems containsSemiMixedTypes="0" containsString="0" containsNumber="1" containsInteger="1" minValue="0" maxValue="31"/>
    </cacheField>
    <cacheField name="Number of add to cart events" numFmtId="0">
      <sharedItems containsSemiMixedTypes="0" containsString="0" containsNumber="1" containsInteger="1" minValue="1" maxValue="43"/>
    </cacheField>
    <cacheField name="Number of checkout events" numFmtId="0">
      <sharedItems containsSemiMixedTypes="0" containsString="0" containsNumber="1" containsInteger="1" minValue="1" maxValue="34"/>
    </cacheField>
    <cacheField name="Number of orders placed" numFmtId="0">
      <sharedItems containsSemiMixedTypes="0" containsString="0" containsNumber="1" containsInteger="1" minValue="1" maxValue="3"/>
    </cacheField>
    <cacheField name="Items purchased" numFmtId="0">
      <sharedItems containsSemiMixedTypes="0" containsString="0" containsNumber="1" containsInteger="1" minValue="1" maxValue="32"/>
    </cacheField>
    <cacheField name="First Order Revenue" numFmtId="0">
      <sharedItems containsSemiMixedTypes="0" containsString="0" containsNumber="1" minValue="6.75" maxValue="267.3"/>
    </cacheField>
    <cacheField name="First Order Purchase Mo" numFmtId="164">
      <sharedItems count="9">
        <s v="Aug"/>
        <s v="Jan"/>
        <s v="Jul"/>
        <s v="Feb"/>
        <s v="May"/>
        <s v="Sep"/>
        <s v="Jun"/>
        <s v="Apr"/>
        <s v="Mar"/>
      </sharedItems>
    </cacheField>
    <cacheField name="First Order Purchase Date" numFmtId="22">
      <sharedItems containsSemiMixedTypes="0" containsNonDate="0" containsDate="1" containsString="0" minDate="2015-01-02T02:27:16" maxDate="2015-09-24T20:37:15" count="1049">
        <d v="2015-08-15T23:07:22"/>
        <d v="2015-01-22T22:28:29"/>
        <d v="2015-07-05T21:39:50"/>
        <d v="2015-07-25T11:12:07"/>
        <d v="2015-02-28T16:58:44"/>
        <d v="2015-01-12T20:38:24"/>
        <d v="2015-05-01T21:52:10"/>
        <d v="2015-09-01T18:10:32"/>
        <d v="2015-06-10T22:23:23"/>
        <d v="2015-06-17T12:50:11"/>
        <d v="2015-04-18T11:18:17"/>
        <d v="2015-06-23T17:10:55"/>
        <d v="2015-03-24T16:33:18"/>
        <d v="2015-05-11T18:39:47"/>
        <d v="2015-03-15T14:49:40"/>
        <d v="2015-07-15T21:10:08"/>
        <d v="2015-06-30T15:28:02"/>
        <d v="2015-05-10T06:42:19"/>
        <d v="2015-07-31T16:11:59"/>
        <d v="2015-07-20T19:28:59"/>
        <d v="2015-08-07T23:46:38"/>
        <d v="2015-07-06T10:05:55"/>
        <d v="2015-02-21T20:04:10"/>
        <d v="2015-01-20T21:39:15"/>
        <d v="2015-03-11T22:30:28"/>
        <d v="2015-07-11T00:41:44"/>
        <d v="2015-09-19T21:32:07"/>
        <d v="2015-05-23T09:47:36"/>
        <d v="2015-01-13T12:18:27"/>
        <d v="2015-02-20T20:32:17"/>
        <d v="2015-07-11T18:02:08"/>
        <d v="2015-04-05T07:05:59"/>
        <d v="2015-02-09T19:49:42"/>
        <d v="2015-06-22T12:46:49"/>
        <d v="2015-01-19T13:11:50"/>
        <d v="2015-09-16T20:14:11"/>
        <d v="2015-01-10T11:03:00"/>
        <d v="2015-01-03T12:59:06"/>
        <d v="2015-08-13T14:49:06"/>
        <d v="2015-03-10T13:47:36"/>
        <d v="2015-05-22T10:10:11"/>
        <d v="2015-01-24T09:18:20"/>
        <d v="2015-07-11T14:51:45"/>
        <d v="2015-07-06T20:06:27"/>
        <d v="2015-01-22T18:41:53"/>
        <d v="2015-06-03T08:11:55"/>
        <d v="2015-07-12T14:09:05"/>
        <d v="2015-07-03T03:31:47"/>
        <d v="2015-04-04T16:16:39"/>
        <d v="2015-03-20T12:39:06"/>
        <d v="2015-02-18T01:52:02"/>
        <d v="2015-05-22T21:18:50"/>
        <d v="2015-03-04T03:56:26"/>
        <d v="2015-07-21T11:51:14"/>
        <d v="2015-02-23T22:03:20"/>
        <d v="2015-01-17T00:22:32"/>
        <d v="2015-06-14T23:58:03"/>
        <d v="2015-06-03T08:55:11"/>
        <d v="2015-01-15T22:43:21"/>
        <d v="2015-05-29T08:59:14"/>
        <d v="2015-09-20T01:01:56"/>
        <d v="2015-02-26T16:58:34"/>
        <d v="2015-07-16T14:05:28"/>
        <d v="2015-05-27T11:42:25"/>
        <d v="2015-03-22T17:16:33"/>
        <d v="2015-01-28T21:09:56"/>
        <d v="2015-06-08T13:58:36"/>
        <d v="2015-01-25T19:01:00"/>
        <d v="2015-06-30T15:18:02"/>
        <d v="2015-03-07T11:26:43"/>
        <d v="2015-02-19T16:32:27"/>
        <d v="2015-01-22T19:11:14"/>
        <d v="2015-03-12T10:30:18"/>
        <d v="2015-06-06T15:40:38"/>
        <d v="2015-04-08T09:20:36"/>
        <d v="2015-03-10T16:56:43"/>
        <d v="2015-07-09T14:59:12"/>
        <d v="2015-06-12T13:38:13"/>
        <d v="2015-06-10T12:06:31"/>
        <d v="2015-08-29T13:47:49"/>
        <d v="2015-05-22T21:25:24"/>
        <d v="2015-03-12T09:20:02"/>
        <d v="2015-08-26T13:49:13"/>
        <d v="2015-02-06T12:07:10"/>
        <d v="2015-06-29T21:06:14"/>
        <d v="2015-03-18T12:27:53"/>
        <d v="2015-03-24T19:58:37"/>
        <d v="2015-02-10T20:10:46"/>
        <d v="2015-03-03T15:15:28"/>
        <d v="2015-05-20T14:34:41"/>
        <d v="2015-02-11T18:33:06"/>
        <d v="2015-01-26T09:28:07"/>
        <d v="2015-03-17T00:55:52"/>
        <d v="2015-04-03T20:52:09"/>
        <d v="2015-04-15T21:58:01"/>
        <d v="2015-09-04T10:40:08"/>
        <d v="2015-07-01T11:57:50"/>
        <d v="2015-05-12T15:53:58"/>
        <d v="2015-05-23T12:31:19"/>
        <d v="2015-04-06T15:15:45"/>
        <d v="2015-02-14T06:30:03"/>
        <d v="2015-01-22T18:49:05"/>
        <d v="2015-05-20T13:49:17"/>
        <d v="2015-06-24T16:10:04"/>
        <d v="2015-08-11T15:02:38"/>
        <d v="2015-02-07T09:46:19"/>
        <d v="2015-01-04T19:04:11"/>
        <d v="2015-04-15T17:29:44"/>
        <d v="2015-02-08T08:30:25"/>
        <d v="2015-06-15T15:39:43"/>
        <d v="2015-02-07T23:04:44"/>
        <d v="2015-05-25T09:37:29"/>
        <d v="2015-06-08T10:19:36"/>
        <d v="2015-05-12T14:52:08"/>
        <d v="2015-07-13T17:29:10"/>
        <d v="2015-05-28T12:41:10"/>
        <d v="2015-09-13T12:00:01"/>
        <d v="2015-05-11T21:58:27"/>
        <d v="2015-05-20T16:57:41"/>
        <d v="2015-03-15T16:35:30"/>
        <d v="2015-02-10T21:28:37"/>
        <d v="2015-03-16T10:09:56"/>
        <d v="2015-07-09T11:32:44"/>
        <d v="2015-05-28T11:12:52"/>
        <d v="2015-09-17T12:28:15"/>
        <d v="2015-01-17T10:00:31"/>
        <d v="2015-09-08T12:52:25"/>
        <d v="2015-06-24T15:05:26"/>
        <d v="2015-08-19T20:10:09"/>
        <d v="2015-08-16T00:45:17"/>
        <d v="2015-07-01T15:52:08"/>
        <d v="2015-05-15T13:19:31"/>
        <d v="2015-06-19T16:13:07"/>
        <d v="2015-01-27T09:36:26"/>
        <d v="2015-04-27T16:39:43"/>
        <d v="2015-08-05T09:13:07"/>
        <d v="2015-01-18T03:53:13"/>
        <d v="2015-04-11T13:12:26"/>
        <d v="2015-01-19T16:21:13"/>
        <d v="2015-06-19T13:32:44"/>
        <d v="2015-07-12T10:37:29"/>
        <d v="2015-02-24T01:24:38"/>
        <d v="2015-08-18T19:24:41"/>
        <d v="2015-01-23T11:44:13"/>
        <d v="2015-05-31T15:31:38"/>
        <d v="2015-07-05T09:33:19"/>
        <d v="2015-07-13T07:37:36"/>
        <d v="2015-06-06T17:01:42"/>
        <d v="2015-08-16T20:17:23"/>
        <d v="2015-01-04T19:36:14"/>
        <d v="2015-04-19T00:07:58"/>
        <d v="2015-01-30T09:15:37"/>
        <d v="2015-05-01T13:48:55"/>
        <d v="2015-05-18T23:15:23"/>
        <d v="2015-03-23T19:00:26"/>
        <d v="2015-02-19T13:53:12"/>
        <d v="2015-07-01T15:26:23"/>
        <d v="2015-06-19T11:38:16"/>
        <d v="2015-08-31T10:48:01"/>
        <d v="2015-02-15T08:36:26"/>
        <d v="2015-01-22T16:02:26"/>
        <d v="2015-05-28T09:03:57"/>
        <d v="2015-06-02T08:43:31"/>
        <d v="2015-06-25T23:54:08"/>
        <d v="2015-06-23T14:25:07"/>
        <d v="2015-09-05T08:05:08"/>
        <d v="2015-03-04T09:27:03"/>
        <d v="2015-04-09T18:44:29"/>
        <d v="2015-08-12T14:29:49"/>
        <d v="2015-03-18T08:48:39"/>
        <d v="2015-02-06T01:36:49"/>
        <d v="2015-02-02T15:13:25"/>
        <d v="2015-08-14T00:39:38"/>
        <d v="2015-02-18T15:51:47"/>
        <d v="2015-01-27T17:06:57"/>
        <d v="2015-03-18T07:48:15"/>
        <d v="2015-08-22T10:37:57"/>
        <d v="2015-05-26T22:33:40"/>
        <d v="2015-07-28T21:52:51"/>
        <d v="2015-06-29T12:48:13"/>
        <d v="2015-01-31T09:12:55"/>
        <d v="2015-03-19T20:12:26"/>
        <d v="2015-05-15T15:45:48"/>
        <d v="2015-03-22T15:29:30"/>
        <d v="2015-01-16T21:21:39"/>
        <d v="2015-03-23T11:52:14"/>
        <d v="2015-05-25T11:54:38"/>
        <d v="2015-05-22T11:41:12"/>
        <d v="2015-08-30T12:21:59"/>
        <d v="2015-02-28T17:31:39"/>
        <d v="2015-01-11T19:49:30"/>
        <d v="2015-03-15T20:01:36"/>
        <d v="2015-04-01T10:11:59"/>
        <d v="2015-07-10T07:52:22"/>
        <d v="2015-01-11T02:03:15"/>
        <d v="2015-03-05T14:34:57"/>
        <d v="2015-01-28T20:18:57"/>
        <d v="2015-01-15T21:39:56"/>
        <d v="2015-07-27T12:21:44"/>
        <d v="2015-07-13T22:26:51"/>
        <d v="2015-01-19T05:20:06"/>
        <d v="2015-06-22T23:57:26"/>
        <d v="2015-01-22T19:11:01"/>
        <d v="2015-08-11T10:34:04"/>
        <d v="2015-08-21T07:37:00"/>
        <d v="2015-04-23T13:56:42"/>
        <d v="2015-05-15T15:04:22"/>
        <d v="2015-06-13T12:10:51"/>
        <d v="2015-03-21T08:28:40"/>
        <d v="2015-02-22T12:12:53"/>
        <d v="2015-02-11T18:08:39"/>
        <d v="2015-08-13T12:17:52"/>
        <d v="2015-09-03T13:57:52"/>
        <d v="2015-01-22T01:52:57"/>
        <d v="2015-05-14T20:34:32"/>
        <d v="2015-01-21T09:44:39"/>
        <d v="2015-05-19T14:14:51"/>
        <d v="2015-06-28T12:26:49"/>
        <d v="2015-08-20T19:06:50"/>
        <d v="2015-03-21T00:13:59"/>
        <d v="2015-02-05T16:30:11"/>
        <d v="2015-04-14T12:27:40"/>
        <d v="2015-08-15T18:36:02"/>
        <d v="2015-06-11T14:51:11"/>
        <d v="2015-01-27T16:16:10"/>
        <d v="2015-08-19T12:29:25"/>
        <d v="2015-06-12T13:42:31"/>
        <d v="2015-07-13T16:36:36"/>
        <d v="2015-01-27T22:33:39"/>
        <d v="2015-09-03T11:39:53"/>
        <d v="2015-08-10T22:25:24"/>
        <d v="2015-03-08T22:05:39"/>
        <d v="2015-05-19T12:12:06"/>
        <d v="2015-09-02T17:07:58"/>
        <d v="2015-07-16T10:52:08"/>
        <d v="2015-01-23T11:31:22"/>
        <d v="2015-06-11T11:20:58"/>
        <d v="2015-06-26T12:04:22"/>
        <d v="2015-05-23T12:20:37"/>
        <d v="2015-02-21T09:51:52"/>
        <d v="2015-07-20T01:42:41"/>
        <d v="2015-02-05T11:06:27"/>
        <d v="2015-07-12T11:45:04"/>
        <d v="2015-09-11T16:28:36"/>
        <d v="2015-07-08T11:33:32"/>
        <d v="2015-07-01T16:25:59"/>
        <d v="2015-06-02T20:02:18"/>
        <d v="2015-02-13T16:56:57"/>
        <d v="2015-06-19T17:41:03"/>
        <d v="2015-06-07T13:17:08"/>
        <d v="2015-03-19T09:56:52"/>
        <d v="2015-05-15T23:44:45"/>
        <d v="2015-08-30T09:29:41"/>
        <d v="2015-02-12T19:57:24"/>
        <d v="2015-06-02T15:20:55"/>
        <d v="2015-07-27T13:21:58"/>
        <d v="2015-01-26T23:44:52"/>
        <d v="2015-03-30T10:01:35"/>
        <d v="2015-05-21T16:14:53"/>
        <d v="2015-05-26T14:30:50"/>
        <d v="2015-03-11T23:41:31"/>
        <d v="2015-01-21T14:27:42"/>
        <d v="2015-02-06T12:43:58"/>
        <d v="2015-09-09T17:25:18"/>
        <d v="2015-06-30T11:41:31"/>
        <d v="2015-07-16T16:47:49"/>
        <d v="2015-09-17T23:12:33"/>
        <d v="2015-03-25T10:48:34"/>
        <d v="2015-01-23T15:28:29"/>
        <d v="2015-08-11T06:17:26"/>
        <d v="2015-07-26T01:31:18"/>
        <d v="2015-01-22T15:01:48"/>
        <d v="2015-07-23T08:57:34"/>
        <d v="2015-06-08T12:23:49"/>
        <d v="2015-03-09T09:35:42"/>
        <d v="2015-06-21T16:10:07"/>
        <d v="2015-04-06T15:15:18"/>
        <d v="2015-09-20T18:12:55"/>
        <d v="2015-06-09T22:26:51"/>
        <d v="2015-05-01T20:07:38"/>
        <d v="2015-04-01T13:55:15"/>
        <d v="2015-01-10T21:04:23"/>
        <d v="2015-09-12T22:44:24"/>
        <d v="2015-09-19T17:12:54"/>
        <d v="2015-01-15T20:04:59"/>
        <d v="2015-02-28T16:05:48"/>
        <d v="2015-01-14T12:24:44"/>
        <d v="2015-05-19T20:49:25"/>
        <d v="2015-08-15T02:01:36"/>
        <d v="2015-07-10T16:07:06"/>
        <d v="2015-01-20T14:13:02"/>
        <d v="2015-02-18T19:46:45"/>
        <d v="2015-08-29T16:44:31"/>
        <d v="2015-05-31T11:12:30"/>
        <d v="2015-09-02T16:36:12"/>
        <d v="2015-01-30T22:00:10"/>
        <d v="2015-06-06T14:04:56"/>
        <d v="2015-04-23T08:34:39"/>
        <d v="2015-01-21T12:57:03"/>
        <d v="2015-06-27T21:47:57"/>
        <d v="2015-03-04T21:10:43"/>
        <d v="2015-07-18T18:21:00"/>
        <d v="2015-04-16T20:34:21"/>
        <d v="2015-01-28T15:19:17"/>
        <d v="2015-06-30T23:33:53"/>
        <d v="2015-08-26T08:17:14"/>
        <d v="2015-07-20T10:45:39"/>
        <d v="2015-06-03T07:11:27"/>
        <d v="2015-02-14T11:06:55"/>
        <d v="2015-05-19T11:13:33"/>
        <d v="2015-03-03T14:36:55"/>
        <d v="2015-03-24T20:10:27"/>
        <d v="2015-05-25T19:14:16"/>
        <d v="2015-07-20T08:19:20"/>
        <d v="2015-08-30T14:43:34"/>
        <d v="2015-04-28T23:33:21"/>
        <d v="2015-06-03T20:53:52"/>
        <d v="2015-02-19T16:12:07"/>
        <d v="2015-03-27T09:43:52"/>
        <d v="2015-05-19T16:53:05"/>
        <d v="2015-02-08T17:33:28"/>
        <d v="2015-05-30T03:55:19"/>
        <d v="2015-03-08T17:05:16"/>
        <d v="2015-01-16T14:49:11"/>
        <d v="2015-03-17T10:24:04"/>
        <d v="2015-05-07T16:02:37"/>
        <d v="2015-01-16T09:18:40"/>
        <d v="2015-09-19T11:12:59"/>
        <d v="2015-07-06T19:18:54"/>
        <d v="2015-05-21T17:06:11"/>
        <d v="2015-06-15T08:01:45"/>
        <d v="2015-02-13T09:41:46"/>
        <d v="2015-09-03T14:09:49"/>
        <d v="2015-02-24T19:11:14"/>
        <d v="2015-01-04T16:01:08"/>
        <d v="2015-03-03T15:56:05"/>
        <d v="2015-07-07T20:48:34"/>
        <d v="2015-07-16T16:14:35"/>
        <d v="2015-05-19T17:50:41"/>
        <d v="2015-08-16T11:54:27"/>
        <d v="2015-07-09T17:42:12"/>
        <d v="2015-02-02T10:44:50"/>
        <d v="2015-08-30T18:42:53"/>
        <d v="2015-08-10T00:46:38"/>
        <d v="2015-01-17T14:47:22"/>
        <d v="2015-04-07T11:05:17"/>
        <d v="2015-06-17T20:35:38"/>
        <d v="2015-03-29T02:41:42"/>
        <d v="2015-07-07T16:34:06"/>
        <d v="2015-03-02T13:47:01"/>
        <d v="2015-08-21T21:32:08"/>
        <d v="2015-08-27T15:50:57"/>
        <d v="2015-01-23T19:41:18"/>
        <d v="2015-02-13T21:25:49"/>
        <d v="2015-08-10T16:22:18"/>
        <d v="2015-09-10T23:23:21"/>
        <d v="2015-06-29T09:20:25"/>
        <d v="2015-07-06T07:43:44"/>
        <d v="2015-07-16T11:21:01"/>
        <d v="2015-01-29T21:50:10"/>
        <d v="2015-07-07T08:27:45"/>
        <d v="2015-04-23T10:15:50"/>
        <d v="2015-07-09T08:14:59"/>
        <d v="2015-06-04T13:21:58"/>
        <d v="2015-02-28T21:13:24"/>
        <d v="2015-06-29T14:25:53"/>
        <d v="2015-07-12T10:52:39"/>
        <d v="2015-02-12T16:22:55"/>
        <d v="2015-01-21T08:14:34"/>
        <d v="2015-07-01T13:06:28"/>
        <d v="2015-03-22T18:36:04"/>
        <d v="2015-01-23T07:23:15"/>
        <d v="2015-05-22T10:38:18"/>
        <d v="2015-03-10T21:17:09"/>
        <d v="2015-02-20T18:04:44"/>
        <d v="2015-01-22T12:29:33"/>
        <d v="2015-02-25T18:33:21"/>
        <d v="2015-08-12T18:49:41"/>
        <d v="2015-02-02T23:56:06"/>
        <d v="2015-06-09T02:05:58"/>
        <d v="2015-08-20T22:58:49"/>
        <d v="2015-02-15T02:48:03"/>
        <d v="2015-04-18T23:14:31"/>
        <d v="2015-03-16T09:05:57"/>
        <d v="2015-06-12T15:03:20"/>
        <d v="2015-03-17T01:04:10"/>
        <d v="2015-05-18T22:16:04"/>
        <d v="2015-05-18T11:53:56"/>
        <d v="2015-01-29T12:56:31"/>
        <d v="2015-06-17T02:49:24"/>
        <d v="2015-09-19T10:44:04"/>
        <d v="2015-02-15T19:52:06"/>
        <d v="2015-09-01T12:43:55"/>
        <d v="2015-08-24T12:05:32"/>
        <d v="2015-08-17T21:30:55"/>
        <d v="2015-06-28T19:11:27"/>
        <d v="2015-01-16T19:16:51"/>
        <d v="2015-03-05T17:59:15"/>
        <d v="2015-07-16T10:54:33"/>
        <d v="2015-02-24T01:32:16"/>
        <d v="2015-06-11T17:41:52"/>
        <d v="2015-08-21T11:22:52"/>
        <d v="2015-06-06T12:14:41"/>
        <d v="2015-07-13T10:24:43"/>
        <d v="2015-08-03T12:43:20"/>
        <d v="2015-01-25T16:08:01"/>
        <d v="2015-07-29T10:07:13"/>
        <d v="2015-05-22T11:21:00"/>
        <d v="2015-06-12T13:28:01"/>
        <d v="2015-08-15T13:58:55"/>
        <d v="2015-03-14T07:41:28"/>
        <d v="2015-06-11T21:10:18"/>
        <d v="2015-06-26T14:48:01"/>
        <d v="2015-09-18T17:15:30"/>
        <d v="2015-07-24T14:23:33"/>
        <d v="2015-07-02T20:15:23"/>
        <d v="2015-02-25T21:29:02"/>
        <d v="2015-01-21T22:02:28"/>
        <d v="2015-05-20T09:18:59"/>
        <d v="2015-03-04T10:36:24"/>
        <d v="2015-01-26T12:01:58"/>
        <d v="2015-03-12T09:36:36"/>
        <d v="2015-06-07T16:42:55"/>
        <d v="2015-05-16T05:06:51"/>
        <d v="2015-07-06T23:20:26"/>
        <d v="2015-02-12T14:59:49"/>
        <d v="2015-03-25T16:58:28"/>
        <d v="2015-01-27T15:34:13"/>
        <d v="2015-09-12T20:41:56"/>
        <d v="2015-02-04T08:01:25"/>
        <d v="2015-07-27T16:10:32"/>
        <d v="2015-04-28T08:53:06"/>
        <d v="2015-03-07T22:22:30"/>
        <d v="2015-07-25T22:41:08"/>
        <d v="2015-05-31T11:45:32"/>
        <d v="2015-01-17T10:24:46"/>
        <d v="2015-09-12T07:30:29"/>
        <d v="2015-03-18T07:35:30"/>
        <d v="2015-07-06T18:13:30"/>
        <d v="2015-03-06T12:26:03"/>
        <d v="2015-07-20T23:17:54"/>
        <d v="2015-08-14T10:13:56"/>
        <d v="2015-06-11T23:00:23"/>
        <d v="2015-01-18T11:52:29"/>
        <d v="2015-08-11T15:23:41"/>
        <d v="2015-01-29T20:55:02"/>
        <d v="2015-06-08T13:45:38"/>
        <d v="2015-06-16T11:12:09"/>
        <d v="2015-06-04T06:14:42"/>
        <d v="2015-06-17T08:27:13"/>
        <d v="2015-01-28T10:33:39"/>
        <d v="2015-05-21T19:37:00"/>
        <d v="2015-09-18T12:12:33"/>
        <d v="2015-01-13T16:43:28"/>
        <d v="2015-06-16T15:25:18"/>
        <d v="2015-08-18T11:05:05"/>
        <d v="2015-08-27T09:00:56"/>
        <d v="2015-06-20T11:23:34"/>
        <d v="2015-08-17T08:12:03"/>
        <d v="2015-04-05T11:50:49"/>
        <d v="2015-05-14T12:43:57"/>
        <d v="2015-06-02T16:10:09"/>
        <d v="2015-03-22T09:51:34"/>
        <d v="2015-02-26T13:56:25"/>
        <d v="2015-01-20T15:44:17"/>
        <d v="2015-09-11T13:37:54"/>
        <d v="2015-03-04T19:05:30"/>
        <d v="2015-02-28T13:10:05"/>
        <d v="2015-02-22T23:09:59"/>
        <d v="2015-03-05T14:39:50"/>
        <d v="2015-01-22T14:05:09"/>
        <d v="2015-05-30T17:11:18"/>
        <d v="2015-06-11T07:14:09"/>
        <d v="2015-01-17T14:43:43"/>
        <d v="2015-03-03T16:07:29"/>
        <d v="2015-09-05T08:45:41"/>
        <d v="2015-01-22T23:17:40"/>
        <d v="2015-08-25T20:26:26"/>
        <d v="2015-02-19T21:30:34"/>
        <d v="2015-02-10T14:44:14"/>
        <d v="2015-06-24T14:33:04"/>
        <d v="2015-06-17T11:16:01"/>
        <d v="2015-09-06T12:18:05"/>
        <d v="2015-01-17T15:22:25"/>
        <d v="2015-05-28T23:45:49"/>
        <d v="2015-08-02T19:36:44"/>
        <d v="2015-09-04T12:03:55"/>
        <d v="2015-01-23T17:42:32"/>
        <d v="2015-04-16T14:56:40"/>
        <d v="2015-05-31T17:47:00"/>
        <d v="2015-06-15T01:58:24"/>
        <d v="2015-09-04T17:53:54"/>
        <d v="2015-03-19T19:03:41"/>
        <d v="2015-01-23T01:59:42"/>
        <d v="2015-03-04T20:09:35"/>
        <d v="2015-09-22T06:57:08"/>
        <d v="2015-08-30T20:57:46"/>
        <d v="2015-06-12T11:22:27"/>
        <d v="2015-02-18T16:22:05"/>
        <d v="2015-09-17T21:36:11"/>
        <d v="2015-01-18T20:45:40"/>
        <d v="2015-04-25T13:30:15"/>
        <d v="2015-04-08T15:46:37"/>
        <d v="2015-06-01T14:29:53"/>
        <d v="2015-07-13T11:04:22"/>
        <d v="2015-06-19T09:51:13"/>
        <d v="2015-01-04T19:07:08"/>
        <d v="2015-09-02T23:02:35"/>
        <d v="2015-02-18T15:12:57"/>
        <d v="2015-08-12T08:45:47"/>
        <d v="2015-07-05T21:13:48"/>
        <d v="2015-04-30T20:05:17"/>
        <d v="2015-05-01T00:48:32"/>
        <d v="2015-07-28T00:16:54"/>
        <d v="2015-04-28T22:02:46"/>
        <d v="2015-06-18T20:33:14"/>
        <d v="2015-03-08T20:37:41"/>
        <d v="2015-06-01T21:24:32"/>
        <d v="2015-05-05T15:19:11"/>
        <d v="2015-03-24T14:16:10"/>
        <d v="2015-05-22T16:35:23"/>
        <d v="2015-06-15T14:40:32"/>
        <d v="2015-04-03T21:29:13"/>
        <d v="2015-01-29T10:08:46"/>
        <d v="2015-04-04T15:58:07"/>
        <d v="2015-01-19T17:55:53"/>
        <d v="2015-06-16T00:26:43"/>
        <d v="2015-07-11T21:25:58"/>
        <d v="2015-08-30T16:07:59"/>
        <d v="2015-08-15T09:27:07"/>
        <d v="2015-05-10T00:48:53"/>
        <d v="2015-06-27T23:36:40"/>
        <d v="2015-08-10T14:33:31"/>
        <d v="2015-06-02T13:59:35"/>
        <d v="2015-09-07T15:13:36"/>
        <d v="2015-05-21T11:41:10"/>
        <d v="2015-03-23T04:56:31"/>
        <d v="2015-02-28T20:33:31"/>
        <d v="2015-09-13T12:14:03"/>
        <d v="2015-04-23T12:36:55"/>
        <d v="2015-07-12T15:31:20"/>
        <d v="2015-01-18T20:02:22"/>
        <d v="2015-03-22T09:08:28"/>
        <d v="2015-08-01T19:11:21"/>
        <d v="2015-05-18T19:29:40"/>
        <d v="2015-04-30T09:14:26"/>
        <d v="2015-09-04T11:22:46"/>
        <d v="2015-01-02T02:27:16"/>
        <d v="2015-06-11T11:34:50"/>
        <d v="2015-09-06T11:51:01"/>
        <d v="2015-08-30T21:59:30"/>
        <d v="2015-06-09T09:28:57"/>
        <d v="2015-03-08T18:12:11"/>
        <d v="2015-08-12T11:08:34"/>
        <d v="2015-09-20T22:14:34"/>
        <d v="2015-01-27T12:01:58"/>
        <d v="2015-01-30T20:00:48"/>
        <d v="2015-01-24T07:35:44"/>
        <d v="2015-06-17T13:17:14"/>
        <d v="2015-02-23T22:50:40"/>
        <d v="2015-06-29T16:38:26"/>
        <d v="2015-02-15T10:37:36"/>
        <d v="2015-04-26T18:13:40"/>
        <d v="2015-02-06T18:43:53"/>
        <d v="2015-01-27T17:50:42"/>
        <d v="2015-07-07T08:28:18"/>
        <d v="2015-09-11T00:33:12"/>
        <d v="2015-09-09T15:54:13"/>
        <d v="2015-02-27T19:55:50"/>
        <d v="2015-05-03T16:24:38"/>
        <d v="2015-05-19T18:15:34"/>
        <d v="2015-06-05T11:37:18"/>
        <d v="2015-08-28T11:43:35"/>
        <d v="2015-03-14T09:02:05"/>
        <d v="2015-01-20T09:27:46"/>
        <d v="2015-07-21T22:31:29"/>
        <d v="2015-03-20T08:18:48"/>
        <d v="2015-05-18T08:27:42"/>
        <d v="2015-07-09T16:15:16"/>
        <d v="2015-04-19T22:06:25"/>
        <d v="2015-06-18T21:12:12"/>
        <d v="2015-07-25T15:27:14"/>
        <d v="2015-02-19T18:59:42"/>
        <d v="2015-08-14T07:28:49"/>
        <d v="2015-01-15T13:07:53"/>
        <d v="2015-07-29T20:11:14"/>
        <d v="2015-03-11T02:00:36"/>
        <d v="2015-06-29T14:35:35"/>
        <d v="2015-08-16T16:06:22"/>
        <d v="2015-09-06T10:54:02"/>
        <d v="2015-01-26T18:51:27"/>
        <d v="2015-08-10T15:22:23"/>
        <d v="2015-04-19T17:01:59"/>
        <d v="2015-02-23T18:32:35"/>
        <d v="2015-01-30T17:15:39"/>
        <d v="2015-02-01T13:52:51"/>
        <d v="2015-07-09T16:18:26"/>
        <d v="2015-05-29T15:24:03"/>
        <d v="2015-05-21T22:51:30"/>
        <d v="2015-03-03T02:42:19"/>
        <d v="2015-05-18T22:36:21"/>
        <d v="2015-07-14T13:47:08"/>
        <d v="2015-02-26T08:52:15"/>
        <d v="2015-07-03T12:37:07"/>
        <d v="2015-08-10T22:07:50"/>
        <d v="2015-02-10T12:41:21"/>
        <d v="2015-09-03T19:53:35"/>
        <d v="2015-02-14T19:26:12"/>
        <d v="2015-06-08T14:02:41"/>
        <d v="2015-07-06T10:12:26"/>
        <d v="2015-02-23T20:33:25"/>
        <d v="2015-07-20T01:19:13"/>
        <d v="2015-08-08T08:22:10"/>
        <d v="2015-02-23T10:49:39"/>
        <d v="2015-07-13T17:05:51"/>
        <d v="2015-06-12T19:52:38"/>
        <d v="2015-09-17T11:36:29"/>
        <d v="2015-03-12T03:05:39"/>
        <d v="2015-06-29T14:04:05"/>
        <d v="2015-06-11T13:56:54"/>
        <d v="2015-07-02T17:42:34"/>
        <d v="2015-03-09T19:40:45"/>
        <d v="2015-07-14T21:55:20"/>
        <d v="2015-05-21T17:26:38"/>
        <d v="2015-03-12T11:58:16"/>
        <d v="2015-01-29T20:07:24"/>
        <d v="2015-08-14T18:04:40"/>
        <d v="2015-08-28T13:47:57"/>
        <d v="2015-03-03T12:28:26"/>
        <d v="2015-07-27T22:07:55"/>
        <d v="2015-08-04T11:45:38"/>
        <d v="2015-01-17T11:27:35"/>
        <d v="2015-08-29T12:19:41"/>
        <d v="2015-07-07T20:48:57"/>
        <d v="2015-08-06T12:48:55"/>
        <d v="2015-04-09T17:19:58"/>
        <d v="2015-07-10T12:48:25"/>
        <d v="2015-07-06T19:56:26"/>
        <d v="2015-02-02T16:03:21"/>
        <d v="2015-01-25T21:23:43"/>
        <d v="2015-02-19T16:52:01"/>
        <d v="2015-04-12T18:00:46"/>
        <d v="2015-04-03T12:08:09"/>
        <d v="2015-07-08T09:40:04"/>
        <d v="2015-01-21T12:23:19"/>
        <d v="2015-08-20T18:00:11"/>
        <d v="2015-06-22T18:34:41"/>
        <d v="2015-06-29T23:49:56"/>
        <d v="2015-06-04T07:55:32"/>
        <d v="2015-01-24T21:10:57"/>
        <d v="2015-07-26T17:32:54"/>
        <d v="2015-01-26T21:08:44"/>
        <d v="2015-08-20T09:08:57"/>
        <d v="2015-02-03T10:26:17"/>
        <d v="2015-08-30T20:41:58"/>
        <d v="2015-02-08T19:12:27"/>
        <d v="2015-07-03T22:28:28"/>
        <d v="2015-04-19T23:17:07"/>
        <d v="2015-04-04T15:20:07"/>
        <d v="2015-01-28T12:37:13"/>
        <d v="2015-07-17T18:06:24"/>
        <d v="2015-01-27T22:29:05"/>
        <d v="2015-02-14T04:30:30"/>
        <d v="2015-01-17T21:03:29"/>
        <d v="2015-01-21T17:01:29"/>
        <d v="2015-03-28T17:43:13"/>
        <d v="2015-07-11T15:57:00"/>
        <d v="2015-03-01T23:53:37"/>
        <d v="2015-04-16T11:50:27"/>
        <d v="2015-07-13T11:51:48"/>
        <d v="2015-02-18T10:36:24"/>
        <d v="2015-01-21T21:12:41"/>
        <d v="2015-03-10T21:50:54"/>
        <d v="2015-06-25T19:57:30"/>
        <d v="2015-03-24T13:18:58"/>
        <d v="2015-03-24T15:01:04"/>
        <d v="2015-03-01T10:31:52"/>
        <d v="2015-09-06T03:19:53"/>
        <d v="2015-01-19T14:15:29"/>
        <d v="2015-06-30T00:51:34"/>
        <d v="2015-03-04T13:19:26"/>
        <d v="2015-03-21T14:15:11"/>
        <d v="2015-02-22T11:43:08"/>
        <d v="2015-07-09T19:04:49"/>
        <d v="2015-05-21T17:26:13"/>
        <d v="2015-06-23T18:18:43"/>
        <d v="2015-05-07T20:53:46"/>
        <d v="2015-03-04T07:21:18"/>
        <d v="2015-08-01T13:54:07"/>
        <d v="2015-07-06T22:21:46"/>
        <d v="2015-04-04T11:04:30"/>
        <d v="2015-04-30T09:22:37"/>
        <d v="2015-01-03T03:08:38"/>
        <d v="2015-08-08T17:42:01"/>
        <d v="2015-03-22T21:06:06"/>
        <d v="2015-01-19T09:59:38"/>
        <d v="2015-07-25T02:53:11"/>
        <d v="2015-05-13T14:20:00"/>
        <d v="2015-06-16T14:15:06"/>
        <d v="2015-07-06T00:54:25"/>
        <d v="2015-03-28T12:58:34"/>
        <d v="2015-03-04T00:09:53"/>
        <d v="2015-06-05T10:54:25"/>
        <d v="2015-09-12T11:51:29"/>
        <d v="2015-05-09T00:01:42"/>
        <d v="2015-07-22T16:09:03"/>
        <d v="2015-08-18T15:06:46"/>
        <d v="2015-07-16T14:04:20"/>
        <d v="2015-06-09T15:30:01"/>
        <d v="2015-01-05T20:03:14"/>
        <d v="2015-06-17T13:34:33"/>
        <d v="2015-01-08T22:04:45"/>
        <d v="2015-06-26T16:42:42"/>
        <d v="2015-07-13T11:35:54"/>
        <d v="2015-02-24T21:45:22"/>
        <d v="2015-08-28T19:33:09"/>
        <d v="2015-03-03T19:19:56"/>
        <d v="2015-08-31T12:21:39"/>
        <d v="2015-08-08T23:25:52"/>
        <d v="2015-08-01T00:25:15"/>
        <d v="2015-03-05T16:54:50"/>
        <d v="2015-02-24T23:11:19"/>
        <d v="2015-06-14T23:38:11"/>
        <d v="2015-02-09T21:08:07"/>
        <d v="2015-03-25T03:48:01"/>
        <d v="2015-05-20T12:10:57"/>
        <d v="2015-04-23T23:16:59"/>
        <d v="2015-01-15T15:23:09"/>
        <d v="2015-09-05T23:09:35"/>
        <d v="2015-09-11T00:27:16"/>
        <d v="2015-04-05T07:45:32"/>
        <d v="2015-06-11T11:10:19"/>
        <d v="2015-01-03T17:18:54"/>
        <d v="2015-03-07T23:13:53"/>
        <d v="2015-01-12T12:40:56"/>
        <d v="2015-03-13T20:00:22"/>
        <d v="2015-02-06T21:59:29"/>
        <d v="2015-07-13T15:23:56"/>
        <d v="2015-09-24T20:37:15"/>
        <d v="2015-06-01T15:09:42"/>
        <d v="2015-03-18T21:24:57"/>
        <d v="2015-03-24T19:45:17"/>
        <d v="2015-02-20T11:55:21"/>
        <d v="2015-02-06T23:39:36"/>
        <d v="2015-06-08T18:33:40"/>
        <d v="2015-01-10T15:48:40"/>
        <d v="2015-06-03T14:18:45"/>
        <d v="2015-02-17T15:31:15"/>
        <d v="2015-07-29T19:44:10"/>
        <d v="2015-02-04T17:42:55"/>
        <d v="2015-03-02T23:06:45"/>
        <d v="2015-06-27T19:49:52"/>
        <d v="2015-03-02T21:38:18"/>
        <d v="2015-05-17T14:13:29"/>
        <d v="2015-02-09T11:32:16"/>
        <d v="2015-07-02T09:39:50"/>
        <d v="2015-05-21T21:08:06"/>
        <d v="2015-03-11T22:51:57"/>
        <d v="2015-01-23T12:26:50"/>
        <d v="2015-07-15T14:16:49"/>
        <d v="2015-09-11T08:21:06"/>
        <d v="2015-03-24T20:53:20"/>
        <d v="2015-07-02T09:53:40"/>
        <d v="2015-03-04T14:47:27"/>
        <d v="2015-01-22T16:01:22"/>
        <d v="2015-08-21T13:44:47"/>
        <d v="2015-02-04T19:23:17"/>
        <d v="2015-03-11T00:40:31"/>
        <d v="2015-01-17T12:24:30"/>
        <d v="2015-06-01T14:11:14"/>
        <d v="2015-05-25T11:34:45"/>
        <d v="2015-01-18T16:30:38"/>
        <d v="2015-07-08T08:27:46"/>
        <d v="2015-07-13T16:01:03"/>
        <d v="2015-07-06T13:45:55"/>
        <d v="2015-01-22T11:53:22"/>
        <d v="2015-09-08T19:56:34"/>
        <d v="2015-07-03T14:22:37"/>
        <d v="2015-06-25T06:06:49"/>
        <d v="2015-04-08T13:34:38"/>
        <d v="2015-03-07T16:05:27"/>
        <d v="2015-09-15T21:19:41"/>
        <d v="2015-01-19T19:04:23"/>
        <d v="2015-02-13T09:56:17"/>
        <d v="2015-01-30T05:39:07"/>
        <d v="2015-06-15T12:34:11"/>
        <d v="2015-04-21T19:31:37"/>
        <d v="2015-08-29T10:45:04"/>
        <d v="2015-06-06T17:42:58"/>
        <d v="2015-04-17T20:46:08"/>
        <d v="2015-08-18T01:25:22"/>
        <d v="2015-07-25T18:06:33"/>
        <d v="2015-01-17T20:53:42"/>
        <d v="2015-09-05T09:21:02"/>
        <d v="2015-01-18T23:47:33"/>
        <d v="2015-02-07T07:54:31"/>
        <d v="2015-09-05T16:26:58"/>
        <d v="2015-06-12T12:56:24"/>
        <d v="2015-03-07T10:38:13"/>
        <d v="2015-05-13T18:36:31"/>
        <d v="2015-07-14T21:19:04"/>
        <d v="2015-03-18T13:36:04"/>
        <d v="2015-07-01T13:27:02"/>
        <d v="2015-05-29T13:53:29"/>
        <d v="2015-04-16T18:56:33"/>
        <d v="2015-01-18T01:06:06"/>
        <d v="2015-01-19T19:18:19"/>
        <d v="2015-04-01T18:27:53"/>
        <d v="2015-06-03T22:03:07"/>
        <d v="2015-06-15T10:16:25"/>
        <d v="2015-09-11T12:29:59"/>
        <d v="2015-04-06T13:43:59"/>
        <d v="2015-07-20T15:11:36"/>
        <d v="2015-09-13T18:08:52"/>
        <d v="2015-07-07T22:27:42"/>
        <d v="2015-08-24T15:55:00"/>
        <d v="2015-05-09T10:03:09"/>
        <d v="2015-02-28T11:50:44"/>
        <d v="2015-01-21T11:41:20"/>
        <d v="2015-07-19T19:50:23"/>
        <d v="2015-07-23T11:24:52"/>
        <d v="2015-04-24T23:40:44"/>
        <d v="2015-04-21T10:02:58"/>
        <d v="2015-06-03T21:38:03"/>
        <d v="2015-05-09T11:02:20"/>
        <d v="2015-09-07T11:30:00"/>
        <d v="2015-09-24T19:39:51"/>
        <d v="2015-01-15T14:07:35"/>
        <d v="2015-09-03T14:23:56"/>
        <d v="2015-03-17T19:56:07"/>
        <d v="2015-06-05T16:34:37"/>
        <d v="2015-02-25T20:27:17"/>
        <d v="2015-09-15T19:01:17"/>
        <d v="2015-02-08T11:11:12"/>
        <d v="2015-03-09T11:16:47"/>
        <d v="2015-05-22T21:48:37"/>
        <d v="2015-02-03T15:49:36"/>
        <d v="2015-01-16T23:27:02"/>
        <d v="2015-06-25T08:43:29"/>
        <d v="2015-03-17T08:00:40"/>
        <d v="2015-09-22T11:32:35"/>
        <d v="2015-06-03T13:54:10"/>
        <d v="2015-05-19T14:26:49"/>
        <d v="2015-04-13T23:40:46"/>
        <d v="2015-08-09T11:06:30"/>
        <d v="2015-04-13T09:07:51"/>
        <d v="2015-09-01T22:41:05"/>
        <d v="2015-08-10T16:32:55"/>
        <d v="2015-03-28T19:12:32"/>
        <d v="2015-07-15T12:47:36"/>
        <d v="2015-07-26T11:14:32"/>
        <d v="2015-02-23T00:09:59"/>
        <d v="2015-05-15T00:47:53"/>
        <d v="2015-07-07T17:31:58"/>
        <d v="2015-08-22T11:12:37"/>
        <d v="2015-09-01T14:38:39"/>
        <d v="2015-07-29T17:28:57"/>
        <d v="2015-06-24T23:36:46"/>
        <d v="2015-08-21T02:00:31"/>
        <d v="2015-07-22T11:17:33"/>
        <d v="2015-05-09T22:40:16"/>
        <d v="2015-01-07T03:03:43"/>
        <d v="2015-04-28T11:47:23"/>
        <d v="2015-09-06T12:26:20"/>
        <d v="2015-04-01T14:07:26"/>
        <d v="2015-03-30T22:15:33"/>
        <d v="2015-09-05T11:28:26"/>
        <d v="2015-09-19T15:18:06"/>
        <d v="2015-09-08T22:56:56"/>
        <d v="2015-06-12T13:47:12"/>
        <d v="2015-06-10T14:36:08"/>
        <d v="2015-02-04T16:57:30"/>
        <d v="2015-04-12T22:46:53"/>
        <d v="2015-06-09T12:19:25"/>
        <d v="2015-02-10T01:47:42"/>
        <d v="2015-06-24T12:02:02"/>
        <d v="2015-03-13T11:48:22"/>
        <d v="2015-08-09T15:25:53"/>
        <d v="2015-02-15T13:47:49"/>
        <d v="2015-07-20T16:11:41"/>
        <d v="2015-07-22T19:36:48"/>
        <d v="2015-05-22T11:02:00"/>
        <d v="2015-08-31T18:23:13"/>
        <d v="2015-05-29T09:06:48"/>
        <d v="2015-01-13T04:00:07"/>
        <d v="2015-04-28T14:22:10"/>
        <d v="2015-05-26T03:39:10"/>
        <d v="2015-06-21T13:35:41"/>
        <d v="2015-06-04T13:56:31"/>
        <d v="2015-03-05T08:33:52"/>
        <d v="2015-06-01T21:05:24"/>
        <d v="2015-08-23T11:47:28"/>
        <d v="2015-03-15T12:36:33"/>
        <d v="2015-08-12T13:11:15"/>
        <d v="2015-01-27T09:48:33"/>
        <d v="2015-05-21T07:57:09"/>
        <d v="2015-01-02T17:10:06"/>
        <d v="2015-05-25T10:03:52"/>
        <d v="2015-03-23T00:24:54"/>
        <d v="2015-01-30T20:19:33"/>
        <d v="2015-02-22T22:11:08"/>
        <d v="2015-05-02T16:51:46"/>
        <d v="2015-02-01T19:21:42"/>
        <d v="2015-07-12T08:51:26"/>
        <d v="2015-07-13T14:32:39"/>
        <d v="2015-05-30T11:29:37"/>
        <d v="2015-05-23T10:44:00"/>
        <d v="2015-06-16T10:07:56"/>
        <d v="2015-09-13T20:21:56"/>
        <d v="2015-06-16T12:04:16"/>
        <d v="2015-01-16T10:03:22"/>
        <d v="2015-07-06T22:15:33"/>
        <d v="2015-01-22T23:46:54"/>
        <d v="2015-01-03T18:17:23"/>
        <d v="2015-07-05T14:49:56"/>
        <d v="2015-06-19T11:16:11"/>
        <d v="2015-03-08T14:14:42"/>
        <d v="2015-02-05T11:57:48"/>
        <d v="2015-05-26T22:47:29"/>
        <d v="2015-06-03T09:13:59"/>
        <d v="2015-06-02T22:47:28"/>
        <d v="2015-03-09T16:18:44"/>
        <d v="2015-06-17T15:42:16"/>
        <d v="2015-03-10T21:54:13"/>
        <d v="2015-06-06T12:29:56"/>
        <d v="2015-03-01T14:08:34"/>
        <d v="2015-08-09T21:31:13"/>
        <d v="2015-08-23T17:45:33"/>
        <d v="2015-02-10T10:30:33"/>
        <d v="2015-03-04T10:18:38"/>
        <d v="2015-01-23T13:42:29"/>
        <d v="2015-01-18T09:25:01"/>
        <d v="2015-06-13T00:47:39"/>
        <d v="2015-06-30T11:48:59"/>
        <d v="2015-07-23T23:24:07"/>
        <d v="2015-08-10T15:33:09"/>
        <d v="2015-07-25T20:38:44"/>
        <d v="2015-02-25T19:17:55"/>
        <d v="2015-02-19T20:39:04"/>
        <d v="2015-02-18T11:55:53"/>
        <d v="2015-08-05T14:56:59"/>
        <d v="2015-09-09T16:24:30"/>
        <d v="2015-07-22T09:06:30"/>
        <d v="2015-01-28T08:11:35"/>
        <d v="2015-09-12T11:58:14"/>
        <d v="2015-08-16T13:45:02"/>
        <d v="2015-05-28T15:38:35"/>
        <d v="2015-08-06T00:07:51"/>
        <d v="2015-03-25T11:06:09"/>
        <d v="2015-07-07T11:06:06"/>
        <d v="2015-03-24T22:24:56"/>
        <d v="2015-01-16T22:27:05"/>
        <d v="2015-07-26T12:03:19"/>
        <d v="2015-09-04T05:41:05"/>
        <d v="2015-06-16T08:25:28"/>
        <d v="2015-03-02T08:54:29"/>
        <d v="2015-03-02T12:55:16"/>
        <d v="2015-08-30T11:30:00"/>
        <d v="2015-03-11T09:53:54"/>
        <d v="2015-05-06T13:03:02"/>
        <d v="2015-07-11T19:39:43"/>
        <d v="2015-06-13T18:11:41"/>
        <d v="2015-01-22T10:00:56"/>
        <d v="2015-09-13T11:46:44"/>
        <d v="2015-02-08T20:07:54"/>
        <d v="2015-06-26T16:54:53"/>
        <d v="2015-01-31T20:21:26"/>
        <d v="2015-02-25T09:34:36"/>
        <d v="2015-05-20T10:24:05"/>
        <d v="2015-08-12T12:36:05"/>
        <d v="2015-09-17T13:16:44"/>
        <d v="2015-08-01T21:47:11"/>
        <d v="2015-08-24T20:02:17"/>
        <d v="2015-01-02T19:22:59"/>
        <d v="2015-01-18T11:12:34"/>
        <d v="2015-01-30T15:02:50"/>
        <d v="2015-06-04T11:41:28"/>
        <d v="2015-08-02T19:22:49"/>
        <d v="2015-06-29T15:34:07"/>
        <d v="2015-06-27T12:07:04"/>
        <d v="2015-03-14T20:37:32"/>
        <d v="2015-09-03T11:21:54"/>
        <d v="2015-01-20T21:35:26"/>
        <d v="2015-06-23T08:56:31"/>
        <d v="2015-06-06T09:29:09"/>
        <d v="2015-08-26T13:22:20"/>
        <d v="2015-05-23T19:31:49"/>
        <d v="2015-02-18T11:11:46"/>
        <d v="2015-03-25T17:48:06"/>
        <d v="2015-01-20T11:34:11"/>
        <d v="2015-06-15T09:36:10"/>
        <d v="2015-03-10T14:29:55"/>
        <d v="2015-07-27T16:43:25"/>
        <d v="2015-07-13T09:06:19"/>
        <d v="2015-04-01T14:23:30"/>
        <d v="2015-03-19T20:34:19"/>
        <d v="2015-08-20T20:23:48"/>
        <d v="2015-04-21T16:00:05"/>
        <d v="2015-03-19T15:53:02"/>
        <d v="2015-04-01T09:27:07"/>
        <d v="2015-01-26T10:39:59"/>
        <d v="2015-09-02T12:27:53"/>
        <d v="2015-03-17T13:57:15"/>
        <d v="2015-06-07T20:14:56"/>
        <d v="2015-05-29T20:58:10"/>
        <d v="2015-05-04T16:22:35"/>
        <d v="2015-05-21T14:00:56"/>
        <d v="2015-02-16T18:23:42"/>
        <d v="2015-01-29T12:14:25"/>
        <d v="2015-08-27T08:19:10"/>
        <d v="2015-08-11T11:48:10"/>
        <d v="2015-02-04T18:24:49"/>
        <d v="2015-03-20T20:43:35"/>
        <d v="2015-06-11T07:56:27"/>
        <d v="2015-03-22T23:02:42"/>
        <d v="2015-01-12T07:49:38"/>
        <d v="2015-02-08T10:51:24"/>
        <d v="2015-05-22T16:52:53"/>
        <d v="2015-07-24T14:29:37"/>
        <d v="2015-06-08T11:00:44"/>
        <d v="2015-04-07T17:22:59"/>
        <d v="2015-04-07T16:33:26"/>
        <d v="2015-01-03T07:46:28"/>
        <d v="2015-01-12T17:39:18"/>
        <d v="2015-06-26T16:16:54"/>
        <d v="2015-02-09T20:19:41"/>
        <d v="2015-07-22T07:54:31"/>
        <d v="2015-06-10T11:28:01"/>
        <d v="2015-07-14T17:28:13"/>
        <d v="2015-06-08T14:00:44"/>
        <d v="2015-05-21T10:17:00"/>
        <d v="2015-07-28T15:12:13"/>
        <d v="2015-03-16T09:04:33"/>
        <d v="2015-01-10T17:31:31"/>
        <d v="2015-07-16T17:33:37"/>
        <d v="2015-09-02T07:36:32"/>
        <d v="2015-07-13T21:54:03"/>
        <d v="2015-09-01T20:40:03"/>
        <d v="2015-06-08T13:11:35"/>
        <d v="2015-03-14T08:50:57"/>
        <d v="2015-03-21T16:15:32"/>
        <d v="2015-08-18T12:26:33"/>
        <d v="2015-06-10T13:58:44"/>
        <d v="2015-03-15T17:55:16"/>
        <d v="2015-01-14T17:59:44"/>
        <d v="2015-09-05T00:35:34"/>
        <d v="2015-08-15T20:44:04"/>
        <d v="2015-07-20T19:13:28"/>
        <d v="2015-05-29T05:02:59"/>
      </sharedItems>
      <fieldGroup par="17" base="13">
        <rangePr groupBy="days" startDate="2015-01-02T02:27:16" endDate="2015-09-24T20:37:15"/>
        <groupItems count="368">
          <s v="&lt;1/2/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4/2015"/>
        </groupItems>
      </fieldGroup>
    </cacheField>
    <cacheField name="First Order Purchase day" numFmtId="0">
      <sharedItems containsSemiMixedTypes="0" containsString="0" containsNumber="1" containsInteger="1" minValue="1" maxValue="31"/>
    </cacheField>
    <cacheField name="First Order Purchase weekday" numFmtId="0">
      <sharedItems containsSemiMixedTypes="0" containsString="0" containsNumber="1" containsInteger="1" minValue="1" maxValue="7" count="7">
        <n v="7"/>
        <n v="5"/>
        <n v="1"/>
        <n v="2"/>
        <n v="6"/>
        <n v="3"/>
        <n v="4"/>
      </sharedItems>
    </cacheField>
    <cacheField name="First Order Purchase hour" numFmtId="0">
      <sharedItems containsSemiMixedTypes="0" containsString="0" containsNumber="1" containsInteger="1" minValue="0" maxValue="23" count="24">
        <n v="23"/>
        <n v="22"/>
        <n v="21"/>
        <n v="11"/>
        <n v="16"/>
        <n v="20"/>
        <n v="18"/>
        <n v="12"/>
        <n v="17"/>
        <n v="14"/>
        <n v="15"/>
        <n v="6"/>
        <n v="19"/>
        <n v="10"/>
        <n v="0"/>
        <n v="9"/>
        <n v="7"/>
        <n v="13"/>
        <n v="8"/>
        <n v="3"/>
        <n v="1"/>
        <n v="2"/>
        <n v="5"/>
        <n v="4"/>
      </sharedItems>
    </cacheField>
    <cacheField name="Months" numFmtId="0" databaseField="0">
      <fieldGroup base="13">
        <rangePr groupBy="months" startDate="2015-01-02T02:27:16" endDate="2015-09-24T20:37:15"/>
        <groupItems count="14">
          <s v="&lt;1/2/2015"/>
          <s v="Jan"/>
          <s v="Feb"/>
          <s v="Mar"/>
          <s v="Apr"/>
          <s v="May"/>
          <s v="Jun"/>
          <s v="Jul"/>
          <s v="Aug"/>
          <s v="Sep"/>
          <s v="Oct"/>
          <s v="Nov"/>
          <s v="Dec"/>
          <s v="&gt;9/24/201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de Miller" refreshedDate="46066.933699421294" createdVersion="8" refreshedVersion="8" minRefreshableVersion="3" recordCount="1050" xr:uid="{B2229816-1E51-433A-8139-D83A2974445A}">
  <cacheSource type="worksheet">
    <worksheetSource ref="A1:R1048576" sheet="Data"/>
  </cacheSource>
  <cacheFields count="18">
    <cacheField name="Customer ID" numFmtId="0">
      <sharedItems containsString="0" containsBlank="1" containsNumber="1" containsInteger="1" minValue="1" maxValue="1100"/>
    </cacheField>
    <cacheField name="State" numFmtId="0">
      <sharedItems containsBlank="1"/>
    </cacheField>
    <cacheField name="Postcode" numFmtId="0">
      <sharedItems containsBlank="1"/>
    </cacheField>
    <cacheField name="Registration date" numFmtId="0">
      <sharedItems containsNonDate="0" containsDate="1" containsString="0" containsBlank="1" minDate="2013-09-20T19:18:53" maxDate="2015-09-25T00:37:14"/>
    </cacheField>
    <cacheField name="Last site visit" numFmtId="0">
      <sharedItems containsNonDate="0" containsDate="1" containsString="0" containsBlank="1" minDate="2015-01-02T02:27:18" maxDate="2015-09-24T20:37:18"/>
    </cacheField>
    <cacheField name="Number of site visits" numFmtId="0">
      <sharedItems containsString="0" containsBlank="1" containsNumber="1" containsInteger="1" minValue="1" maxValue="22"/>
    </cacheField>
    <cacheField name="Number of product page views" numFmtId="0">
      <sharedItems containsString="0" containsBlank="1" containsNumber="1" containsInteger="1" minValue="0" maxValue="31"/>
    </cacheField>
    <cacheField name="Number of add to cart events" numFmtId="0">
      <sharedItems containsString="0" containsBlank="1" containsNumber="1" containsInteger="1" minValue="1" maxValue="43"/>
    </cacheField>
    <cacheField name="Number of checkout events" numFmtId="0">
      <sharedItems containsString="0" containsBlank="1" containsNumber="1" containsInteger="1" minValue="1" maxValue="34"/>
    </cacheField>
    <cacheField name="Number of orders placed" numFmtId="0">
      <sharedItems containsString="0" containsBlank="1" containsNumber="1" containsInteger="1" minValue="1" maxValue="3"/>
    </cacheField>
    <cacheField name="Items purchased" numFmtId="0">
      <sharedItems containsString="0" containsBlank="1" containsNumber="1" containsInteger="1" minValue="1" maxValue="32"/>
    </cacheField>
    <cacheField name="First Order Revenue" numFmtId="0">
      <sharedItems containsString="0" containsBlank="1" containsNumber="1" minValue="6.75" maxValue="267.3"/>
    </cacheField>
    <cacheField name="First Order Purchase Mo" numFmtId="0">
      <sharedItems containsBlank="1"/>
    </cacheField>
    <cacheField name="First Order Purchase Date" numFmtId="0">
      <sharedItems containsNonDate="0" containsDate="1" containsString="0" containsBlank="1" minDate="2015-01-02T02:27:16" maxDate="2015-09-24T20:37:15"/>
    </cacheField>
    <cacheField name="First Order Purchase day" numFmtId="0">
      <sharedItems containsString="0" containsBlank="1" containsNumber="1" containsInteger="1" minValue="1" maxValue="31" count="32">
        <n v="15"/>
        <n v="22"/>
        <n v="5"/>
        <n v="25"/>
        <n v="28"/>
        <n v="12"/>
        <n v="1"/>
        <n v="10"/>
        <n v="17"/>
        <n v="18"/>
        <n v="23"/>
        <n v="24"/>
        <n v="11"/>
        <n v="30"/>
        <n v="31"/>
        <n v="20"/>
        <n v="7"/>
        <n v="6"/>
        <n v="21"/>
        <n v="19"/>
        <n v="13"/>
        <n v="9"/>
        <n v="16"/>
        <n v="3"/>
        <n v="4"/>
        <n v="14"/>
        <n v="29"/>
        <n v="26"/>
        <n v="27"/>
        <n v="8"/>
        <n v="2"/>
        <m/>
      </sharedItems>
    </cacheField>
    <cacheField name="First Order Purchase weekday" numFmtId="0">
      <sharedItems containsString="0" containsBlank="1" containsNumber="1" containsInteger="1" minValue="1" maxValue="7"/>
    </cacheField>
    <cacheField name="First Order Purchase hour" numFmtId="0">
      <sharedItems containsString="0" containsBlank="1" containsNumber="1" containsInteger="1" minValue="0" maxValue="23"/>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
    <m/>
    <m/>
    <d v="2015-08-16T03:05:28"/>
    <d v="2015-08-15T23:05:30"/>
    <n v="1"/>
    <n v="2"/>
    <n v="4"/>
    <n v="6"/>
    <n v="1"/>
    <x v="0"/>
    <x v="0"/>
    <d v="2015-08-15T23:07:22"/>
    <n v="15"/>
    <n v="7"/>
    <n v="23"/>
  </r>
  <r>
    <n v="2"/>
    <s v="Georgia"/>
    <s v="30345"/>
    <d v="2015-01-22T22:28:27"/>
    <d v="2015-01-22T22:28:32"/>
    <n v="1"/>
    <n v="0"/>
    <n v="6"/>
    <n v="2"/>
    <n v="1"/>
    <x v="1"/>
    <x v="1"/>
    <d v="2015-01-22T22:28:29"/>
    <n v="22"/>
    <n v="5"/>
    <n v="22"/>
  </r>
  <r>
    <n v="3"/>
    <s v="Arkansas"/>
    <s v="72401"/>
    <d v="2015-07-06T01:39:49"/>
    <d v="2015-07-05T21:39:56"/>
    <n v="2"/>
    <n v="1"/>
    <n v="8"/>
    <n v="2"/>
    <n v="1"/>
    <x v="2"/>
    <x v="2"/>
    <d v="2015-07-05T21:39:50"/>
    <n v="5"/>
    <n v="1"/>
    <n v="21"/>
  </r>
  <r>
    <n v="4"/>
    <s v="Iowa"/>
    <s v="52172"/>
    <d v="2015-07-25T11:12:07"/>
    <d v="2015-07-25T11:12:10"/>
    <n v="1"/>
    <n v="4"/>
    <n v="6"/>
    <n v="15"/>
    <n v="1"/>
    <x v="0"/>
    <x v="3"/>
    <d v="2015-07-25T11:12:07"/>
    <n v="25"/>
    <n v="7"/>
    <n v="11"/>
  </r>
  <r>
    <n v="5"/>
    <s v="Iowa"/>
    <s v="50025"/>
    <d v="2015-02-28T16:58:43"/>
    <d v="2015-02-28T16:58:49"/>
    <n v="1"/>
    <n v="0"/>
    <n v="4"/>
    <n v="1"/>
    <n v="1"/>
    <x v="3"/>
    <x v="4"/>
    <d v="2015-02-28T16:58:44"/>
    <n v="28"/>
    <n v="7"/>
    <n v="16"/>
  </r>
  <r>
    <n v="6"/>
    <m/>
    <m/>
    <d v="2015-01-12T20:38:22"/>
    <d v="2015-01-12T20:38:27"/>
    <n v="1"/>
    <n v="0"/>
    <n v="4"/>
    <n v="3"/>
    <n v="1"/>
    <x v="3"/>
    <x v="4"/>
    <d v="2015-01-12T20:38:24"/>
    <n v="12"/>
    <n v="2"/>
    <n v="20"/>
  </r>
  <r>
    <n v="7"/>
    <s v="Virginia"/>
    <s v="24445"/>
    <d v="2015-05-01T21:52:09"/>
    <d v="2015-05-01T21:52:14"/>
    <n v="1"/>
    <n v="0"/>
    <n v="4"/>
    <n v="1"/>
    <n v="1"/>
    <x v="3"/>
    <x v="5"/>
    <d v="2015-05-01T21:52:10"/>
    <n v="1"/>
    <n v="6"/>
    <n v="21"/>
  </r>
  <r>
    <n v="8"/>
    <s v="Florida"/>
    <s v="33472"/>
    <d v="2015-09-01T18:10:32"/>
    <d v="2015-09-01T18:10:36"/>
    <n v="1"/>
    <n v="0"/>
    <n v="2"/>
    <n v="2"/>
    <n v="1"/>
    <x v="0"/>
    <x v="6"/>
    <d v="2015-09-01T18:10:32"/>
    <n v="1"/>
    <n v="3"/>
    <n v="18"/>
  </r>
  <r>
    <n v="9"/>
    <s v="District of Columbia"/>
    <s v="20009"/>
    <d v="2015-06-11T02:23:21"/>
    <d v="2015-06-10T22:23:27"/>
    <n v="1"/>
    <n v="2"/>
    <n v="14"/>
    <n v="2"/>
    <n v="1"/>
    <x v="4"/>
    <x v="7"/>
    <d v="2015-06-10T22:23:23"/>
    <n v="10"/>
    <n v="4"/>
    <n v="22"/>
  </r>
  <r>
    <n v="10"/>
    <s v="Michigan"/>
    <s v="48301"/>
    <d v="2015-06-17T12:50:10"/>
    <d v="2015-06-17T15:13:58"/>
    <n v="2"/>
    <n v="2"/>
    <n v="2"/>
    <n v="3"/>
    <n v="1"/>
    <x v="0"/>
    <x v="2"/>
    <d v="2015-06-17T12:50:11"/>
    <n v="17"/>
    <n v="4"/>
    <n v="12"/>
  </r>
  <r>
    <n v="11"/>
    <s v="Massachusetts"/>
    <s v="02476"/>
    <d v="2015-04-18T11:17:58"/>
    <d v="2015-04-18T11:18:21"/>
    <n v="1"/>
    <n v="2"/>
    <n v="8"/>
    <n v="3"/>
    <n v="1"/>
    <x v="1"/>
    <x v="8"/>
    <d v="2015-04-18T11:18:17"/>
    <n v="18"/>
    <n v="7"/>
    <n v="11"/>
  </r>
  <r>
    <n v="12"/>
    <s v="Georgia"/>
    <s v="30329"/>
    <d v="2015-06-23T21:10:53"/>
    <d v="2015-06-23T17:10:58"/>
    <n v="1"/>
    <n v="4"/>
    <n v="4"/>
    <n v="2"/>
    <n v="1"/>
    <x v="2"/>
    <x v="1"/>
    <d v="2015-06-23T17:10:55"/>
    <n v="23"/>
    <n v="3"/>
    <n v="17"/>
  </r>
  <r>
    <n v="13"/>
    <s v="Minnesota"/>
    <s v="55431"/>
    <d v="2015-03-24T16:28:12"/>
    <d v="2015-03-24T16:28:18"/>
    <n v="1"/>
    <n v="2"/>
    <n v="2"/>
    <n v="2"/>
    <n v="1"/>
    <x v="0"/>
    <x v="9"/>
    <d v="2015-03-24T16:33:18"/>
    <n v="24"/>
    <n v="3"/>
    <n v="16"/>
  </r>
  <r>
    <n v="15"/>
    <s v="New York"/>
    <s v="10007"/>
    <d v="2015-05-11T18:39:47"/>
    <d v="2015-05-12T13:13:45"/>
    <n v="5"/>
    <n v="4"/>
    <n v="6"/>
    <n v="2"/>
    <n v="1"/>
    <x v="1"/>
    <x v="1"/>
    <d v="2015-05-11T18:39:47"/>
    <n v="11"/>
    <n v="2"/>
    <n v="18"/>
  </r>
  <r>
    <n v="16"/>
    <s v="Nebraska"/>
    <s v="68128"/>
    <d v="2015-03-15T14:49:39"/>
    <d v="2015-03-15T14:49:44"/>
    <n v="1"/>
    <n v="1"/>
    <n v="8"/>
    <n v="1"/>
    <n v="1"/>
    <x v="5"/>
    <x v="10"/>
    <d v="2015-03-15T14:49:40"/>
    <n v="15"/>
    <n v="1"/>
    <n v="14"/>
  </r>
  <r>
    <n v="17"/>
    <s v="California"/>
    <s v="93460"/>
    <d v="2015-07-16T01:10:06"/>
    <d v="2015-07-15T21:10:14"/>
    <n v="1"/>
    <n v="2"/>
    <n v="8"/>
    <n v="2"/>
    <n v="1"/>
    <x v="1"/>
    <x v="11"/>
    <d v="2015-07-15T21:10:08"/>
    <n v="15"/>
    <n v="4"/>
    <n v="21"/>
  </r>
  <r>
    <n v="18"/>
    <s v="California"/>
    <s v="94061"/>
    <d v="2015-06-30T15:28:02"/>
    <d v="2015-06-30T15:28:05"/>
    <n v="1"/>
    <n v="0"/>
    <n v="2"/>
    <n v="2"/>
    <n v="1"/>
    <x v="0"/>
    <x v="2"/>
    <d v="2015-06-30T15:28:02"/>
    <n v="30"/>
    <n v="3"/>
    <n v="15"/>
  </r>
  <r>
    <n v="19"/>
    <s v="Pennsylvania"/>
    <s v="17821"/>
    <d v="2015-05-10T06:42:19"/>
    <d v="2015-05-10T06:42:22"/>
    <n v="1"/>
    <n v="2"/>
    <n v="2"/>
    <n v="2"/>
    <n v="1"/>
    <x v="0"/>
    <x v="2"/>
    <d v="2015-05-10T06:42:19"/>
    <n v="10"/>
    <n v="1"/>
    <n v="6"/>
  </r>
  <r>
    <n v="20"/>
    <s v="Pennsylvania"/>
    <s v="16033"/>
    <d v="2015-07-31T16:11:59"/>
    <d v="2015-07-31T16:12:02"/>
    <n v="1"/>
    <n v="2"/>
    <n v="4"/>
    <n v="6"/>
    <n v="1"/>
    <x v="0"/>
    <x v="6"/>
    <d v="2015-07-31T16:11:59"/>
    <n v="31"/>
    <n v="6"/>
    <n v="16"/>
  </r>
  <r>
    <n v="21"/>
    <m/>
    <m/>
    <d v="2015-07-20T23:21:04"/>
    <d v="2015-07-20T19:21:06"/>
    <n v="1"/>
    <n v="4"/>
    <n v="4"/>
    <n v="4"/>
    <n v="1"/>
    <x v="0"/>
    <x v="0"/>
    <d v="2015-07-20T19:28:59"/>
    <n v="20"/>
    <n v="2"/>
    <n v="19"/>
  </r>
  <r>
    <n v="22"/>
    <s v="Michigan"/>
    <s v="49201"/>
    <d v="2015-08-08T03:46:38"/>
    <d v="2015-08-07T23:46:41"/>
    <n v="1"/>
    <n v="2"/>
    <n v="2"/>
    <n v="3"/>
    <n v="1"/>
    <x v="6"/>
    <x v="12"/>
    <d v="2015-08-07T23:46:38"/>
    <n v="7"/>
    <n v="6"/>
    <n v="23"/>
  </r>
  <r>
    <n v="23"/>
    <s v="Indiana"/>
    <s v="46601"/>
    <d v="2015-07-06T10:05:55"/>
    <d v="2015-07-06T10:05:58"/>
    <n v="1"/>
    <n v="2"/>
    <n v="8"/>
    <n v="4"/>
    <n v="1"/>
    <x v="2"/>
    <x v="2"/>
    <d v="2015-07-06T10:05:55"/>
    <n v="6"/>
    <n v="2"/>
    <n v="10"/>
  </r>
  <r>
    <n v="24"/>
    <m/>
    <m/>
    <d v="2015-02-17T11:45:53"/>
    <d v="2015-02-21T20:00:13"/>
    <n v="2"/>
    <n v="2"/>
    <n v="14"/>
    <n v="6"/>
    <n v="1"/>
    <x v="2"/>
    <x v="1"/>
    <d v="2015-02-21T20:04:10"/>
    <n v="21"/>
    <n v="7"/>
    <n v="20"/>
  </r>
  <r>
    <n v="25"/>
    <s v="North Carolina"/>
    <s v="28759"/>
    <d v="2015-01-20T21:39:14"/>
    <d v="2015-01-20T21:39:22"/>
    <n v="1"/>
    <n v="2"/>
    <n v="6"/>
    <n v="2"/>
    <n v="1"/>
    <x v="3"/>
    <x v="13"/>
    <d v="2015-01-20T21:39:15"/>
    <n v="20"/>
    <n v="3"/>
    <n v="21"/>
  </r>
  <r>
    <n v="26"/>
    <s v="Massachusetts"/>
    <s v="02072"/>
    <d v="2015-03-11T22:30:27"/>
    <d v="2015-03-11T22:30:33"/>
    <n v="1"/>
    <n v="0"/>
    <n v="8"/>
    <n v="4"/>
    <n v="1"/>
    <x v="2"/>
    <x v="2"/>
    <d v="2015-03-11T22:30:28"/>
    <n v="11"/>
    <n v="4"/>
    <n v="22"/>
  </r>
  <r>
    <n v="27"/>
    <s v="Ohio"/>
    <s v="43402"/>
    <d v="2015-07-01T15:47:19"/>
    <d v="2015-07-13T16:51:51"/>
    <n v="19"/>
    <n v="10"/>
    <n v="13"/>
    <n v="14"/>
    <n v="1"/>
    <x v="6"/>
    <x v="14"/>
    <d v="2015-07-11T00:41:44"/>
    <n v="11"/>
    <n v="7"/>
    <n v="0"/>
  </r>
  <r>
    <n v="28"/>
    <s v="California"/>
    <s v="93901"/>
    <d v="2015-09-19T21:32:07"/>
    <d v="2015-09-19T21:32:12"/>
    <n v="1"/>
    <n v="4"/>
    <n v="2"/>
    <n v="3"/>
    <n v="1"/>
    <x v="0"/>
    <x v="15"/>
    <d v="2015-09-19T21:32:07"/>
    <n v="19"/>
    <n v="7"/>
    <n v="21"/>
  </r>
  <r>
    <n v="29"/>
    <s v="Florida"/>
    <s v="33510"/>
    <d v="2015-05-23T13:45:30"/>
    <d v="2015-05-23T17:55:43"/>
    <n v="3"/>
    <n v="2"/>
    <n v="2"/>
    <n v="4"/>
    <n v="1"/>
    <x v="3"/>
    <x v="16"/>
    <d v="2015-05-23T09:47:36"/>
    <n v="23"/>
    <n v="7"/>
    <n v="9"/>
  </r>
  <r>
    <n v="30"/>
    <s v="Colorado"/>
    <s v="81007"/>
    <d v="2015-01-13T12:18:26"/>
    <d v="2015-03-08T16:53:14"/>
    <n v="2"/>
    <n v="0"/>
    <n v="17"/>
    <n v="8"/>
    <n v="2"/>
    <x v="7"/>
    <x v="1"/>
    <d v="2015-01-13T12:18:27"/>
    <n v="13"/>
    <n v="3"/>
    <n v="12"/>
  </r>
  <r>
    <n v="32"/>
    <s v="Florida"/>
    <s v="32832"/>
    <d v="2015-02-20T20:32:16"/>
    <d v="2015-02-20T20:32:21"/>
    <n v="1"/>
    <n v="0"/>
    <n v="4"/>
    <n v="1"/>
    <n v="1"/>
    <x v="3"/>
    <x v="14"/>
    <d v="2015-02-20T20:32:17"/>
    <n v="20"/>
    <n v="6"/>
    <n v="20"/>
  </r>
  <r>
    <n v="33"/>
    <s v="Washington"/>
    <s v="98324"/>
    <d v="2015-07-11T18:02:08"/>
    <d v="2015-07-11T18:02:12"/>
    <n v="1"/>
    <n v="8"/>
    <n v="8"/>
    <n v="2"/>
    <n v="1"/>
    <x v="2"/>
    <x v="2"/>
    <d v="2015-07-11T18:02:08"/>
    <n v="11"/>
    <n v="7"/>
    <n v="18"/>
  </r>
  <r>
    <n v="34"/>
    <s v="Massachusetts"/>
    <s v="01247"/>
    <d v="2015-04-05T07:05:58"/>
    <d v="2015-04-05T07:06:03"/>
    <n v="1"/>
    <n v="0"/>
    <n v="8"/>
    <n v="1"/>
    <n v="1"/>
    <x v="2"/>
    <x v="14"/>
    <d v="2015-04-05T07:05:59"/>
    <n v="5"/>
    <n v="1"/>
    <n v="7"/>
  </r>
  <r>
    <n v="35"/>
    <s v="Arkansas"/>
    <s v="72211"/>
    <d v="2015-02-09T19:49:40"/>
    <d v="2015-02-09T19:49:46"/>
    <n v="1"/>
    <n v="0"/>
    <n v="2"/>
    <n v="1"/>
    <n v="1"/>
    <x v="0"/>
    <x v="14"/>
    <d v="2015-02-09T19:49:42"/>
    <n v="9"/>
    <n v="2"/>
    <n v="19"/>
  </r>
  <r>
    <n v="36"/>
    <s v="Texas"/>
    <s v="78228"/>
    <d v="2015-06-22T16:46:47"/>
    <d v="2015-06-22T12:46:52"/>
    <n v="1"/>
    <n v="4"/>
    <n v="4"/>
    <n v="2"/>
    <n v="1"/>
    <x v="0"/>
    <x v="2"/>
    <d v="2015-06-22T12:46:49"/>
    <n v="22"/>
    <n v="2"/>
    <n v="12"/>
  </r>
  <r>
    <n v="37"/>
    <s v="Washington"/>
    <s v="98541"/>
    <d v="2015-01-19T13:03:58"/>
    <d v="2015-01-19T13:04:05"/>
    <n v="1"/>
    <n v="3"/>
    <n v="1"/>
    <n v="1"/>
    <n v="1"/>
    <x v="0"/>
    <x v="1"/>
    <d v="2015-01-19T13:11:50"/>
    <n v="19"/>
    <n v="2"/>
    <n v="13"/>
  </r>
  <r>
    <n v="38"/>
    <s v="New York"/>
    <s v="10038"/>
    <d v="2015-09-17T00:14:10"/>
    <d v="2015-09-16T20:14:15"/>
    <n v="1"/>
    <n v="2"/>
    <n v="2"/>
    <n v="2"/>
    <n v="1"/>
    <x v="3"/>
    <x v="17"/>
    <d v="2015-09-16T20:14:11"/>
    <n v="16"/>
    <n v="4"/>
    <n v="20"/>
  </r>
  <r>
    <n v="39"/>
    <s v="Florida"/>
    <s v="34450"/>
    <d v="2015-01-10T11:02:58"/>
    <d v="2015-01-10T11:03:03"/>
    <n v="1"/>
    <n v="0"/>
    <n v="4"/>
    <n v="3"/>
    <n v="1"/>
    <x v="3"/>
    <x v="4"/>
    <d v="2015-01-10T11:03:00"/>
    <n v="10"/>
    <n v="7"/>
    <n v="11"/>
  </r>
  <r>
    <n v="40"/>
    <s v="California"/>
    <s v="90025"/>
    <d v="2014-12-26T10:39:13"/>
    <d v="2015-01-03T12:49:34"/>
    <n v="2"/>
    <n v="1"/>
    <n v="3"/>
    <n v="2"/>
    <n v="1"/>
    <x v="1"/>
    <x v="1"/>
    <d v="2015-01-03T12:59:06"/>
    <n v="3"/>
    <n v="7"/>
    <n v="12"/>
  </r>
  <r>
    <n v="41"/>
    <m/>
    <m/>
    <d v="2015-08-13T18:47:13"/>
    <d v="2015-08-13T14:47:14"/>
    <n v="1"/>
    <n v="4"/>
    <n v="8"/>
    <n v="7"/>
    <n v="1"/>
    <x v="2"/>
    <x v="18"/>
    <d v="2015-08-13T14:49:06"/>
    <n v="13"/>
    <n v="5"/>
    <n v="14"/>
  </r>
  <r>
    <n v="42"/>
    <s v="Texas"/>
    <s v="75904"/>
    <d v="2015-03-10T13:47:35"/>
    <d v="2015-03-10T13:47:40"/>
    <n v="1"/>
    <n v="0"/>
    <n v="10"/>
    <n v="1"/>
    <n v="1"/>
    <x v="2"/>
    <x v="2"/>
    <d v="2015-03-10T13:47:36"/>
    <n v="10"/>
    <n v="3"/>
    <n v="13"/>
  </r>
  <r>
    <n v="43"/>
    <s v="Washington"/>
    <s v="98110"/>
    <d v="2015-05-22T14:06:37"/>
    <d v="2015-05-25T23:26:05"/>
    <n v="2"/>
    <n v="0"/>
    <n v="1"/>
    <n v="2"/>
    <n v="1"/>
    <x v="0"/>
    <x v="2"/>
    <d v="2015-05-22T10:10:11"/>
    <n v="22"/>
    <n v="6"/>
    <n v="10"/>
  </r>
  <r>
    <n v="44"/>
    <s v="New Jersey"/>
    <s v="07631"/>
    <d v="2015-01-24T09:18:17"/>
    <d v="2015-01-24T09:18:24"/>
    <n v="1"/>
    <n v="0"/>
    <n v="4"/>
    <n v="2"/>
    <n v="1"/>
    <x v="3"/>
    <x v="4"/>
    <d v="2015-01-24T09:18:20"/>
    <n v="24"/>
    <n v="7"/>
    <n v="9"/>
  </r>
  <r>
    <n v="45"/>
    <s v="New York"/>
    <s v="10024"/>
    <d v="2015-07-03T18:46:56"/>
    <d v="2015-07-11T14:47:05"/>
    <n v="3"/>
    <n v="9"/>
    <n v="24"/>
    <n v="9"/>
    <n v="1"/>
    <x v="5"/>
    <x v="19"/>
    <d v="2015-07-11T14:51:45"/>
    <n v="11"/>
    <n v="7"/>
    <n v="14"/>
  </r>
  <r>
    <n v="46"/>
    <s v="Illinois"/>
    <s v="60618"/>
    <d v="2015-07-06T20:06:27"/>
    <d v="2015-07-06T20:06:32"/>
    <n v="1"/>
    <n v="8"/>
    <n v="12"/>
    <n v="2"/>
    <n v="1"/>
    <x v="5"/>
    <x v="20"/>
    <d v="2015-07-06T20:06:27"/>
    <n v="6"/>
    <n v="2"/>
    <n v="20"/>
  </r>
  <r>
    <n v="47"/>
    <s v="California"/>
    <s v="95818"/>
    <d v="2015-01-22T18:41:51"/>
    <d v="2015-01-22T18:41:58"/>
    <n v="1"/>
    <n v="0"/>
    <n v="2"/>
    <n v="3"/>
    <n v="1"/>
    <x v="0"/>
    <x v="2"/>
    <d v="2015-01-22T18:41:53"/>
    <n v="22"/>
    <n v="5"/>
    <n v="18"/>
  </r>
  <r>
    <n v="48"/>
    <s v="Oklahoma"/>
    <s v="74137"/>
    <d v="2015-06-03T08:11:54"/>
    <d v="2015-06-03T08:11:58"/>
    <n v="1"/>
    <n v="0"/>
    <n v="4"/>
    <n v="3"/>
    <n v="1"/>
    <x v="2"/>
    <x v="14"/>
    <d v="2015-06-03T08:11:55"/>
    <n v="3"/>
    <n v="4"/>
    <n v="8"/>
  </r>
  <r>
    <n v="49"/>
    <s v="Massachusetts"/>
    <s v="01960"/>
    <d v="2015-07-12T14:09:05"/>
    <d v="2015-07-12T14:09:09"/>
    <n v="1"/>
    <n v="4"/>
    <n v="6"/>
    <n v="4"/>
    <n v="1"/>
    <x v="3"/>
    <x v="14"/>
    <d v="2015-07-12T14:09:05"/>
    <n v="12"/>
    <n v="1"/>
    <n v="14"/>
  </r>
  <r>
    <n v="50"/>
    <s v="North Carolina"/>
    <s v="28582"/>
    <d v="2015-07-03T07:31:47"/>
    <d v="2015-07-03T03:31:51"/>
    <n v="1"/>
    <n v="2"/>
    <n v="4"/>
    <n v="2"/>
    <n v="1"/>
    <x v="3"/>
    <x v="5"/>
    <d v="2015-07-03T03:31:47"/>
    <n v="3"/>
    <n v="6"/>
    <n v="3"/>
  </r>
  <r>
    <n v="51"/>
    <s v="California"/>
    <s v="92067"/>
    <d v="2015-04-04T16:11:26"/>
    <d v="2015-04-04T16:11:29"/>
    <n v="1"/>
    <n v="0"/>
    <n v="6"/>
    <n v="4"/>
    <n v="1"/>
    <x v="0"/>
    <x v="2"/>
    <d v="2015-04-04T16:16:39"/>
    <n v="4"/>
    <n v="7"/>
    <n v="16"/>
  </r>
  <r>
    <n v="52"/>
    <s v="Illinois"/>
    <s v="60025"/>
    <d v="2015-03-20T12:39:05"/>
    <d v="2015-03-20T12:39:10"/>
    <n v="1"/>
    <n v="0"/>
    <n v="10"/>
    <n v="1"/>
    <n v="1"/>
    <x v="0"/>
    <x v="21"/>
    <d v="2015-03-20T12:39:06"/>
    <n v="20"/>
    <n v="6"/>
    <n v="12"/>
  </r>
  <r>
    <n v="53"/>
    <m/>
    <m/>
    <d v="2015-02-18T01:48:07"/>
    <d v="2015-02-18T01:48:10"/>
    <n v="1"/>
    <n v="2"/>
    <n v="2"/>
    <n v="4"/>
    <n v="1"/>
    <x v="0"/>
    <x v="2"/>
    <d v="2015-02-18T01:52:02"/>
    <n v="18"/>
    <n v="4"/>
    <n v="1"/>
  </r>
  <r>
    <n v="54"/>
    <m/>
    <m/>
    <d v="2015-05-23T01:16:39"/>
    <d v="2015-05-22T21:16:42"/>
    <n v="1"/>
    <n v="6"/>
    <n v="16"/>
    <n v="4"/>
    <n v="1"/>
    <x v="2"/>
    <x v="2"/>
    <d v="2015-05-22T21:18:50"/>
    <n v="22"/>
    <n v="6"/>
    <n v="21"/>
  </r>
  <r>
    <n v="55"/>
    <m/>
    <m/>
    <d v="2015-03-04T03:53:54"/>
    <d v="2015-03-04T03:53:56"/>
    <n v="1"/>
    <n v="10"/>
    <n v="12"/>
    <n v="4"/>
    <n v="1"/>
    <x v="0"/>
    <x v="21"/>
    <d v="2015-03-04T03:56:26"/>
    <n v="4"/>
    <n v="4"/>
    <n v="3"/>
  </r>
  <r>
    <n v="56"/>
    <s v="Indiana"/>
    <s v="46250"/>
    <d v="2015-07-20T20:24:23"/>
    <d v="2015-07-21T10:39:08"/>
    <n v="5"/>
    <n v="6"/>
    <n v="8"/>
    <n v="5"/>
    <n v="1"/>
    <x v="2"/>
    <x v="22"/>
    <d v="2015-07-21T11:51:14"/>
    <n v="21"/>
    <n v="3"/>
    <n v="11"/>
  </r>
  <r>
    <n v="57"/>
    <s v="Virginia"/>
    <s v="22205"/>
    <d v="2015-02-23T22:03:19"/>
    <d v="2015-02-24T00:27:04"/>
    <n v="3"/>
    <n v="0"/>
    <n v="4"/>
    <n v="1"/>
    <n v="1"/>
    <x v="3"/>
    <x v="4"/>
    <d v="2015-02-23T22:03:20"/>
    <n v="23"/>
    <n v="2"/>
    <n v="22"/>
  </r>
  <r>
    <n v="58"/>
    <s v="District of Columbia"/>
    <s v="20009"/>
    <d v="2015-01-17T00:22:29"/>
    <d v="2015-01-17T20:10:08"/>
    <n v="2"/>
    <n v="2"/>
    <n v="9"/>
    <n v="5"/>
    <n v="2"/>
    <x v="6"/>
    <x v="5"/>
    <d v="2015-01-17T00:22:32"/>
    <n v="17"/>
    <n v="7"/>
    <n v="0"/>
  </r>
  <r>
    <n v="59"/>
    <s v="Washington"/>
    <s v="98146"/>
    <d v="2015-06-14T23:58:02"/>
    <d v="2015-06-14T23:58:06"/>
    <n v="1"/>
    <n v="6"/>
    <n v="6"/>
    <n v="3"/>
    <n v="1"/>
    <x v="0"/>
    <x v="1"/>
    <d v="2015-06-14T23:58:03"/>
    <n v="14"/>
    <n v="1"/>
    <n v="23"/>
  </r>
  <r>
    <n v="60"/>
    <s v="New Jersey"/>
    <s v="08108"/>
    <d v="2015-06-03T08:55:10"/>
    <d v="2015-06-03T08:55:14"/>
    <n v="1"/>
    <n v="4"/>
    <n v="10"/>
    <n v="2"/>
    <n v="1"/>
    <x v="6"/>
    <x v="14"/>
    <d v="2015-06-03T08:55:11"/>
    <n v="3"/>
    <n v="4"/>
    <n v="8"/>
  </r>
  <r>
    <n v="61"/>
    <s v="Maryland"/>
    <s v="21122"/>
    <d v="2014-12-21T23:36:40"/>
    <d v="2015-01-15T22:32:28"/>
    <n v="3"/>
    <n v="1"/>
    <n v="1"/>
    <n v="2"/>
    <n v="1"/>
    <x v="0"/>
    <x v="23"/>
    <d v="2015-01-15T22:43:21"/>
    <n v="15"/>
    <n v="5"/>
    <n v="22"/>
  </r>
  <r>
    <n v="62"/>
    <s v="Michigan"/>
    <s v="48092"/>
    <d v="2015-05-29T08:59:13"/>
    <d v="2015-05-29T08:59:17"/>
    <n v="1"/>
    <n v="0"/>
    <n v="4"/>
    <n v="2"/>
    <n v="1"/>
    <x v="3"/>
    <x v="14"/>
    <d v="2015-05-29T08:59:14"/>
    <n v="29"/>
    <n v="6"/>
    <n v="8"/>
  </r>
  <r>
    <n v="63"/>
    <m/>
    <m/>
    <d v="2015-09-18T03:01:51"/>
    <d v="2015-09-20T00:25:06"/>
    <n v="2"/>
    <n v="6"/>
    <n v="8"/>
    <n v="12"/>
    <n v="1"/>
    <x v="3"/>
    <x v="24"/>
    <d v="2015-09-20T01:01:56"/>
    <n v="20"/>
    <n v="1"/>
    <n v="1"/>
  </r>
  <r>
    <n v="64"/>
    <s v="New Jersey"/>
    <s v="07960"/>
    <d v="2015-02-26T16:58:33"/>
    <d v="2015-02-26T16:58:37"/>
    <n v="1"/>
    <n v="0"/>
    <n v="4"/>
    <n v="1"/>
    <n v="1"/>
    <x v="0"/>
    <x v="1"/>
    <d v="2015-02-26T16:58:34"/>
    <n v="26"/>
    <n v="5"/>
    <n v="16"/>
  </r>
  <r>
    <n v="65"/>
    <s v="New York"/>
    <s v="11217"/>
    <d v="2015-07-16T18:05:27"/>
    <d v="2015-07-16T14:05:33"/>
    <n v="1"/>
    <n v="10"/>
    <n v="6"/>
    <n v="2"/>
    <n v="1"/>
    <x v="3"/>
    <x v="25"/>
    <d v="2015-07-16T14:05:28"/>
    <n v="16"/>
    <n v="5"/>
    <n v="14"/>
  </r>
  <r>
    <n v="66"/>
    <s v="Maryland"/>
    <s v="21286"/>
    <d v="2015-05-27T11:42:24"/>
    <d v="2015-05-27T11:42:28"/>
    <n v="1"/>
    <n v="2"/>
    <n v="4"/>
    <n v="2"/>
    <n v="1"/>
    <x v="3"/>
    <x v="5"/>
    <d v="2015-05-27T11:42:25"/>
    <n v="27"/>
    <n v="4"/>
    <n v="11"/>
  </r>
  <r>
    <n v="67"/>
    <s v="California"/>
    <s v="95949"/>
    <d v="2015-03-22T17:16:32"/>
    <d v="2015-03-22T17:16:37"/>
    <n v="1"/>
    <n v="2"/>
    <n v="2"/>
    <n v="1"/>
    <n v="1"/>
    <x v="0"/>
    <x v="2"/>
    <d v="2015-03-22T17:16:33"/>
    <n v="22"/>
    <n v="1"/>
    <n v="17"/>
  </r>
  <r>
    <n v="68"/>
    <s v="Massachusetts"/>
    <s v="01843"/>
    <d v="2015-01-28T21:09:55"/>
    <d v="2015-02-05T10:12:40"/>
    <n v="3"/>
    <n v="2"/>
    <n v="5"/>
    <n v="4"/>
    <n v="1"/>
    <x v="0"/>
    <x v="2"/>
    <d v="2015-01-28T21:09:56"/>
    <n v="28"/>
    <n v="4"/>
    <n v="21"/>
  </r>
  <r>
    <n v="69"/>
    <s v="Georgia"/>
    <s v="30308"/>
    <d v="2015-06-08T13:58:33"/>
    <d v="2015-06-08T13:58:38"/>
    <n v="1"/>
    <n v="2"/>
    <n v="8"/>
    <n v="4"/>
    <n v="1"/>
    <x v="5"/>
    <x v="20"/>
    <d v="2015-06-08T13:58:36"/>
    <n v="8"/>
    <n v="2"/>
    <n v="13"/>
  </r>
  <r>
    <n v="70"/>
    <m/>
    <m/>
    <d v="2015-01-25T19:00:57"/>
    <d v="2015-02-05T13:34:48"/>
    <n v="20"/>
    <n v="0"/>
    <n v="6"/>
    <n v="5"/>
    <n v="1"/>
    <x v="6"/>
    <x v="14"/>
    <d v="2015-01-25T19:01:00"/>
    <n v="25"/>
    <n v="1"/>
    <n v="19"/>
  </r>
  <r>
    <n v="71"/>
    <s v="New York"/>
    <s v="10022"/>
    <d v="2015-06-30T15:18:01"/>
    <d v="2015-06-30T15:18:05"/>
    <n v="1"/>
    <n v="0"/>
    <n v="2"/>
    <n v="2"/>
    <n v="1"/>
    <x v="0"/>
    <x v="2"/>
    <d v="2015-06-30T15:18:02"/>
    <n v="30"/>
    <n v="3"/>
    <n v="15"/>
  </r>
  <r>
    <n v="72"/>
    <s v="New York"/>
    <s v="10028"/>
    <d v="2015-03-07T11:26:42"/>
    <d v="2015-03-07T11:26:50"/>
    <n v="1"/>
    <n v="2"/>
    <n v="8"/>
    <n v="1"/>
    <n v="1"/>
    <x v="2"/>
    <x v="26"/>
    <d v="2015-03-07T11:26:43"/>
    <n v="7"/>
    <n v="7"/>
    <n v="11"/>
  </r>
  <r>
    <n v="73"/>
    <m/>
    <m/>
    <d v="2015-02-19T16:27:59"/>
    <d v="2015-02-19T22:59:48"/>
    <n v="3"/>
    <n v="1"/>
    <n v="8"/>
    <n v="3"/>
    <n v="1"/>
    <x v="2"/>
    <x v="2"/>
    <d v="2015-02-19T16:32:27"/>
    <n v="19"/>
    <n v="5"/>
    <n v="16"/>
  </r>
  <r>
    <n v="74"/>
    <s v="California"/>
    <s v="94596"/>
    <d v="2015-01-22T19:11:13"/>
    <d v="2015-01-22T19:11:17"/>
    <n v="1"/>
    <n v="2"/>
    <n v="6"/>
    <n v="3"/>
    <n v="1"/>
    <x v="6"/>
    <x v="14"/>
    <d v="2015-01-22T19:11:14"/>
    <n v="22"/>
    <n v="5"/>
    <n v="19"/>
  </r>
  <r>
    <n v="76"/>
    <s v="Florida"/>
    <s v="33066"/>
    <d v="2015-03-12T10:30:16"/>
    <d v="2015-03-12T10:30:22"/>
    <n v="1"/>
    <n v="2"/>
    <n v="12"/>
    <n v="1"/>
    <n v="1"/>
    <x v="2"/>
    <x v="2"/>
    <d v="2015-03-12T10:30:18"/>
    <n v="12"/>
    <n v="5"/>
    <n v="10"/>
  </r>
  <r>
    <n v="77"/>
    <s v="California"/>
    <s v="95747"/>
    <d v="2015-06-06T19:40:36"/>
    <d v="2015-06-06T15:40:41"/>
    <n v="1"/>
    <n v="5"/>
    <n v="11"/>
    <n v="3"/>
    <n v="2"/>
    <x v="8"/>
    <x v="14"/>
    <d v="2015-06-06T15:40:38"/>
    <n v="6"/>
    <n v="7"/>
    <n v="15"/>
  </r>
  <r>
    <n v="78"/>
    <s v="Virginia"/>
    <s v="23455"/>
    <d v="2015-04-08T09:18:02"/>
    <d v="2015-04-08T09:18:06"/>
    <n v="1"/>
    <n v="0"/>
    <n v="8"/>
    <n v="3"/>
    <n v="1"/>
    <x v="1"/>
    <x v="1"/>
    <d v="2015-04-08T09:20:36"/>
    <n v="8"/>
    <n v="4"/>
    <n v="9"/>
  </r>
  <r>
    <n v="79"/>
    <s v="Ohio"/>
    <s v="44333"/>
    <d v="2015-03-10T16:55:59"/>
    <d v="2015-03-10T16:56:46"/>
    <n v="1"/>
    <n v="0"/>
    <n v="2"/>
    <n v="1"/>
    <n v="1"/>
    <x v="0"/>
    <x v="27"/>
    <d v="2015-03-10T16:56:43"/>
    <n v="10"/>
    <n v="3"/>
    <n v="16"/>
  </r>
  <r>
    <n v="80"/>
    <m/>
    <m/>
    <d v="2015-07-09T18:52:36"/>
    <d v="2015-07-09T14:52:38"/>
    <n v="1"/>
    <n v="6"/>
    <n v="4"/>
    <n v="5"/>
    <n v="1"/>
    <x v="0"/>
    <x v="14"/>
    <d v="2015-07-09T14:59:12"/>
    <n v="9"/>
    <n v="5"/>
    <n v="14"/>
  </r>
  <r>
    <n v="82"/>
    <s v="North Carolina"/>
    <s v="27526"/>
    <d v="2015-06-12T17:38:12"/>
    <d v="2015-06-12T13:38:17"/>
    <n v="1"/>
    <n v="2"/>
    <n v="8"/>
    <n v="2"/>
    <n v="1"/>
    <x v="2"/>
    <x v="2"/>
    <d v="2015-06-12T13:38:13"/>
    <n v="12"/>
    <n v="6"/>
    <n v="13"/>
  </r>
  <r>
    <n v="83"/>
    <s v="Massachusetts"/>
    <s v="02038"/>
    <d v="2015-06-10T16:06:30"/>
    <d v="2015-06-10T12:06:35"/>
    <n v="1"/>
    <n v="2"/>
    <n v="4"/>
    <n v="2"/>
    <n v="1"/>
    <x v="2"/>
    <x v="28"/>
    <d v="2015-06-10T12:06:31"/>
    <n v="10"/>
    <n v="4"/>
    <n v="12"/>
  </r>
  <r>
    <n v="84"/>
    <s v="New Jersey"/>
    <s v="08807"/>
    <d v="2015-08-29T13:34:41"/>
    <d v="2015-08-30T13:12:11"/>
    <n v="4"/>
    <n v="6"/>
    <n v="11"/>
    <n v="10"/>
    <n v="2"/>
    <x v="8"/>
    <x v="22"/>
    <d v="2015-08-29T13:47:49"/>
    <n v="29"/>
    <n v="7"/>
    <n v="13"/>
  </r>
  <r>
    <n v="85"/>
    <s v="Massachusetts"/>
    <s v="01824"/>
    <d v="2015-05-22T21:25:23"/>
    <d v="2015-05-22T21:25:26"/>
    <n v="1"/>
    <n v="0"/>
    <n v="2"/>
    <n v="2"/>
    <n v="1"/>
    <x v="0"/>
    <x v="2"/>
    <d v="2015-05-22T21:25:24"/>
    <n v="22"/>
    <n v="6"/>
    <n v="21"/>
  </r>
  <r>
    <n v="86"/>
    <s v="Illinois"/>
    <s v="60559"/>
    <d v="2015-03-12T09:20:01"/>
    <d v="2015-03-12T09:20:10"/>
    <n v="1"/>
    <n v="4"/>
    <n v="2"/>
    <n v="1"/>
    <n v="1"/>
    <x v="0"/>
    <x v="2"/>
    <d v="2015-03-12T09:20:02"/>
    <n v="12"/>
    <n v="5"/>
    <n v="9"/>
  </r>
  <r>
    <n v="87"/>
    <s v="District of Columbia"/>
    <s v="20016"/>
    <d v="2015-08-26T13:49:13"/>
    <d v="2015-08-26T22:23:41"/>
    <n v="2"/>
    <n v="6"/>
    <n v="6"/>
    <n v="4"/>
    <n v="1"/>
    <x v="2"/>
    <x v="29"/>
    <d v="2015-08-26T13:49:13"/>
    <n v="26"/>
    <n v="4"/>
    <n v="13"/>
  </r>
  <r>
    <n v="88"/>
    <m/>
    <m/>
    <d v="2015-02-06T12:07:09"/>
    <d v="2015-02-06T12:07:15"/>
    <n v="1"/>
    <n v="6"/>
    <n v="6"/>
    <n v="2"/>
    <n v="1"/>
    <x v="3"/>
    <x v="30"/>
    <d v="2015-02-06T12:07:10"/>
    <n v="6"/>
    <n v="6"/>
    <n v="12"/>
  </r>
  <r>
    <n v="89"/>
    <s v="Pennsylvania"/>
    <s v="17545"/>
    <d v="2015-06-29T21:06:14"/>
    <d v="2015-06-30T16:26:02"/>
    <n v="3"/>
    <n v="4"/>
    <n v="6"/>
    <n v="5"/>
    <n v="1"/>
    <x v="3"/>
    <x v="31"/>
    <d v="2015-06-29T21:06:14"/>
    <n v="29"/>
    <n v="2"/>
    <n v="21"/>
  </r>
  <r>
    <n v="90"/>
    <s v="Texas"/>
    <s v="78739"/>
    <d v="2015-03-18T12:27:52"/>
    <d v="2015-03-18T12:28:02"/>
    <n v="1"/>
    <n v="0"/>
    <n v="4"/>
    <n v="1"/>
    <n v="1"/>
    <x v="5"/>
    <x v="20"/>
    <d v="2015-03-18T12:27:53"/>
    <n v="18"/>
    <n v="4"/>
    <n v="12"/>
  </r>
  <r>
    <n v="91"/>
    <s v="North Carolina"/>
    <s v="27104"/>
    <d v="2015-03-24T19:58:36"/>
    <d v="2015-03-24T19:58:42"/>
    <n v="1"/>
    <n v="2"/>
    <n v="3"/>
    <n v="3"/>
    <n v="2"/>
    <x v="3"/>
    <x v="21"/>
    <d v="2015-03-24T19:58:37"/>
    <n v="24"/>
    <n v="3"/>
    <n v="19"/>
  </r>
  <r>
    <n v="92"/>
    <s v="New York"/>
    <s v="14150"/>
    <d v="2015-02-10T20:10:44"/>
    <d v="2015-02-10T20:10:51"/>
    <n v="1"/>
    <n v="2"/>
    <n v="6"/>
    <n v="1"/>
    <n v="1"/>
    <x v="2"/>
    <x v="2"/>
    <d v="2015-02-10T20:10:46"/>
    <n v="10"/>
    <n v="3"/>
    <n v="20"/>
  </r>
  <r>
    <n v="93"/>
    <s v="Pennsylvania"/>
    <s v="17313"/>
    <d v="2015-03-03T15:15:27"/>
    <d v="2015-03-03T15:15:33"/>
    <n v="1"/>
    <n v="2"/>
    <n v="4"/>
    <n v="1"/>
    <n v="1"/>
    <x v="3"/>
    <x v="4"/>
    <d v="2015-03-03T15:15:28"/>
    <n v="3"/>
    <n v="3"/>
    <n v="15"/>
  </r>
  <r>
    <n v="96"/>
    <s v="New York"/>
    <s v="14580"/>
    <d v="2015-05-20T14:34:36"/>
    <d v="2015-05-20T14:34:44"/>
    <n v="1"/>
    <n v="2"/>
    <n v="2"/>
    <n v="2"/>
    <n v="1"/>
    <x v="0"/>
    <x v="14"/>
    <d v="2015-05-20T14:34:41"/>
    <n v="20"/>
    <n v="4"/>
    <n v="14"/>
  </r>
  <r>
    <n v="97"/>
    <m/>
    <m/>
    <d v="2015-02-11T18:27:37"/>
    <d v="2015-02-11T18:27:48"/>
    <n v="1"/>
    <n v="1"/>
    <n v="2"/>
    <n v="4"/>
    <n v="1"/>
    <x v="3"/>
    <x v="4"/>
    <d v="2015-02-11T18:33:06"/>
    <n v="11"/>
    <n v="4"/>
    <n v="18"/>
  </r>
  <r>
    <n v="98"/>
    <s v="California"/>
    <s v="90403"/>
    <d v="2015-01-26T09:28:06"/>
    <d v="2015-02-01T23:05:39"/>
    <n v="6"/>
    <n v="3"/>
    <n v="4"/>
    <n v="10"/>
    <n v="1"/>
    <x v="6"/>
    <x v="32"/>
    <d v="2015-01-26T09:28:07"/>
    <n v="26"/>
    <n v="2"/>
    <n v="9"/>
  </r>
  <r>
    <n v="99"/>
    <m/>
    <m/>
    <d v="2015-03-17T00:49:52"/>
    <d v="2015-03-17T00:49:57"/>
    <n v="1"/>
    <n v="0"/>
    <n v="8"/>
    <n v="4"/>
    <n v="1"/>
    <x v="2"/>
    <x v="2"/>
    <d v="2015-03-17T00:55:52"/>
    <n v="17"/>
    <n v="3"/>
    <n v="0"/>
  </r>
  <r>
    <n v="100"/>
    <s v="Maryland"/>
    <s v="21001"/>
    <d v="2015-04-03T20:52:08"/>
    <d v="2015-04-03T20:52:15"/>
    <n v="1"/>
    <n v="2"/>
    <n v="10"/>
    <n v="2"/>
    <n v="1"/>
    <x v="2"/>
    <x v="2"/>
    <d v="2015-04-03T20:52:09"/>
    <n v="3"/>
    <n v="6"/>
    <n v="20"/>
  </r>
  <r>
    <n v="101"/>
    <s v="Illinois"/>
    <s v="60654"/>
    <d v="2015-04-15T21:58:01"/>
    <d v="2015-04-16T06:16:45"/>
    <n v="3"/>
    <n v="0"/>
    <n v="6"/>
    <n v="2"/>
    <n v="1"/>
    <x v="2"/>
    <x v="2"/>
    <d v="2015-04-15T21:58:01"/>
    <n v="15"/>
    <n v="4"/>
    <n v="21"/>
  </r>
  <r>
    <n v="102"/>
    <m/>
    <m/>
    <d v="2015-09-04T10:37:22"/>
    <d v="2015-09-04T10:37:24"/>
    <n v="1"/>
    <n v="10"/>
    <n v="4"/>
    <n v="4"/>
    <n v="1"/>
    <x v="0"/>
    <x v="6"/>
    <d v="2015-09-04T10:40:08"/>
    <n v="4"/>
    <n v="6"/>
    <n v="10"/>
  </r>
  <r>
    <n v="103"/>
    <s v="Florida"/>
    <s v="33139"/>
    <d v="2015-07-01T15:46:10"/>
    <d v="2015-07-01T11:46:11"/>
    <n v="1"/>
    <n v="2"/>
    <n v="5"/>
    <n v="5"/>
    <n v="1"/>
    <x v="0"/>
    <x v="28"/>
    <d v="2015-07-01T11:57:50"/>
    <n v="1"/>
    <n v="4"/>
    <n v="11"/>
  </r>
  <r>
    <n v="104"/>
    <s v="California"/>
    <s v="94109"/>
    <d v="2015-05-12T15:53:57"/>
    <d v="2015-05-12T15:54:01"/>
    <n v="1"/>
    <n v="4"/>
    <n v="10"/>
    <n v="2"/>
    <n v="1"/>
    <x v="2"/>
    <x v="2"/>
    <d v="2015-05-12T15:53:58"/>
    <n v="12"/>
    <n v="3"/>
    <n v="15"/>
  </r>
  <r>
    <n v="105"/>
    <s v="California"/>
    <s v="94089"/>
    <d v="2015-05-23T12:31:17"/>
    <d v="2015-05-23T12:31:21"/>
    <n v="1"/>
    <n v="6"/>
    <n v="8"/>
    <n v="4"/>
    <n v="1"/>
    <x v="2"/>
    <x v="2"/>
    <d v="2015-05-23T12:31:19"/>
    <n v="23"/>
    <n v="7"/>
    <n v="12"/>
  </r>
  <r>
    <n v="106"/>
    <s v="Florida"/>
    <s v="32210"/>
    <d v="2015-04-06T15:12:34"/>
    <d v="2015-04-06T15:12:37"/>
    <n v="1"/>
    <n v="4"/>
    <n v="4"/>
    <n v="1"/>
    <n v="1"/>
    <x v="2"/>
    <x v="2"/>
    <d v="2015-04-06T15:15:45"/>
    <n v="6"/>
    <n v="2"/>
    <n v="15"/>
  </r>
  <r>
    <n v="107"/>
    <m/>
    <m/>
    <d v="2015-02-14T06:26:41"/>
    <d v="2015-02-14T06:26:45"/>
    <n v="1"/>
    <n v="0"/>
    <n v="6"/>
    <n v="6"/>
    <n v="1"/>
    <x v="6"/>
    <x v="14"/>
    <d v="2015-02-14T06:30:03"/>
    <n v="14"/>
    <n v="7"/>
    <n v="6"/>
  </r>
  <r>
    <n v="108"/>
    <s v="Utah"/>
    <s v="84108"/>
    <d v="2015-01-22T18:49:02"/>
    <d v="2015-01-22T18:49:08"/>
    <n v="1"/>
    <n v="2"/>
    <n v="8"/>
    <n v="2"/>
    <n v="1"/>
    <x v="2"/>
    <x v="2"/>
    <d v="2015-01-22T18:49:05"/>
    <n v="22"/>
    <n v="5"/>
    <n v="18"/>
  </r>
  <r>
    <n v="109"/>
    <s v="Nebraska"/>
    <s v="68333"/>
    <d v="2015-05-20T13:49:15"/>
    <d v="2015-05-20T13:49:20"/>
    <n v="1"/>
    <n v="0"/>
    <n v="2"/>
    <n v="3"/>
    <n v="1"/>
    <x v="3"/>
    <x v="13"/>
    <d v="2015-05-20T13:49:17"/>
    <n v="20"/>
    <n v="4"/>
    <n v="13"/>
  </r>
  <r>
    <n v="110"/>
    <s v="Texas"/>
    <s v="77385"/>
    <d v="2015-06-24T16:10:03"/>
    <d v="2015-06-24T16:10:08"/>
    <n v="1"/>
    <n v="8"/>
    <n v="10"/>
    <n v="3"/>
    <n v="1"/>
    <x v="2"/>
    <x v="23"/>
    <d v="2015-06-24T16:10:04"/>
    <n v="24"/>
    <n v="4"/>
    <n v="16"/>
  </r>
  <r>
    <n v="111"/>
    <s v="Ohio"/>
    <s v="43035"/>
    <d v="2015-08-11T19:02:37"/>
    <d v="2015-08-11T15:02:41"/>
    <n v="1"/>
    <n v="2"/>
    <n v="2"/>
    <n v="2"/>
    <n v="1"/>
    <x v="0"/>
    <x v="6"/>
    <d v="2015-08-11T15:02:38"/>
    <n v="11"/>
    <n v="3"/>
    <n v="15"/>
  </r>
  <r>
    <n v="112"/>
    <s v="New York"/>
    <s v="10704"/>
    <d v="2015-02-07T09:46:18"/>
    <d v="2015-02-07T09:46:23"/>
    <n v="1"/>
    <n v="0"/>
    <n v="6"/>
    <n v="1"/>
    <n v="1"/>
    <x v="2"/>
    <x v="2"/>
    <d v="2015-02-07T09:46:19"/>
    <n v="7"/>
    <n v="7"/>
    <n v="9"/>
  </r>
  <r>
    <n v="113"/>
    <s v="Texas"/>
    <s v="77845"/>
    <d v="2015-01-04T19:04:10"/>
    <d v="2015-01-04T19:04:15"/>
    <n v="1"/>
    <n v="0"/>
    <n v="8"/>
    <n v="2"/>
    <n v="1"/>
    <x v="2"/>
    <x v="2"/>
    <d v="2015-01-04T19:04:11"/>
    <n v="4"/>
    <n v="1"/>
    <n v="19"/>
  </r>
  <r>
    <n v="114"/>
    <s v="Minnesota"/>
    <s v="55125"/>
    <d v="2015-04-15T17:29:43"/>
    <d v="2015-04-15T17:29:56"/>
    <n v="1"/>
    <n v="2"/>
    <n v="12"/>
    <n v="2"/>
    <n v="1"/>
    <x v="5"/>
    <x v="33"/>
    <d v="2015-04-15T17:29:44"/>
    <n v="15"/>
    <n v="4"/>
    <n v="17"/>
  </r>
  <r>
    <n v="115"/>
    <s v="Massachusetts"/>
    <s v="02641"/>
    <d v="2015-02-08T08:30:24"/>
    <d v="2015-03-08T20:04:39"/>
    <n v="2"/>
    <n v="2"/>
    <n v="17"/>
    <n v="4"/>
    <n v="2"/>
    <x v="9"/>
    <x v="14"/>
    <d v="2015-02-08T08:30:25"/>
    <n v="8"/>
    <n v="1"/>
    <n v="8"/>
  </r>
  <r>
    <n v="118"/>
    <s v="New York"/>
    <s v="10463"/>
    <d v="2015-06-15T15:39:42"/>
    <d v="2015-06-17T12:38:58"/>
    <n v="3"/>
    <n v="0"/>
    <n v="2"/>
    <n v="3"/>
    <n v="1"/>
    <x v="0"/>
    <x v="28"/>
    <d v="2015-06-15T15:39:43"/>
    <n v="15"/>
    <n v="2"/>
    <n v="15"/>
  </r>
  <r>
    <n v="119"/>
    <s v="Pennsylvania"/>
    <s v="15120"/>
    <d v="2015-02-07T22:55:06"/>
    <d v="2015-02-07T22:55:11"/>
    <n v="1"/>
    <n v="0"/>
    <n v="4"/>
    <n v="1"/>
    <n v="1"/>
    <x v="3"/>
    <x v="34"/>
    <d v="2015-02-07T23:04:44"/>
    <n v="7"/>
    <n v="7"/>
    <n v="23"/>
  </r>
  <r>
    <n v="120"/>
    <s v="New York"/>
    <s v="14011"/>
    <d v="2015-05-25T09:37:28"/>
    <d v="2015-05-25T09:37:32"/>
    <n v="1"/>
    <n v="4"/>
    <n v="2"/>
    <n v="2"/>
    <n v="1"/>
    <x v="0"/>
    <x v="2"/>
    <d v="2015-05-25T09:37:29"/>
    <n v="25"/>
    <n v="2"/>
    <n v="9"/>
  </r>
  <r>
    <n v="121"/>
    <s v="Oklahoma"/>
    <s v="74129"/>
    <d v="2015-06-08T14:19:34"/>
    <d v="2015-06-08T10:19:41"/>
    <n v="1"/>
    <n v="2"/>
    <n v="8"/>
    <n v="2"/>
    <n v="1"/>
    <x v="2"/>
    <x v="2"/>
    <d v="2015-06-08T10:19:36"/>
    <n v="8"/>
    <n v="2"/>
    <n v="10"/>
  </r>
  <r>
    <n v="122"/>
    <s v="Kentucky"/>
    <s v="42420"/>
    <d v="2015-05-12T14:52:07"/>
    <d v="2015-05-12T14:52:11"/>
    <n v="1"/>
    <n v="2"/>
    <n v="2"/>
    <n v="2"/>
    <n v="1"/>
    <x v="0"/>
    <x v="2"/>
    <d v="2015-05-12T14:52:08"/>
    <n v="12"/>
    <n v="3"/>
    <n v="14"/>
  </r>
  <r>
    <n v="123"/>
    <s v="Georgia"/>
    <s v="31411"/>
    <d v="2015-07-13T17:29:09"/>
    <d v="2015-07-13T17:29:12"/>
    <n v="1"/>
    <n v="8"/>
    <n v="4"/>
    <n v="5"/>
    <n v="1"/>
    <x v="3"/>
    <x v="13"/>
    <d v="2015-07-13T17:29:10"/>
    <n v="13"/>
    <n v="2"/>
    <n v="17"/>
  </r>
  <r>
    <n v="124"/>
    <s v="Louisiana"/>
    <s v="70433"/>
    <d v="2015-05-28T16:37:43"/>
    <d v="2015-05-28T12:37:45"/>
    <n v="1"/>
    <n v="0"/>
    <n v="2"/>
    <n v="2"/>
    <n v="1"/>
    <x v="0"/>
    <x v="2"/>
    <d v="2015-05-28T12:41:10"/>
    <n v="28"/>
    <n v="5"/>
    <n v="12"/>
  </r>
  <r>
    <n v="125"/>
    <s v="Texas"/>
    <s v="75067"/>
    <d v="2015-09-13T16:00:00"/>
    <d v="2015-09-13T12:00:05"/>
    <n v="1"/>
    <n v="2"/>
    <n v="2"/>
    <n v="2"/>
    <n v="1"/>
    <x v="2"/>
    <x v="22"/>
    <d v="2015-09-13T12:00:01"/>
    <n v="13"/>
    <n v="1"/>
    <n v="12"/>
  </r>
  <r>
    <n v="127"/>
    <s v="Pennsylvania"/>
    <s v="19422"/>
    <d v="2015-05-12T01:55:58"/>
    <d v="2015-05-11T21:56:00"/>
    <n v="1"/>
    <n v="14"/>
    <n v="14"/>
    <n v="5"/>
    <n v="1"/>
    <x v="2"/>
    <x v="2"/>
    <d v="2015-05-11T21:58:27"/>
    <n v="11"/>
    <n v="2"/>
    <n v="21"/>
  </r>
  <r>
    <n v="128"/>
    <s v="Kentucky"/>
    <s v="40324"/>
    <d v="2015-05-20T16:57:40"/>
    <d v="2015-05-20T16:57:46"/>
    <n v="1"/>
    <n v="2"/>
    <n v="6"/>
    <n v="6"/>
    <n v="1"/>
    <x v="2"/>
    <x v="2"/>
    <d v="2015-05-20T16:57:41"/>
    <n v="20"/>
    <n v="4"/>
    <n v="16"/>
  </r>
  <r>
    <n v="129"/>
    <s v="Washington"/>
    <s v="98239"/>
    <d v="2015-03-15T16:35:29"/>
    <d v="2015-03-15T16:35:34"/>
    <n v="1"/>
    <n v="0"/>
    <n v="4"/>
    <n v="1"/>
    <n v="1"/>
    <x v="3"/>
    <x v="4"/>
    <d v="2015-03-15T16:35:30"/>
    <n v="15"/>
    <n v="1"/>
    <n v="16"/>
  </r>
  <r>
    <n v="130"/>
    <s v="Illinois"/>
    <s v="60178"/>
    <d v="2015-02-10T21:28:36"/>
    <d v="2015-02-10T21:28:44"/>
    <n v="1"/>
    <n v="6"/>
    <n v="4"/>
    <n v="2"/>
    <n v="1"/>
    <x v="3"/>
    <x v="5"/>
    <d v="2015-02-10T21:28:37"/>
    <n v="10"/>
    <n v="3"/>
    <n v="21"/>
  </r>
  <r>
    <n v="131"/>
    <s v="North Carolina"/>
    <s v="28277"/>
    <d v="2015-03-16T09:48:31"/>
    <d v="2015-03-16T09:48:34"/>
    <n v="1"/>
    <n v="0"/>
    <n v="4"/>
    <n v="7"/>
    <n v="1"/>
    <x v="2"/>
    <x v="2"/>
    <d v="2015-03-16T10:09:56"/>
    <n v="16"/>
    <n v="2"/>
    <n v="10"/>
  </r>
  <r>
    <n v="132"/>
    <s v="New York"/>
    <s v="14127"/>
    <d v="2015-07-09T11:32:43"/>
    <d v="2015-07-09T11:32:47"/>
    <n v="1"/>
    <n v="2"/>
    <n v="6"/>
    <n v="2"/>
    <n v="1"/>
    <x v="2"/>
    <x v="2"/>
    <d v="2015-07-09T11:32:44"/>
    <n v="9"/>
    <n v="5"/>
    <n v="11"/>
  </r>
  <r>
    <n v="133"/>
    <s v="Nebraska"/>
    <s v="68818"/>
    <d v="2015-05-28T11:12:52"/>
    <d v="2015-05-28T11:12:56"/>
    <n v="1"/>
    <n v="4"/>
    <n v="2"/>
    <n v="2"/>
    <n v="1"/>
    <x v="0"/>
    <x v="14"/>
    <d v="2015-05-28T11:12:52"/>
    <n v="28"/>
    <n v="5"/>
    <n v="11"/>
  </r>
  <r>
    <n v="134"/>
    <s v="New Hampshire"/>
    <s v="03874"/>
    <d v="2015-09-17T12:28:15"/>
    <d v="2015-09-17T12:28:23"/>
    <n v="1"/>
    <n v="2"/>
    <n v="2"/>
    <n v="2"/>
    <n v="1"/>
    <x v="0"/>
    <x v="35"/>
    <d v="2015-09-17T12:28:15"/>
    <n v="17"/>
    <n v="5"/>
    <n v="12"/>
  </r>
  <r>
    <n v="135"/>
    <s v="Arizona"/>
    <s v="85367"/>
    <d v="2015-01-17T09:58:41"/>
    <d v="2015-01-17T09:58:44"/>
    <n v="1"/>
    <n v="0"/>
    <n v="4"/>
    <n v="4"/>
    <n v="1"/>
    <x v="3"/>
    <x v="5"/>
    <d v="2015-01-17T10:00:31"/>
    <n v="17"/>
    <n v="7"/>
    <n v="10"/>
  </r>
  <r>
    <n v="136"/>
    <s v="Alabama"/>
    <s v="36093"/>
    <d v="2015-09-08T12:52:25"/>
    <d v="2015-09-08T12:52:35"/>
    <n v="1"/>
    <n v="2"/>
    <n v="4"/>
    <n v="2"/>
    <n v="1"/>
    <x v="0"/>
    <x v="36"/>
    <d v="2015-09-08T12:52:25"/>
    <n v="8"/>
    <n v="3"/>
    <n v="12"/>
  </r>
  <r>
    <n v="137"/>
    <s v="Florida"/>
    <s v="33437"/>
    <d v="2015-06-24T15:05:26"/>
    <d v="2015-06-24T15:05:29"/>
    <n v="1"/>
    <n v="2"/>
    <n v="10"/>
    <n v="2"/>
    <n v="1"/>
    <x v="3"/>
    <x v="37"/>
    <d v="2015-06-24T15:05:26"/>
    <n v="24"/>
    <n v="4"/>
    <n v="15"/>
  </r>
  <r>
    <n v="138"/>
    <s v="Rhode Island"/>
    <s v="02888"/>
    <d v="2015-08-19T20:10:08"/>
    <d v="2015-08-19T20:10:11"/>
    <n v="1"/>
    <n v="0"/>
    <n v="2"/>
    <n v="2"/>
    <n v="1"/>
    <x v="0"/>
    <x v="6"/>
    <d v="2015-08-19T20:10:09"/>
    <n v="19"/>
    <n v="4"/>
    <n v="20"/>
  </r>
  <r>
    <n v="139"/>
    <s v="Illinois"/>
    <s v="61520"/>
    <d v="2015-08-16T04:45:16"/>
    <d v="2015-08-16T00:45:22"/>
    <n v="1"/>
    <n v="2"/>
    <n v="8"/>
    <n v="3"/>
    <n v="1"/>
    <x v="2"/>
    <x v="38"/>
    <d v="2015-08-16T00:45:17"/>
    <n v="16"/>
    <n v="1"/>
    <n v="0"/>
  </r>
  <r>
    <n v="140"/>
    <s v="Pennsylvania"/>
    <s v="16803"/>
    <d v="2015-07-01T19:48:00"/>
    <d v="2015-07-01T15:48:02"/>
    <n v="1"/>
    <n v="4"/>
    <n v="4"/>
    <n v="1"/>
    <n v="1"/>
    <x v="1"/>
    <x v="39"/>
    <d v="2015-07-01T15:52:08"/>
    <n v="1"/>
    <n v="4"/>
    <n v="15"/>
  </r>
  <r>
    <n v="141"/>
    <s v="Texas"/>
    <s v="77079"/>
    <d v="2015-05-15T13:19:27"/>
    <d v="2015-05-15T13:19:33"/>
    <n v="1"/>
    <n v="9"/>
    <n v="8"/>
    <n v="2"/>
    <n v="1"/>
    <x v="2"/>
    <x v="2"/>
    <d v="2015-05-15T13:19:31"/>
    <n v="15"/>
    <n v="6"/>
    <n v="13"/>
  </r>
  <r>
    <n v="142"/>
    <s v="Kentucky"/>
    <s v="40509"/>
    <d v="2015-06-19T16:13:06"/>
    <d v="2015-06-19T16:13:10"/>
    <n v="1"/>
    <n v="0"/>
    <n v="2"/>
    <n v="2"/>
    <n v="1"/>
    <x v="2"/>
    <x v="2"/>
    <d v="2015-06-19T16:13:07"/>
    <n v="19"/>
    <n v="6"/>
    <n v="16"/>
  </r>
  <r>
    <n v="143"/>
    <m/>
    <m/>
    <d v="2015-01-27T09:36:21"/>
    <d v="2015-01-27T09:36:29"/>
    <n v="1"/>
    <n v="0"/>
    <n v="2"/>
    <n v="3"/>
    <n v="1"/>
    <x v="0"/>
    <x v="16"/>
    <d v="2015-01-27T09:36:26"/>
    <n v="27"/>
    <n v="3"/>
    <n v="9"/>
  </r>
  <r>
    <n v="144"/>
    <m/>
    <m/>
    <d v="2015-04-27T15:46:00"/>
    <d v="2015-04-27T15:46:03"/>
    <n v="1"/>
    <n v="2"/>
    <n v="1"/>
    <n v="1"/>
    <n v="1"/>
    <x v="1"/>
    <x v="1"/>
    <d v="2015-04-27T16:39:43"/>
    <n v="27"/>
    <n v="2"/>
    <n v="16"/>
  </r>
  <r>
    <n v="145"/>
    <s v="New York"/>
    <s v="14450"/>
    <d v="2015-05-18T15:24:49"/>
    <d v="2015-08-08T01:32:33"/>
    <n v="10"/>
    <n v="1"/>
    <n v="6"/>
    <n v="6"/>
    <n v="1"/>
    <x v="2"/>
    <x v="22"/>
    <d v="2015-08-05T09:13:07"/>
    <n v="5"/>
    <n v="4"/>
    <n v="9"/>
  </r>
  <r>
    <n v="146"/>
    <s v="California"/>
    <s v="93401"/>
    <d v="2015-01-18T03:52:55"/>
    <d v="2015-01-25T15:04:34"/>
    <n v="3"/>
    <n v="2"/>
    <n v="8"/>
    <n v="5"/>
    <n v="1"/>
    <x v="2"/>
    <x v="2"/>
    <d v="2015-01-18T03:53:13"/>
    <n v="18"/>
    <n v="1"/>
    <n v="3"/>
  </r>
  <r>
    <n v="147"/>
    <m/>
    <m/>
    <d v="2015-04-11T13:12:25"/>
    <d v="2015-04-11T13:12:31"/>
    <n v="1"/>
    <n v="2"/>
    <n v="8"/>
    <n v="3"/>
    <n v="1"/>
    <x v="8"/>
    <x v="21"/>
    <d v="2015-04-11T13:12:26"/>
    <n v="11"/>
    <n v="7"/>
    <n v="13"/>
  </r>
  <r>
    <n v="148"/>
    <s v="Texas"/>
    <s v="79382"/>
    <d v="2015-01-19T16:21:12"/>
    <d v="2015-01-19T16:21:15"/>
    <n v="1"/>
    <n v="0"/>
    <n v="2"/>
    <n v="3"/>
    <n v="1"/>
    <x v="0"/>
    <x v="14"/>
    <d v="2015-01-19T16:21:13"/>
    <n v="19"/>
    <n v="2"/>
    <n v="16"/>
  </r>
  <r>
    <n v="149"/>
    <s v="New Hampshire"/>
    <s v="03598"/>
    <d v="2015-06-19T17:32:43"/>
    <d v="2015-06-19T13:32:48"/>
    <n v="1"/>
    <n v="2"/>
    <n v="4"/>
    <n v="2"/>
    <n v="1"/>
    <x v="3"/>
    <x v="40"/>
    <d v="2015-06-19T13:32:44"/>
    <n v="19"/>
    <n v="6"/>
    <n v="13"/>
  </r>
  <r>
    <n v="150"/>
    <s v="Arkansas"/>
    <s v="72015"/>
    <d v="2015-07-12T14:33:44"/>
    <d v="2015-07-12T10:33:45"/>
    <n v="1"/>
    <n v="4"/>
    <n v="10"/>
    <n v="2"/>
    <n v="1"/>
    <x v="6"/>
    <x v="14"/>
    <d v="2015-07-12T10:37:29"/>
    <n v="12"/>
    <n v="1"/>
    <n v="10"/>
  </r>
  <r>
    <n v="151"/>
    <s v="Illinois"/>
    <s v="60487"/>
    <d v="2015-02-24T01:24:37"/>
    <d v="2015-02-24T01:29:38"/>
    <n v="3"/>
    <n v="2"/>
    <n v="10"/>
    <n v="1"/>
    <n v="1"/>
    <x v="2"/>
    <x v="2"/>
    <d v="2015-02-24T01:24:38"/>
    <n v="24"/>
    <n v="3"/>
    <n v="1"/>
  </r>
  <r>
    <n v="152"/>
    <s v="Texas"/>
    <s v="77316"/>
    <d v="2015-08-18T19:24:40"/>
    <d v="2015-08-18T19:24:43"/>
    <n v="1"/>
    <n v="4"/>
    <n v="8"/>
    <n v="4"/>
    <n v="1"/>
    <x v="3"/>
    <x v="24"/>
    <d v="2015-08-18T19:24:41"/>
    <n v="18"/>
    <n v="3"/>
    <n v="19"/>
  </r>
  <r>
    <n v="153"/>
    <s v="Mississippi"/>
    <s v="39701"/>
    <d v="2015-01-23T11:44:11"/>
    <d v="2015-01-23T11:44:15"/>
    <n v="1"/>
    <n v="0"/>
    <n v="4"/>
    <n v="2"/>
    <n v="1"/>
    <x v="0"/>
    <x v="2"/>
    <d v="2015-01-23T11:44:13"/>
    <n v="23"/>
    <n v="6"/>
    <n v="11"/>
  </r>
  <r>
    <n v="154"/>
    <s v="California"/>
    <s v="92126"/>
    <d v="2015-05-31T15:31:38"/>
    <d v="2015-05-31T15:31:41"/>
    <n v="1"/>
    <n v="2"/>
    <n v="2"/>
    <n v="2"/>
    <n v="1"/>
    <x v="2"/>
    <x v="2"/>
    <d v="2015-05-31T15:31:38"/>
    <n v="31"/>
    <n v="1"/>
    <n v="15"/>
  </r>
  <r>
    <n v="155"/>
    <s v="Florida"/>
    <s v="32320"/>
    <d v="2015-07-05T13:33:18"/>
    <d v="2015-07-05T09:33:24"/>
    <n v="1"/>
    <n v="11"/>
    <n v="8"/>
    <n v="4"/>
    <n v="1"/>
    <x v="2"/>
    <x v="41"/>
    <d v="2015-07-05T09:33:19"/>
    <n v="5"/>
    <n v="1"/>
    <n v="9"/>
  </r>
  <r>
    <n v="156"/>
    <s v="Minnesota"/>
    <s v="56252"/>
    <d v="2015-07-13T07:37:35"/>
    <d v="2015-07-13T07:37:40"/>
    <n v="1"/>
    <n v="4"/>
    <n v="2"/>
    <n v="4"/>
    <n v="1"/>
    <x v="0"/>
    <x v="21"/>
    <d v="2015-07-13T07:37:36"/>
    <n v="13"/>
    <n v="2"/>
    <n v="7"/>
  </r>
  <r>
    <n v="157"/>
    <s v="California"/>
    <s v="94538"/>
    <d v="2015-06-06T21:01:40"/>
    <d v="2015-06-06T17:01:46"/>
    <n v="1"/>
    <n v="2"/>
    <n v="2"/>
    <n v="2"/>
    <n v="1"/>
    <x v="0"/>
    <x v="2"/>
    <d v="2015-06-06T17:01:42"/>
    <n v="6"/>
    <n v="7"/>
    <n v="17"/>
  </r>
  <r>
    <n v="158"/>
    <m/>
    <m/>
    <d v="2015-08-17T00:06:41"/>
    <d v="2015-08-16T20:06:43"/>
    <n v="1"/>
    <n v="0"/>
    <n v="2"/>
    <n v="4"/>
    <n v="1"/>
    <x v="3"/>
    <x v="42"/>
    <d v="2015-08-16T20:17:23"/>
    <n v="16"/>
    <n v="1"/>
    <n v="20"/>
  </r>
  <r>
    <n v="159"/>
    <s v="Oregon"/>
    <s v="97224"/>
    <d v="2015-01-04T19:36:13"/>
    <d v="2015-01-04T19:36:18"/>
    <n v="1"/>
    <n v="1"/>
    <n v="4"/>
    <n v="2"/>
    <n v="1"/>
    <x v="3"/>
    <x v="4"/>
    <d v="2015-01-04T19:36:14"/>
    <n v="4"/>
    <n v="1"/>
    <n v="19"/>
  </r>
  <r>
    <n v="162"/>
    <s v="Minnesota"/>
    <s v="55125"/>
    <d v="2015-04-19T00:07:58"/>
    <d v="2015-04-19T00:08:05"/>
    <n v="1"/>
    <n v="4"/>
    <n v="2"/>
    <n v="1"/>
    <n v="1"/>
    <x v="0"/>
    <x v="4"/>
    <d v="2015-04-19T00:07:58"/>
    <n v="19"/>
    <n v="1"/>
    <n v="0"/>
  </r>
  <r>
    <n v="163"/>
    <s v="Ohio"/>
    <s v="44212"/>
    <d v="2015-01-30T09:03:00"/>
    <d v="2015-01-30T09:03:03"/>
    <n v="1"/>
    <n v="6"/>
    <n v="4"/>
    <n v="1"/>
    <n v="1"/>
    <x v="2"/>
    <x v="2"/>
    <d v="2015-01-30T09:15:37"/>
    <n v="30"/>
    <n v="6"/>
    <n v="9"/>
  </r>
  <r>
    <n v="164"/>
    <s v="Oklahoma"/>
    <s v="74136"/>
    <d v="2015-05-01T13:48:54"/>
    <d v="2015-05-01T13:48:59"/>
    <n v="1"/>
    <n v="2"/>
    <n v="2"/>
    <n v="1"/>
    <n v="1"/>
    <x v="2"/>
    <x v="43"/>
    <d v="2015-05-01T13:48:55"/>
    <n v="1"/>
    <n v="6"/>
    <n v="13"/>
  </r>
  <r>
    <n v="165"/>
    <s v="Florida"/>
    <s v="33823"/>
    <d v="2015-05-18T23:15:22"/>
    <d v="2015-05-18T23:15:25"/>
    <n v="1"/>
    <n v="4"/>
    <n v="4"/>
    <n v="2"/>
    <n v="1"/>
    <x v="3"/>
    <x v="5"/>
    <d v="2015-05-18T23:15:23"/>
    <n v="18"/>
    <n v="2"/>
    <n v="23"/>
  </r>
  <r>
    <n v="166"/>
    <m/>
    <m/>
    <d v="2015-03-23T19:00:25"/>
    <d v="2015-03-23T19:00:30"/>
    <n v="1"/>
    <n v="0"/>
    <n v="20"/>
    <n v="2"/>
    <n v="1"/>
    <x v="8"/>
    <x v="21"/>
    <d v="2015-03-23T19:00:26"/>
    <n v="23"/>
    <n v="2"/>
    <n v="19"/>
  </r>
  <r>
    <n v="167"/>
    <s v="Missouri"/>
    <s v="63368"/>
    <d v="2015-02-19T10:19:23"/>
    <d v="2015-03-01T11:58:55"/>
    <n v="8"/>
    <n v="0"/>
    <n v="9"/>
    <n v="16"/>
    <n v="1"/>
    <x v="3"/>
    <x v="4"/>
    <d v="2015-02-19T13:53:12"/>
    <n v="19"/>
    <n v="5"/>
    <n v="13"/>
  </r>
  <r>
    <n v="168"/>
    <s v="Colorado"/>
    <s v="80128"/>
    <d v="2015-07-01T19:19:29"/>
    <d v="2015-07-01T15:19:31"/>
    <n v="1"/>
    <n v="2"/>
    <n v="12"/>
    <n v="5"/>
    <n v="1"/>
    <x v="1"/>
    <x v="5"/>
    <d v="2015-07-01T15:26:23"/>
    <n v="1"/>
    <n v="4"/>
    <n v="15"/>
  </r>
  <r>
    <n v="169"/>
    <s v="New York"/>
    <s v="13140"/>
    <d v="2015-06-19T15:38:14"/>
    <d v="2015-06-19T11:38:19"/>
    <n v="1"/>
    <n v="2"/>
    <n v="4"/>
    <n v="2"/>
    <n v="1"/>
    <x v="2"/>
    <x v="2"/>
    <d v="2015-06-19T11:38:16"/>
    <n v="19"/>
    <n v="6"/>
    <n v="11"/>
  </r>
  <r>
    <n v="170"/>
    <s v="Texas"/>
    <s v="76262"/>
    <d v="2015-08-31T14:48:00"/>
    <d v="2015-08-31T10:48:04"/>
    <n v="1"/>
    <n v="12"/>
    <n v="8"/>
    <n v="3"/>
    <n v="1"/>
    <x v="1"/>
    <x v="1"/>
    <d v="2015-08-31T10:48:01"/>
    <n v="31"/>
    <n v="2"/>
    <n v="10"/>
  </r>
  <r>
    <n v="171"/>
    <s v="Virginia"/>
    <s v="20171"/>
    <d v="2015-02-15T08:36:24"/>
    <d v="2015-02-15T08:36:29"/>
    <n v="1"/>
    <n v="2"/>
    <n v="6"/>
    <n v="1"/>
    <n v="1"/>
    <x v="1"/>
    <x v="5"/>
    <d v="2015-02-15T08:36:26"/>
    <n v="15"/>
    <n v="1"/>
    <n v="8"/>
  </r>
  <r>
    <n v="172"/>
    <s v="South Carolina"/>
    <s v="29708"/>
    <d v="2015-01-22T16:02:24"/>
    <d v="2015-01-22T16:02:28"/>
    <n v="1"/>
    <n v="0"/>
    <n v="2"/>
    <n v="2"/>
    <n v="1"/>
    <x v="0"/>
    <x v="2"/>
    <d v="2015-01-22T16:02:26"/>
    <n v="22"/>
    <n v="5"/>
    <n v="16"/>
  </r>
  <r>
    <n v="173"/>
    <s v="Georgia"/>
    <s v="30307"/>
    <d v="2015-05-28T09:03:57"/>
    <d v="2015-05-28T09:04:00"/>
    <n v="1"/>
    <n v="0"/>
    <n v="2"/>
    <n v="2"/>
    <n v="1"/>
    <x v="0"/>
    <x v="14"/>
    <d v="2015-05-28T09:03:57"/>
    <n v="28"/>
    <n v="5"/>
    <n v="9"/>
  </r>
  <r>
    <n v="174"/>
    <s v="New York"/>
    <s v="12534"/>
    <d v="2015-06-02T08:43:29"/>
    <d v="2015-06-02T08:43:34"/>
    <n v="1"/>
    <n v="14"/>
    <n v="18"/>
    <n v="5"/>
    <n v="1"/>
    <x v="2"/>
    <x v="2"/>
    <d v="2015-06-02T08:43:31"/>
    <n v="2"/>
    <n v="3"/>
    <n v="8"/>
  </r>
  <r>
    <n v="175"/>
    <s v="Kentucky"/>
    <s v="40165"/>
    <d v="2015-06-25T23:54:08"/>
    <d v="2015-06-25T23:54:12"/>
    <n v="1"/>
    <n v="6"/>
    <n v="8"/>
    <n v="4"/>
    <n v="1"/>
    <x v="6"/>
    <x v="44"/>
    <d v="2015-06-25T23:54:08"/>
    <n v="25"/>
    <n v="5"/>
    <n v="23"/>
  </r>
  <r>
    <n v="176"/>
    <s v="Massachusetts"/>
    <s v="02035"/>
    <d v="2015-06-23T18:25:05"/>
    <d v="2015-06-23T14:25:11"/>
    <n v="1"/>
    <n v="6"/>
    <n v="4"/>
    <n v="2"/>
    <n v="1"/>
    <x v="3"/>
    <x v="45"/>
    <d v="2015-06-23T14:25:07"/>
    <n v="23"/>
    <n v="3"/>
    <n v="14"/>
  </r>
  <r>
    <n v="177"/>
    <s v="Ohio"/>
    <s v="43830"/>
    <d v="2015-09-05T08:05:08"/>
    <d v="2015-09-05T08:05:14"/>
    <n v="1"/>
    <n v="4"/>
    <n v="4"/>
    <n v="2"/>
    <n v="1"/>
    <x v="3"/>
    <x v="46"/>
    <d v="2015-09-05T08:05:08"/>
    <n v="5"/>
    <n v="7"/>
    <n v="8"/>
  </r>
  <r>
    <n v="178"/>
    <m/>
    <m/>
    <d v="2015-03-04T09:26:57"/>
    <d v="2015-03-04T09:27:06"/>
    <n v="1"/>
    <n v="4"/>
    <n v="8"/>
    <n v="10"/>
    <n v="1"/>
    <x v="2"/>
    <x v="2"/>
    <d v="2015-03-04T09:27:03"/>
    <n v="4"/>
    <n v="4"/>
    <n v="9"/>
  </r>
  <r>
    <n v="179"/>
    <s v="Ohio"/>
    <s v="44319"/>
    <d v="2015-04-09T18:44:28"/>
    <d v="2015-04-09T18:44:34"/>
    <n v="1"/>
    <n v="0"/>
    <n v="6"/>
    <n v="1"/>
    <n v="1"/>
    <x v="1"/>
    <x v="1"/>
    <d v="2015-04-09T18:44:29"/>
    <n v="9"/>
    <n v="5"/>
    <n v="18"/>
  </r>
  <r>
    <n v="180"/>
    <s v="Idaho"/>
    <s v="83642"/>
    <d v="2015-08-12T14:29:48"/>
    <d v="2015-08-12T14:29:51"/>
    <n v="1"/>
    <n v="2"/>
    <n v="2"/>
    <n v="3"/>
    <n v="1"/>
    <x v="0"/>
    <x v="35"/>
    <d v="2015-08-12T14:29:49"/>
    <n v="12"/>
    <n v="4"/>
    <n v="14"/>
  </r>
  <r>
    <n v="181"/>
    <s v="Kentucky"/>
    <s v="41101"/>
    <d v="2015-03-18T08:48:38"/>
    <d v="2015-03-18T08:48:43"/>
    <n v="1"/>
    <n v="8"/>
    <n v="12"/>
    <n v="1"/>
    <n v="1"/>
    <x v="6"/>
    <x v="39"/>
    <d v="2015-03-18T08:48:39"/>
    <n v="18"/>
    <n v="4"/>
    <n v="8"/>
  </r>
  <r>
    <n v="182"/>
    <s v="Maryland"/>
    <s v="20851"/>
    <d v="2015-02-06T01:36:44"/>
    <d v="2015-02-06T01:36:52"/>
    <n v="1"/>
    <n v="2"/>
    <n v="4"/>
    <n v="1"/>
    <n v="1"/>
    <x v="3"/>
    <x v="4"/>
    <d v="2015-02-06T01:36:49"/>
    <n v="6"/>
    <n v="6"/>
    <n v="1"/>
  </r>
  <r>
    <n v="183"/>
    <s v="New Jersey"/>
    <s v="07932"/>
    <d v="2015-02-02T15:13:21"/>
    <d v="2015-02-02T15:13:28"/>
    <n v="1"/>
    <n v="4"/>
    <n v="10"/>
    <n v="1"/>
    <n v="1"/>
    <x v="5"/>
    <x v="10"/>
    <d v="2015-02-02T15:13:25"/>
    <n v="2"/>
    <n v="2"/>
    <n v="15"/>
  </r>
  <r>
    <n v="184"/>
    <s v="California"/>
    <s v="94061"/>
    <d v="2015-08-14T04:39:38"/>
    <d v="2015-08-14T00:39:43"/>
    <n v="1"/>
    <n v="6"/>
    <n v="6"/>
    <n v="2"/>
    <n v="1"/>
    <x v="5"/>
    <x v="19"/>
    <d v="2015-08-14T00:39:38"/>
    <n v="14"/>
    <n v="6"/>
    <n v="0"/>
  </r>
  <r>
    <n v="185"/>
    <s v="Pennsylvania"/>
    <s v="19057"/>
    <d v="2015-02-18T15:51:46"/>
    <d v="2015-02-19T19:48:25"/>
    <n v="5"/>
    <n v="0"/>
    <n v="8"/>
    <n v="2"/>
    <n v="1"/>
    <x v="2"/>
    <x v="14"/>
    <d v="2015-02-18T15:51:47"/>
    <n v="18"/>
    <n v="4"/>
    <n v="15"/>
  </r>
  <r>
    <n v="186"/>
    <s v="Washington"/>
    <s v="98501"/>
    <d v="2015-01-27T17:06:56"/>
    <d v="2015-02-19T13:03:39"/>
    <n v="2"/>
    <n v="10"/>
    <n v="34"/>
    <n v="7"/>
    <n v="2"/>
    <x v="10"/>
    <x v="47"/>
    <d v="2015-01-27T17:06:57"/>
    <n v="27"/>
    <n v="3"/>
    <n v="17"/>
  </r>
  <r>
    <n v="187"/>
    <s v="North Carolina"/>
    <s v="27302"/>
    <d v="2015-03-18T07:48:14"/>
    <d v="2015-03-18T07:48:20"/>
    <n v="1"/>
    <n v="2"/>
    <n v="8"/>
    <n v="1"/>
    <n v="1"/>
    <x v="2"/>
    <x v="2"/>
    <d v="2015-03-18T07:48:15"/>
    <n v="18"/>
    <n v="4"/>
    <n v="7"/>
  </r>
  <r>
    <n v="188"/>
    <s v="Oklahoma"/>
    <s v="73034"/>
    <d v="2015-08-22T10:37:57"/>
    <d v="2015-08-22T22:58:17"/>
    <n v="2"/>
    <n v="13"/>
    <n v="10"/>
    <n v="2"/>
    <n v="1"/>
    <x v="6"/>
    <x v="48"/>
    <d v="2015-08-22T10:37:57"/>
    <n v="22"/>
    <n v="7"/>
    <n v="10"/>
  </r>
  <r>
    <n v="189"/>
    <s v="New Jersey"/>
    <s v="07458"/>
    <d v="2014-12-03T12:35:07"/>
    <d v="2015-05-26T22:29:40"/>
    <n v="2"/>
    <n v="4"/>
    <n v="2"/>
    <n v="3"/>
    <n v="1"/>
    <x v="2"/>
    <x v="14"/>
    <d v="2015-05-26T22:33:40"/>
    <n v="26"/>
    <n v="3"/>
    <n v="22"/>
  </r>
  <r>
    <n v="190"/>
    <s v="Ohio"/>
    <s v="44262"/>
    <d v="2015-07-29T01:52:50"/>
    <d v="2015-07-28T21:52:55"/>
    <n v="1"/>
    <n v="2"/>
    <n v="4"/>
    <n v="4"/>
    <n v="1"/>
    <x v="5"/>
    <x v="39"/>
    <d v="2015-07-28T21:52:51"/>
    <n v="28"/>
    <n v="3"/>
    <n v="21"/>
  </r>
  <r>
    <n v="191"/>
    <s v="New Hampshire"/>
    <s v="03103"/>
    <d v="2015-06-29T16:48:12"/>
    <d v="2015-06-29T12:48:17"/>
    <n v="1"/>
    <n v="2"/>
    <n v="2"/>
    <n v="2"/>
    <n v="1"/>
    <x v="0"/>
    <x v="2"/>
    <d v="2015-06-29T12:48:13"/>
    <n v="29"/>
    <n v="2"/>
    <n v="12"/>
  </r>
  <r>
    <n v="192"/>
    <s v="Rhode Island"/>
    <s v="02881"/>
    <d v="2015-01-31T09:12:54"/>
    <d v="2015-01-31T09:12:58"/>
    <n v="1"/>
    <n v="0"/>
    <n v="4"/>
    <n v="1"/>
    <n v="1"/>
    <x v="3"/>
    <x v="4"/>
    <d v="2015-01-31T09:12:55"/>
    <n v="31"/>
    <n v="7"/>
    <n v="9"/>
  </r>
  <r>
    <n v="193"/>
    <s v="Texas"/>
    <s v="78749"/>
    <d v="2015-03-19T20:07:17"/>
    <d v="2015-03-19T20:07:21"/>
    <n v="1"/>
    <n v="0"/>
    <n v="8"/>
    <n v="5"/>
    <n v="2"/>
    <x v="8"/>
    <x v="2"/>
    <d v="2015-03-19T20:12:26"/>
    <n v="19"/>
    <n v="5"/>
    <n v="20"/>
  </r>
  <r>
    <n v="194"/>
    <s v="New York"/>
    <s v="10021"/>
    <d v="2015-05-15T19:44:07"/>
    <d v="2015-05-15T15:44:09"/>
    <n v="1"/>
    <n v="4"/>
    <n v="10"/>
    <n v="5"/>
    <n v="1"/>
    <x v="6"/>
    <x v="14"/>
    <d v="2015-05-15T15:45:48"/>
    <n v="15"/>
    <n v="6"/>
    <n v="15"/>
  </r>
  <r>
    <n v="195"/>
    <s v="Arizona"/>
    <s v="85298"/>
    <d v="2015-03-22T15:27:56"/>
    <d v="2015-03-22T15:27:59"/>
    <n v="1"/>
    <n v="2"/>
    <n v="6"/>
    <n v="3"/>
    <n v="1"/>
    <x v="0"/>
    <x v="2"/>
    <d v="2015-03-22T15:29:30"/>
    <n v="22"/>
    <n v="1"/>
    <n v="15"/>
  </r>
  <r>
    <n v="196"/>
    <s v="New Hampshire"/>
    <s v="03303"/>
    <d v="2015-01-16T21:21:37"/>
    <d v="2015-03-17T09:16:18"/>
    <n v="4"/>
    <n v="1"/>
    <n v="19"/>
    <n v="4"/>
    <n v="2"/>
    <x v="11"/>
    <x v="44"/>
    <d v="2015-01-16T21:21:39"/>
    <n v="16"/>
    <n v="6"/>
    <n v="21"/>
  </r>
  <r>
    <n v="197"/>
    <s v="Minnesota"/>
    <s v="55357"/>
    <d v="2015-03-23T11:52:13"/>
    <d v="2015-03-23T11:52:21"/>
    <n v="1"/>
    <n v="2"/>
    <n v="8"/>
    <n v="1"/>
    <n v="1"/>
    <x v="2"/>
    <x v="1"/>
    <d v="2015-03-23T11:52:14"/>
    <n v="23"/>
    <n v="2"/>
    <n v="11"/>
  </r>
  <r>
    <n v="198"/>
    <s v="Arizona"/>
    <s v="85268"/>
    <d v="2015-05-25T11:54:37"/>
    <d v="2015-05-25T11:54:40"/>
    <n v="1"/>
    <n v="2"/>
    <n v="2"/>
    <n v="2"/>
    <n v="1"/>
    <x v="0"/>
    <x v="2"/>
    <d v="2015-05-25T11:54:38"/>
    <n v="25"/>
    <n v="2"/>
    <n v="11"/>
  </r>
  <r>
    <n v="200"/>
    <s v="California"/>
    <s v="91602"/>
    <d v="2015-05-22T11:41:12"/>
    <d v="2015-05-22T11:41:15"/>
    <n v="1"/>
    <n v="6"/>
    <n v="4"/>
    <n v="2"/>
    <n v="1"/>
    <x v="3"/>
    <x v="5"/>
    <d v="2015-05-22T11:41:12"/>
    <n v="22"/>
    <n v="6"/>
    <n v="11"/>
  </r>
  <r>
    <n v="201"/>
    <s v="Massachusetts"/>
    <s v="01020"/>
    <d v="2015-08-30T12:21:59"/>
    <d v="2015-08-30T12:22:02"/>
    <n v="1"/>
    <n v="2"/>
    <n v="2"/>
    <n v="3"/>
    <n v="1"/>
    <x v="0"/>
    <x v="0"/>
    <d v="2015-08-30T12:21:59"/>
    <n v="30"/>
    <n v="1"/>
    <n v="12"/>
  </r>
  <r>
    <n v="202"/>
    <s v="Connecticut"/>
    <s v="06082"/>
    <d v="2015-02-28T17:31:38"/>
    <d v="2015-02-28T20:19:21"/>
    <n v="2"/>
    <n v="4"/>
    <n v="14"/>
    <n v="4"/>
    <n v="1"/>
    <x v="1"/>
    <x v="49"/>
    <d v="2015-02-28T17:31:39"/>
    <n v="28"/>
    <n v="7"/>
    <n v="17"/>
  </r>
  <r>
    <n v="203"/>
    <s v="Texas"/>
    <s v="77379"/>
    <d v="2015-01-11T19:49:28"/>
    <d v="2015-01-11T19:49:36"/>
    <n v="1"/>
    <n v="4"/>
    <n v="2"/>
    <n v="3"/>
    <n v="1"/>
    <x v="2"/>
    <x v="2"/>
    <d v="2015-01-11T19:49:30"/>
    <n v="11"/>
    <n v="1"/>
    <n v="19"/>
  </r>
  <r>
    <n v="205"/>
    <s v="New Jersey"/>
    <s v="07446"/>
    <d v="2015-03-15T20:01:35"/>
    <d v="2015-03-15T20:01:41"/>
    <n v="1"/>
    <n v="0"/>
    <n v="4"/>
    <n v="3"/>
    <n v="1"/>
    <x v="3"/>
    <x v="5"/>
    <d v="2015-03-15T20:01:36"/>
    <n v="15"/>
    <n v="1"/>
    <n v="20"/>
  </r>
  <r>
    <n v="206"/>
    <s v="Minnesota"/>
    <s v="55322"/>
    <d v="2015-04-01T10:11:58"/>
    <d v="2015-04-01T10:12:03"/>
    <n v="1"/>
    <n v="2"/>
    <n v="2"/>
    <n v="1"/>
    <n v="1"/>
    <x v="0"/>
    <x v="14"/>
    <d v="2015-04-01T10:11:59"/>
    <n v="1"/>
    <n v="4"/>
    <n v="10"/>
  </r>
  <r>
    <n v="207"/>
    <s v="Ohio"/>
    <s v="44122"/>
    <d v="2015-07-10T07:52:22"/>
    <d v="2015-07-10T07:52:27"/>
    <n v="1"/>
    <n v="6"/>
    <n v="4"/>
    <n v="2"/>
    <n v="1"/>
    <x v="3"/>
    <x v="9"/>
    <d v="2015-07-10T07:52:22"/>
    <n v="10"/>
    <n v="6"/>
    <n v="7"/>
  </r>
  <r>
    <n v="208"/>
    <s v="Connecticut"/>
    <s v="06511"/>
    <d v="2015-01-11T02:03:13"/>
    <d v="2015-01-11T02:03:19"/>
    <n v="1"/>
    <n v="2"/>
    <n v="4"/>
    <n v="4"/>
    <n v="1"/>
    <x v="3"/>
    <x v="4"/>
    <d v="2015-01-11T02:03:15"/>
    <n v="11"/>
    <n v="1"/>
    <n v="2"/>
  </r>
  <r>
    <n v="209"/>
    <m/>
    <m/>
    <d v="2015-03-05T14:26:23"/>
    <d v="2015-03-05T14:26:27"/>
    <n v="1"/>
    <n v="2"/>
    <n v="10"/>
    <n v="3"/>
    <n v="1"/>
    <x v="3"/>
    <x v="13"/>
    <d v="2015-03-05T14:34:57"/>
    <n v="5"/>
    <n v="5"/>
    <n v="14"/>
  </r>
  <r>
    <n v="210"/>
    <s v="Minnesota"/>
    <s v="55079"/>
    <d v="2015-01-28T20:18:55"/>
    <d v="2015-01-28T20:19:02"/>
    <n v="1"/>
    <n v="0"/>
    <n v="6"/>
    <n v="1"/>
    <n v="1"/>
    <x v="1"/>
    <x v="8"/>
    <d v="2015-01-28T20:18:57"/>
    <n v="28"/>
    <n v="4"/>
    <n v="20"/>
  </r>
  <r>
    <n v="211"/>
    <s v="California"/>
    <s v="95410"/>
    <d v="2015-01-15T21:39:55"/>
    <d v="2015-01-15T21:39:59"/>
    <n v="1"/>
    <n v="0"/>
    <n v="4"/>
    <n v="2"/>
    <n v="1"/>
    <x v="3"/>
    <x v="4"/>
    <d v="2015-01-15T21:39:56"/>
    <n v="15"/>
    <n v="5"/>
    <n v="21"/>
  </r>
  <r>
    <n v="212"/>
    <s v="Pennsylvania"/>
    <s v="19064"/>
    <d v="2015-07-27T12:21:44"/>
    <d v="2015-07-27T12:21:47"/>
    <n v="1"/>
    <n v="6"/>
    <n v="2"/>
    <n v="5"/>
    <n v="1"/>
    <x v="0"/>
    <x v="6"/>
    <d v="2015-07-27T12:21:44"/>
    <n v="27"/>
    <n v="2"/>
    <n v="12"/>
  </r>
  <r>
    <n v="213"/>
    <s v="Virginia"/>
    <s v="22312"/>
    <d v="2015-07-14T02:26:50"/>
    <d v="2015-07-13T22:26:55"/>
    <n v="1"/>
    <n v="12"/>
    <n v="12"/>
    <n v="6"/>
    <n v="1"/>
    <x v="6"/>
    <x v="50"/>
    <d v="2015-07-13T22:26:51"/>
    <n v="13"/>
    <n v="2"/>
    <n v="22"/>
  </r>
  <r>
    <n v="214"/>
    <s v="Tennessee"/>
    <s v="37912"/>
    <d v="2015-01-19T05:20:04"/>
    <d v="2015-01-19T05:20:08"/>
    <n v="1"/>
    <n v="1"/>
    <n v="4"/>
    <n v="2"/>
    <n v="1"/>
    <x v="3"/>
    <x v="5"/>
    <d v="2015-01-19T05:20:06"/>
    <n v="19"/>
    <n v="2"/>
    <n v="5"/>
  </r>
  <r>
    <n v="215"/>
    <s v="California"/>
    <s v="94117"/>
    <d v="2015-06-22T23:57:25"/>
    <d v="2015-06-22T23:57:29"/>
    <n v="1"/>
    <n v="2"/>
    <n v="4"/>
    <n v="2"/>
    <n v="1"/>
    <x v="1"/>
    <x v="20"/>
    <d v="2015-06-22T23:57:26"/>
    <n v="22"/>
    <n v="2"/>
    <n v="23"/>
  </r>
  <r>
    <n v="216"/>
    <s v="Missouri"/>
    <s v="64155"/>
    <d v="2015-01-22T19:11:00"/>
    <d v="2015-01-22T19:11:04"/>
    <n v="1"/>
    <n v="0"/>
    <n v="4"/>
    <n v="2"/>
    <n v="1"/>
    <x v="3"/>
    <x v="4"/>
    <d v="2015-01-22T19:11:01"/>
    <n v="22"/>
    <n v="5"/>
    <n v="19"/>
  </r>
  <r>
    <n v="217"/>
    <s v="Michigan"/>
    <s v="48642"/>
    <d v="2015-08-11T10:34:04"/>
    <d v="2015-08-11T10:34:08"/>
    <n v="1"/>
    <n v="4"/>
    <n v="4"/>
    <n v="2"/>
    <n v="1"/>
    <x v="3"/>
    <x v="51"/>
    <d v="2015-08-11T10:34:04"/>
    <n v="11"/>
    <n v="3"/>
    <n v="10"/>
  </r>
  <r>
    <n v="219"/>
    <m/>
    <m/>
    <d v="2015-06-08T19:21:38"/>
    <d v="2015-08-21T07:20:27"/>
    <n v="22"/>
    <n v="24"/>
    <n v="21"/>
    <n v="17"/>
    <n v="1"/>
    <x v="3"/>
    <x v="52"/>
    <d v="2015-08-21T07:37:00"/>
    <n v="21"/>
    <n v="6"/>
    <n v="7"/>
  </r>
  <r>
    <n v="220"/>
    <s v="Florida"/>
    <s v="33157"/>
    <d v="2015-04-23T13:56:41"/>
    <d v="2015-04-23T13:56:45"/>
    <n v="1"/>
    <n v="2"/>
    <n v="4"/>
    <n v="1"/>
    <n v="1"/>
    <x v="3"/>
    <x v="5"/>
    <d v="2015-04-23T13:56:42"/>
    <n v="23"/>
    <n v="5"/>
    <n v="13"/>
  </r>
  <r>
    <n v="221"/>
    <s v="District of Columbia"/>
    <s v="20003"/>
    <d v="2015-05-15T15:04:21"/>
    <d v="2015-05-15T15:04:24"/>
    <n v="1"/>
    <n v="0"/>
    <n v="2"/>
    <n v="2"/>
    <n v="1"/>
    <x v="2"/>
    <x v="2"/>
    <d v="2015-05-15T15:04:22"/>
    <n v="15"/>
    <n v="6"/>
    <n v="15"/>
  </r>
  <r>
    <n v="222"/>
    <s v="Maryland"/>
    <s v="21201"/>
    <d v="2015-06-13T12:10:50"/>
    <d v="2015-06-13T12:10:55"/>
    <n v="1"/>
    <n v="4"/>
    <n v="8"/>
    <n v="2"/>
    <n v="1"/>
    <x v="4"/>
    <x v="53"/>
    <d v="2015-06-13T12:10:51"/>
    <n v="13"/>
    <n v="7"/>
    <n v="12"/>
  </r>
  <r>
    <n v="223"/>
    <s v="Maryland"/>
    <s v="20744"/>
    <d v="2015-03-21T08:28:38"/>
    <d v="2015-03-21T08:28:46"/>
    <n v="1"/>
    <n v="8"/>
    <n v="18"/>
    <n v="3"/>
    <n v="1"/>
    <x v="8"/>
    <x v="54"/>
    <d v="2015-03-21T08:28:40"/>
    <n v="21"/>
    <n v="7"/>
    <n v="8"/>
  </r>
  <r>
    <n v="224"/>
    <s v="Massachusetts"/>
    <s v="01845"/>
    <d v="2015-02-22T12:12:52"/>
    <d v="2015-02-22T12:12:57"/>
    <n v="1"/>
    <n v="0"/>
    <n v="8"/>
    <n v="1"/>
    <n v="1"/>
    <x v="2"/>
    <x v="2"/>
    <d v="2015-02-22T12:12:53"/>
    <n v="22"/>
    <n v="1"/>
    <n v="12"/>
  </r>
  <r>
    <n v="225"/>
    <s v="Texas"/>
    <s v="77407"/>
    <d v="2015-02-11T18:08:36"/>
    <d v="2015-02-20T14:41:56"/>
    <n v="5"/>
    <n v="10"/>
    <n v="13"/>
    <n v="8"/>
    <n v="1"/>
    <x v="2"/>
    <x v="55"/>
    <d v="2015-02-11T18:08:39"/>
    <n v="11"/>
    <n v="4"/>
    <n v="18"/>
  </r>
  <r>
    <n v="226"/>
    <s v="Illinois"/>
    <s v="60606"/>
    <d v="2015-08-13T12:17:52"/>
    <d v="2015-08-13T12:17:54"/>
    <n v="1"/>
    <n v="2"/>
    <n v="2"/>
    <n v="2"/>
    <n v="1"/>
    <x v="3"/>
    <x v="42"/>
    <d v="2015-08-13T12:17:52"/>
    <n v="13"/>
    <n v="5"/>
    <n v="12"/>
  </r>
  <r>
    <n v="227"/>
    <s v="California"/>
    <s v="95123"/>
    <d v="2015-09-03T17:57:51"/>
    <d v="2015-09-03T13:57:56"/>
    <n v="1"/>
    <n v="2"/>
    <n v="4"/>
    <n v="3"/>
    <n v="1"/>
    <x v="3"/>
    <x v="56"/>
    <d v="2015-09-03T13:57:52"/>
    <n v="3"/>
    <n v="5"/>
    <n v="13"/>
  </r>
  <r>
    <n v="228"/>
    <s v="Washington"/>
    <s v="98112"/>
    <d v="2015-01-22T01:52:56"/>
    <d v="2015-01-22T01:53:00"/>
    <n v="1"/>
    <n v="0"/>
    <n v="2"/>
    <n v="2"/>
    <n v="1"/>
    <x v="6"/>
    <x v="14"/>
    <d v="2015-01-22T01:52:57"/>
    <n v="22"/>
    <n v="5"/>
    <n v="1"/>
  </r>
  <r>
    <n v="229"/>
    <s v="Oregon"/>
    <s v="97301"/>
    <d v="2015-05-14T20:34:31"/>
    <d v="2015-05-14T20:34:36"/>
    <n v="1"/>
    <n v="0"/>
    <n v="2"/>
    <n v="2"/>
    <n v="1"/>
    <x v="1"/>
    <x v="8"/>
    <d v="2015-05-14T20:34:32"/>
    <n v="14"/>
    <n v="5"/>
    <n v="20"/>
  </r>
  <r>
    <n v="230"/>
    <s v="South Carolina"/>
    <s v="29201"/>
    <d v="2015-01-21T09:44:37"/>
    <d v="2015-01-21T09:44:41"/>
    <n v="1"/>
    <n v="2"/>
    <n v="8"/>
    <n v="2"/>
    <n v="1"/>
    <x v="2"/>
    <x v="2"/>
    <d v="2015-01-21T09:44:39"/>
    <n v="21"/>
    <n v="4"/>
    <n v="9"/>
  </r>
  <r>
    <n v="231"/>
    <s v="California"/>
    <s v="90039"/>
    <d v="2015-05-19T14:14:50"/>
    <d v="2015-05-19T14:14:54"/>
    <n v="1"/>
    <n v="2"/>
    <n v="10"/>
    <n v="2"/>
    <n v="1"/>
    <x v="0"/>
    <x v="21"/>
    <d v="2015-05-19T14:14:51"/>
    <n v="19"/>
    <n v="3"/>
    <n v="14"/>
  </r>
  <r>
    <n v="232"/>
    <s v="Oregon"/>
    <s v="97030"/>
    <d v="2015-06-28T16:26:48"/>
    <d v="2015-06-28T12:26:52"/>
    <n v="1"/>
    <n v="6"/>
    <n v="4"/>
    <n v="2"/>
    <n v="1"/>
    <x v="0"/>
    <x v="2"/>
    <d v="2015-06-28T12:26:49"/>
    <n v="28"/>
    <n v="1"/>
    <n v="12"/>
  </r>
  <r>
    <n v="233"/>
    <s v="Florida"/>
    <s v="33897"/>
    <d v="2015-08-20T19:06:50"/>
    <d v="2015-08-21T17:25:29"/>
    <n v="5"/>
    <n v="0"/>
    <n v="2"/>
    <n v="4"/>
    <n v="1"/>
    <x v="0"/>
    <x v="3"/>
    <d v="2015-08-20T19:06:50"/>
    <n v="20"/>
    <n v="5"/>
    <n v="19"/>
  </r>
  <r>
    <n v="234"/>
    <s v="Louisiana"/>
    <s v="70508"/>
    <d v="2015-03-21T00:13:58"/>
    <d v="2015-03-21T20:53:32"/>
    <n v="2"/>
    <n v="2"/>
    <n v="4"/>
    <n v="1"/>
    <n v="1"/>
    <x v="2"/>
    <x v="2"/>
    <d v="2015-03-21T00:13:59"/>
    <n v="21"/>
    <n v="7"/>
    <n v="0"/>
  </r>
  <r>
    <n v="235"/>
    <s v="Kentucky"/>
    <s v="40242"/>
    <d v="2015-02-05T16:30:09"/>
    <d v="2015-02-05T19:58:02"/>
    <n v="3"/>
    <n v="0"/>
    <n v="8"/>
    <n v="2"/>
    <n v="1"/>
    <x v="2"/>
    <x v="14"/>
    <d v="2015-02-05T16:30:11"/>
    <n v="5"/>
    <n v="5"/>
    <n v="16"/>
  </r>
  <r>
    <n v="236"/>
    <s v="California"/>
    <s v="94530"/>
    <d v="2015-04-14T12:27:39"/>
    <d v="2015-04-14T12:27:44"/>
    <n v="1"/>
    <n v="0"/>
    <n v="6"/>
    <n v="1"/>
    <n v="1"/>
    <x v="1"/>
    <x v="5"/>
    <d v="2015-04-14T12:27:40"/>
    <n v="14"/>
    <n v="3"/>
    <n v="12"/>
  </r>
  <r>
    <n v="237"/>
    <s v="Nebraska"/>
    <s v="69130"/>
    <d v="2015-08-15T22:31:51"/>
    <d v="2015-08-15T18:31:53"/>
    <n v="1"/>
    <n v="14"/>
    <n v="8"/>
    <n v="2"/>
    <n v="1"/>
    <x v="2"/>
    <x v="57"/>
    <d v="2015-08-15T18:36:02"/>
    <n v="15"/>
    <n v="7"/>
    <n v="18"/>
  </r>
  <r>
    <n v="238"/>
    <m/>
    <m/>
    <d v="2015-06-11T18:35:59"/>
    <d v="2015-06-11T17:02:42"/>
    <n v="3"/>
    <n v="0"/>
    <n v="3"/>
    <n v="7"/>
    <n v="1"/>
    <x v="3"/>
    <x v="13"/>
    <d v="2015-06-11T14:51:11"/>
    <n v="11"/>
    <n v="5"/>
    <n v="14"/>
  </r>
  <r>
    <n v="239"/>
    <s v="California"/>
    <s v="94110"/>
    <d v="2015-01-27T16:16:08"/>
    <d v="2015-01-27T16:16:12"/>
    <n v="1"/>
    <n v="2"/>
    <n v="14"/>
    <n v="3"/>
    <n v="1"/>
    <x v="2"/>
    <x v="58"/>
    <d v="2015-01-27T16:16:10"/>
    <n v="27"/>
    <n v="3"/>
    <n v="16"/>
  </r>
  <r>
    <n v="240"/>
    <s v="California"/>
    <s v="93619"/>
    <d v="2015-08-19T12:29:25"/>
    <d v="2015-08-19T12:29:28"/>
    <n v="1"/>
    <n v="2"/>
    <n v="6"/>
    <n v="2"/>
    <n v="1"/>
    <x v="2"/>
    <x v="22"/>
    <d v="2015-08-19T12:29:25"/>
    <n v="19"/>
    <n v="4"/>
    <n v="12"/>
  </r>
  <r>
    <n v="241"/>
    <s v="Washington"/>
    <s v="98034"/>
    <d v="2015-06-12T17:42:30"/>
    <d v="2015-06-12T13:42:34"/>
    <n v="1"/>
    <n v="2"/>
    <n v="2"/>
    <n v="2"/>
    <n v="1"/>
    <x v="2"/>
    <x v="2"/>
    <d v="2015-06-12T13:42:31"/>
    <n v="12"/>
    <n v="6"/>
    <n v="13"/>
  </r>
  <r>
    <n v="242"/>
    <s v="Virginia"/>
    <s v="23701"/>
    <d v="2015-07-13T20:36:36"/>
    <d v="2015-07-13T16:36:40"/>
    <n v="1"/>
    <n v="0"/>
    <n v="2"/>
    <n v="2"/>
    <n v="1"/>
    <x v="0"/>
    <x v="59"/>
    <d v="2015-07-13T16:36:36"/>
    <n v="13"/>
    <n v="2"/>
    <n v="16"/>
  </r>
  <r>
    <n v="243"/>
    <s v="Kentucky"/>
    <s v="40516"/>
    <d v="2015-01-27T22:33:38"/>
    <d v="2015-01-27T22:33:43"/>
    <n v="1"/>
    <n v="0"/>
    <n v="4"/>
    <n v="1"/>
    <n v="1"/>
    <x v="3"/>
    <x v="5"/>
    <d v="2015-01-27T22:33:39"/>
    <n v="27"/>
    <n v="3"/>
    <n v="22"/>
  </r>
  <r>
    <n v="244"/>
    <s v="Tennessee"/>
    <s v="38237"/>
    <d v="2015-09-03T15:39:53"/>
    <d v="2015-09-03T11:39:58"/>
    <n v="1"/>
    <n v="0"/>
    <n v="2"/>
    <n v="2"/>
    <n v="1"/>
    <x v="0"/>
    <x v="60"/>
    <d v="2015-09-03T11:39:53"/>
    <n v="3"/>
    <n v="5"/>
    <n v="11"/>
  </r>
  <r>
    <n v="245"/>
    <s v="Georgia"/>
    <s v="30022"/>
    <d v="2015-08-10T22:25:24"/>
    <d v="2015-08-10T22:25:28"/>
    <n v="1"/>
    <n v="4"/>
    <n v="6"/>
    <n v="7"/>
    <n v="1"/>
    <x v="0"/>
    <x v="0"/>
    <d v="2015-08-10T22:25:24"/>
    <n v="10"/>
    <n v="2"/>
    <n v="22"/>
  </r>
  <r>
    <n v="246"/>
    <s v="California"/>
    <s v="93428"/>
    <d v="2015-03-08T22:05:38"/>
    <d v="2015-03-08T22:05:43"/>
    <n v="1"/>
    <n v="0"/>
    <n v="8"/>
    <n v="1"/>
    <n v="1"/>
    <x v="2"/>
    <x v="2"/>
    <d v="2015-03-08T22:05:39"/>
    <n v="8"/>
    <n v="1"/>
    <n v="22"/>
  </r>
  <r>
    <n v="247"/>
    <s v="Colorado"/>
    <s v="80014"/>
    <d v="2015-05-19T16:09:43"/>
    <d v="2015-05-19T12:09:45"/>
    <n v="1"/>
    <n v="16"/>
    <n v="14"/>
    <n v="4"/>
    <n v="1"/>
    <x v="2"/>
    <x v="1"/>
    <d v="2015-05-19T12:12:06"/>
    <n v="19"/>
    <n v="3"/>
    <n v="12"/>
  </r>
  <r>
    <n v="248"/>
    <s v="Virginia"/>
    <s v="23602"/>
    <d v="2015-09-02T21:07:57"/>
    <d v="2015-09-02T19:27:22"/>
    <n v="3"/>
    <n v="11"/>
    <n v="8"/>
    <n v="2"/>
    <n v="1"/>
    <x v="2"/>
    <x v="61"/>
    <d v="2015-09-02T17:07:58"/>
    <n v="2"/>
    <n v="4"/>
    <n v="17"/>
  </r>
  <r>
    <n v="249"/>
    <s v="Pennsylvania"/>
    <s v="17603"/>
    <d v="2015-06-22T14:48:17"/>
    <d v="2015-07-17T11:26:32"/>
    <n v="5"/>
    <n v="3"/>
    <n v="5"/>
    <n v="8"/>
    <n v="1"/>
    <x v="2"/>
    <x v="22"/>
    <d v="2015-07-16T10:52:08"/>
    <n v="16"/>
    <n v="5"/>
    <n v="10"/>
  </r>
  <r>
    <n v="250"/>
    <s v="Colorado"/>
    <s v="80525"/>
    <d v="2015-01-23T11:30:57"/>
    <d v="2015-01-23T11:31:25"/>
    <n v="1"/>
    <n v="4"/>
    <n v="6"/>
    <n v="2"/>
    <n v="1"/>
    <x v="1"/>
    <x v="8"/>
    <d v="2015-01-23T11:31:22"/>
    <n v="23"/>
    <n v="6"/>
    <n v="11"/>
  </r>
  <r>
    <n v="251"/>
    <s v="Ohio"/>
    <s v="43054"/>
    <d v="2015-06-11T11:20:57"/>
    <d v="2015-06-11T11:21:00"/>
    <n v="1"/>
    <n v="2"/>
    <n v="4"/>
    <n v="8"/>
    <n v="1"/>
    <x v="2"/>
    <x v="2"/>
    <d v="2015-06-11T11:20:58"/>
    <n v="11"/>
    <n v="5"/>
    <n v="11"/>
  </r>
  <r>
    <n v="252"/>
    <s v="Texas"/>
    <s v="78741"/>
    <d v="2015-06-26T16:04:21"/>
    <d v="2015-06-26T12:04:25"/>
    <n v="1"/>
    <n v="8"/>
    <n v="2"/>
    <n v="2"/>
    <n v="1"/>
    <x v="0"/>
    <x v="2"/>
    <d v="2015-06-26T12:04:22"/>
    <n v="26"/>
    <n v="6"/>
    <n v="12"/>
  </r>
  <r>
    <n v="253"/>
    <s v="Connecticut"/>
    <s v="06237"/>
    <d v="2015-05-23T12:20:36"/>
    <d v="2015-05-23T12:20:40"/>
    <n v="1"/>
    <n v="4"/>
    <n v="2"/>
    <n v="7"/>
    <n v="1"/>
    <x v="0"/>
    <x v="21"/>
    <d v="2015-05-23T12:20:37"/>
    <n v="23"/>
    <n v="7"/>
    <n v="12"/>
  </r>
  <r>
    <n v="254"/>
    <s v="Washington"/>
    <s v="98327"/>
    <d v="2015-02-21T09:51:51"/>
    <d v="2015-02-21T09:51:55"/>
    <n v="1"/>
    <n v="0"/>
    <n v="2"/>
    <n v="2"/>
    <n v="1"/>
    <x v="2"/>
    <x v="2"/>
    <d v="2015-02-21T09:51:52"/>
    <n v="21"/>
    <n v="7"/>
    <n v="9"/>
  </r>
  <r>
    <n v="255"/>
    <m/>
    <m/>
    <d v="2015-07-20T05:34:03"/>
    <d v="2015-07-20T01:34:04"/>
    <n v="1"/>
    <n v="2"/>
    <n v="3"/>
    <n v="2"/>
    <n v="1"/>
    <x v="3"/>
    <x v="42"/>
    <d v="2015-07-20T01:42:41"/>
    <n v="20"/>
    <n v="2"/>
    <n v="1"/>
  </r>
  <r>
    <n v="256"/>
    <m/>
    <m/>
    <d v="2015-02-05T11:00:15"/>
    <d v="2015-02-16T12:59:42"/>
    <n v="2"/>
    <n v="0"/>
    <n v="3"/>
    <n v="5"/>
    <n v="1"/>
    <x v="3"/>
    <x v="5"/>
    <d v="2015-02-05T11:06:27"/>
    <n v="5"/>
    <n v="5"/>
    <n v="11"/>
  </r>
  <r>
    <n v="257"/>
    <s v="Massachusetts"/>
    <s v="01945"/>
    <d v="2015-07-12T15:45:02"/>
    <d v="2015-07-12T11:45:08"/>
    <n v="1"/>
    <n v="10"/>
    <n v="16"/>
    <n v="2"/>
    <n v="1"/>
    <x v="4"/>
    <x v="62"/>
    <d v="2015-07-12T11:45:04"/>
    <n v="12"/>
    <n v="1"/>
    <n v="11"/>
  </r>
  <r>
    <n v="258"/>
    <s v="Tennessee"/>
    <s v="37075"/>
    <d v="2015-09-11T16:28:36"/>
    <d v="2015-09-11T16:28:40"/>
    <n v="1"/>
    <n v="8"/>
    <n v="12"/>
    <n v="2"/>
    <n v="1"/>
    <x v="5"/>
    <x v="63"/>
    <d v="2015-09-11T16:28:36"/>
    <n v="11"/>
    <n v="6"/>
    <n v="16"/>
  </r>
  <r>
    <n v="259"/>
    <s v="Illinois"/>
    <s v="60014"/>
    <d v="2015-07-08T15:33:31"/>
    <d v="2015-07-08T11:33:36"/>
    <n v="1"/>
    <n v="0"/>
    <n v="2"/>
    <n v="4"/>
    <n v="1"/>
    <x v="0"/>
    <x v="1"/>
    <d v="2015-07-08T11:33:32"/>
    <n v="8"/>
    <n v="4"/>
    <n v="11"/>
  </r>
  <r>
    <n v="260"/>
    <s v="California"/>
    <s v="94044"/>
    <d v="2015-07-01T20:25:58"/>
    <d v="2015-07-01T16:26:02"/>
    <n v="1"/>
    <n v="2"/>
    <n v="2"/>
    <n v="2"/>
    <n v="1"/>
    <x v="0"/>
    <x v="14"/>
    <d v="2015-07-01T16:25:59"/>
    <n v="1"/>
    <n v="4"/>
    <n v="16"/>
  </r>
  <r>
    <n v="261"/>
    <s v="Michigan"/>
    <s v="48073"/>
    <d v="2015-06-02T20:02:17"/>
    <d v="2015-06-02T20:02:21"/>
    <n v="1"/>
    <n v="2"/>
    <n v="8"/>
    <n v="2"/>
    <n v="1"/>
    <x v="2"/>
    <x v="14"/>
    <d v="2015-06-02T20:02:18"/>
    <n v="2"/>
    <n v="3"/>
    <n v="20"/>
  </r>
  <r>
    <n v="262"/>
    <s v="Pennsylvania"/>
    <s v="19040"/>
    <d v="2015-02-13T16:56:56"/>
    <d v="2015-02-13T16:57:01"/>
    <n v="1"/>
    <n v="0"/>
    <n v="4"/>
    <n v="1"/>
    <n v="1"/>
    <x v="3"/>
    <x v="4"/>
    <d v="2015-02-13T16:56:57"/>
    <n v="13"/>
    <n v="6"/>
    <n v="16"/>
  </r>
  <r>
    <n v="263"/>
    <s v="California"/>
    <s v="92833"/>
    <d v="2015-06-19T17:41:02"/>
    <d v="2015-06-19T17:41:05"/>
    <n v="1"/>
    <n v="8"/>
    <n v="4"/>
    <n v="2"/>
    <n v="1"/>
    <x v="6"/>
    <x v="32"/>
    <d v="2015-06-19T17:41:03"/>
    <n v="19"/>
    <n v="6"/>
    <n v="17"/>
  </r>
  <r>
    <n v="264"/>
    <s v="Rhode Island"/>
    <s v="02910"/>
    <d v="2015-06-07T17:14:15"/>
    <d v="2015-06-07T13:14:17"/>
    <n v="1"/>
    <n v="4"/>
    <n v="6"/>
    <n v="5"/>
    <n v="1"/>
    <x v="3"/>
    <x v="13"/>
    <d v="2015-06-07T13:17:08"/>
    <n v="7"/>
    <n v="1"/>
    <n v="13"/>
  </r>
  <r>
    <n v="265"/>
    <m/>
    <m/>
    <d v="2015-03-19T09:51:24"/>
    <d v="2015-03-19T09:51:29"/>
    <n v="1"/>
    <n v="2"/>
    <n v="13"/>
    <n v="2"/>
    <n v="1"/>
    <x v="8"/>
    <x v="21"/>
    <d v="2015-03-19T09:56:52"/>
    <n v="19"/>
    <n v="5"/>
    <n v="9"/>
  </r>
  <r>
    <n v="266"/>
    <s v="Massachusetts"/>
    <s v="01843"/>
    <d v="2015-05-15T23:44:45"/>
    <d v="2015-05-15T23:44:48"/>
    <n v="1"/>
    <n v="0"/>
    <n v="2"/>
    <n v="2"/>
    <n v="1"/>
    <x v="3"/>
    <x v="13"/>
    <d v="2015-05-15T23:44:45"/>
    <n v="15"/>
    <n v="6"/>
    <n v="23"/>
  </r>
  <r>
    <n v="267"/>
    <s v="Florida"/>
    <s v="33444"/>
    <d v="2015-08-30T13:29:40"/>
    <d v="2015-08-30T09:29:46"/>
    <n v="1"/>
    <n v="4"/>
    <n v="4"/>
    <n v="2"/>
    <n v="1"/>
    <x v="1"/>
    <x v="64"/>
    <d v="2015-08-30T09:29:41"/>
    <n v="30"/>
    <n v="1"/>
    <n v="9"/>
  </r>
  <r>
    <n v="268"/>
    <s v="Indiana"/>
    <s v="46077"/>
    <d v="2015-02-12T19:57:23"/>
    <d v="2015-02-12T19:57:29"/>
    <n v="1"/>
    <n v="2"/>
    <n v="12"/>
    <n v="1"/>
    <n v="1"/>
    <x v="2"/>
    <x v="58"/>
    <d v="2015-02-12T19:57:24"/>
    <n v="12"/>
    <n v="5"/>
    <n v="19"/>
  </r>
  <r>
    <n v="269"/>
    <s v="New York"/>
    <s v="13210"/>
    <d v="2015-06-02T19:07:41"/>
    <d v="2015-06-02T15:07:43"/>
    <n v="1"/>
    <n v="2"/>
    <n v="3"/>
    <n v="1"/>
    <n v="1"/>
    <x v="3"/>
    <x v="13"/>
    <d v="2015-06-02T15:20:55"/>
    <n v="2"/>
    <n v="3"/>
    <n v="15"/>
  </r>
  <r>
    <n v="270"/>
    <s v="California"/>
    <s v="90012"/>
    <d v="2015-07-27T17:21:57"/>
    <d v="2015-07-28T13:14:29"/>
    <n v="2"/>
    <n v="2"/>
    <n v="4"/>
    <n v="3"/>
    <n v="1"/>
    <x v="3"/>
    <x v="60"/>
    <d v="2015-07-27T13:21:58"/>
    <n v="27"/>
    <n v="2"/>
    <n v="13"/>
  </r>
  <r>
    <n v="271"/>
    <s v="Texas"/>
    <s v="76567"/>
    <d v="2015-01-26T23:44:50"/>
    <d v="2015-02-26T08:15:27"/>
    <n v="10"/>
    <n v="0"/>
    <n v="14"/>
    <n v="11"/>
    <n v="2"/>
    <x v="8"/>
    <x v="58"/>
    <d v="2015-01-26T23:44:52"/>
    <n v="26"/>
    <n v="2"/>
    <n v="23"/>
  </r>
  <r>
    <n v="272"/>
    <s v="Maryland"/>
    <s v="21704"/>
    <d v="2015-03-30T10:01:34"/>
    <d v="2015-03-30T10:01:39"/>
    <n v="1"/>
    <n v="1"/>
    <n v="4"/>
    <n v="1"/>
    <n v="1"/>
    <x v="3"/>
    <x v="5"/>
    <d v="2015-03-30T10:01:35"/>
    <n v="30"/>
    <n v="2"/>
    <n v="10"/>
  </r>
  <r>
    <n v="273"/>
    <s v="Texas"/>
    <s v="78840"/>
    <d v="2015-05-21T16:14:52"/>
    <d v="2015-05-21T16:14:56"/>
    <n v="1"/>
    <n v="2"/>
    <n v="4"/>
    <n v="6"/>
    <n v="1"/>
    <x v="0"/>
    <x v="21"/>
    <d v="2015-05-21T16:14:53"/>
    <n v="21"/>
    <n v="5"/>
    <n v="16"/>
  </r>
  <r>
    <n v="274"/>
    <s v="New Jersey"/>
    <s v="07039"/>
    <d v="2015-05-26T14:30:49"/>
    <d v="2015-05-26T14:30:52"/>
    <n v="1"/>
    <n v="4"/>
    <n v="6"/>
    <n v="2"/>
    <n v="1"/>
    <x v="2"/>
    <x v="14"/>
    <d v="2015-05-26T14:30:50"/>
    <n v="26"/>
    <n v="3"/>
    <n v="14"/>
  </r>
  <r>
    <n v="275"/>
    <s v="Pennsylvania"/>
    <s v="19122"/>
    <d v="2015-03-11T23:41:30"/>
    <d v="2015-03-12T12:08:40"/>
    <n v="2"/>
    <n v="0"/>
    <n v="6"/>
    <n v="3"/>
    <n v="1"/>
    <x v="3"/>
    <x v="13"/>
    <d v="2015-03-11T23:41:31"/>
    <n v="11"/>
    <n v="4"/>
    <n v="23"/>
  </r>
  <r>
    <n v="276"/>
    <s v="Wisconsin"/>
    <s v="53719"/>
    <d v="2015-01-21T14:27:40"/>
    <d v="2015-01-21T14:27:44"/>
    <n v="1"/>
    <n v="2"/>
    <n v="2"/>
    <n v="3"/>
    <n v="1"/>
    <x v="3"/>
    <x v="4"/>
    <d v="2015-01-21T14:27:42"/>
    <n v="21"/>
    <n v="4"/>
    <n v="14"/>
  </r>
  <r>
    <n v="277"/>
    <s v="Ohio"/>
    <s v="45014"/>
    <d v="2015-02-06T12:43:57"/>
    <d v="2015-02-06T12:44:01"/>
    <n v="1"/>
    <n v="0"/>
    <n v="4"/>
    <n v="1"/>
    <n v="1"/>
    <x v="3"/>
    <x v="4"/>
    <d v="2015-02-06T12:43:58"/>
    <n v="6"/>
    <n v="6"/>
    <n v="12"/>
  </r>
  <r>
    <n v="278"/>
    <s v="Virginia"/>
    <s v="20148"/>
    <d v="2015-09-09T17:25:18"/>
    <d v="2015-09-10T17:23:07"/>
    <n v="3"/>
    <n v="0"/>
    <n v="2"/>
    <n v="3"/>
    <n v="1"/>
    <x v="0"/>
    <x v="6"/>
    <d v="2015-09-09T17:25:18"/>
    <n v="9"/>
    <n v="4"/>
    <n v="17"/>
  </r>
  <r>
    <n v="279"/>
    <s v="Massachusetts"/>
    <s v="02472"/>
    <d v="2015-06-30T15:41:30"/>
    <d v="2015-06-30T11:41:35"/>
    <n v="1"/>
    <n v="2"/>
    <n v="2"/>
    <n v="2"/>
    <n v="1"/>
    <x v="0"/>
    <x v="28"/>
    <d v="2015-06-30T11:41:31"/>
    <n v="30"/>
    <n v="3"/>
    <n v="11"/>
  </r>
  <r>
    <n v="280"/>
    <m/>
    <m/>
    <d v="2015-07-16T20:37:26"/>
    <d v="2015-07-16T16:37:27"/>
    <n v="2"/>
    <n v="4"/>
    <n v="6"/>
    <n v="3"/>
    <n v="1"/>
    <x v="5"/>
    <x v="32"/>
    <d v="2015-07-16T16:47:49"/>
    <n v="16"/>
    <n v="5"/>
    <n v="16"/>
  </r>
  <r>
    <n v="281"/>
    <m/>
    <m/>
    <d v="2015-09-17T23:05:59"/>
    <d v="2015-09-17T23:06:00"/>
    <n v="1"/>
    <n v="6"/>
    <n v="8"/>
    <n v="7"/>
    <n v="1"/>
    <x v="0"/>
    <x v="0"/>
    <d v="2015-09-17T23:12:33"/>
    <n v="17"/>
    <n v="5"/>
    <n v="23"/>
  </r>
  <r>
    <n v="282"/>
    <s v="Oklahoma"/>
    <s v="73034"/>
    <d v="2015-03-25T10:48:33"/>
    <d v="2015-03-25T10:48:40"/>
    <n v="1"/>
    <n v="6"/>
    <n v="18"/>
    <n v="7"/>
    <n v="1"/>
    <x v="2"/>
    <x v="65"/>
    <d v="2015-03-25T10:48:34"/>
    <n v="25"/>
    <n v="4"/>
    <n v="10"/>
  </r>
  <r>
    <n v="283"/>
    <s v="California"/>
    <s v="94164"/>
    <d v="2015-01-23T15:28:19"/>
    <d v="2015-01-23T15:28:32"/>
    <n v="1"/>
    <n v="0"/>
    <n v="6"/>
    <n v="3"/>
    <n v="1"/>
    <x v="2"/>
    <x v="14"/>
    <d v="2015-01-23T15:28:29"/>
    <n v="23"/>
    <n v="6"/>
    <n v="15"/>
  </r>
  <r>
    <n v="284"/>
    <s v="Michigan"/>
    <s v="49629"/>
    <d v="2015-08-11T10:17:25"/>
    <d v="2015-08-11T06:17:30"/>
    <n v="1"/>
    <n v="4"/>
    <n v="2"/>
    <n v="2"/>
    <n v="1"/>
    <x v="0"/>
    <x v="0"/>
    <d v="2015-08-11T06:17:26"/>
    <n v="11"/>
    <n v="3"/>
    <n v="6"/>
  </r>
  <r>
    <n v="285"/>
    <s v="Iowa"/>
    <s v="52601"/>
    <d v="2015-07-26T05:31:17"/>
    <d v="2015-07-26T01:31:23"/>
    <n v="1"/>
    <n v="8"/>
    <n v="6"/>
    <n v="2"/>
    <n v="1"/>
    <x v="2"/>
    <x v="22"/>
    <d v="2015-07-26T01:31:18"/>
    <n v="26"/>
    <n v="1"/>
    <n v="1"/>
  </r>
  <r>
    <n v="286"/>
    <s v="Oregon"/>
    <s v="97212"/>
    <d v="2015-01-22T15:01:44"/>
    <d v="2015-01-22T15:01:51"/>
    <n v="1"/>
    <n v="2"/>
    <n v="4"/>
    <n v="3"/>
    <n v="1"/>
    <x v="2"/>
    <x v="2"/>
    <d v="2015-01-22T15:01:48"/>
    <n v="22"/>
    <n v="5"/>
    <n v="15"/>
  </r>
  <r>
    <n v="288"/>
    <m/>
    <m/>
    <d v="2015-07-23T12:55:14"/>
    <d v="2015-07-23T08:55:15"/>
    <n v="1"/>
    <n v="2"/>
    <n v="10"/>
    <n v="13"/>
    <n v="1"/>
    <x v="2"/>
    <x v="35"/>
    <d v="2015-07-23T08:57:34"/>
    <n v="23"/>
    <n v="5"/>
    <n v="8"/>
  </r>
  <r>
    <n v="289"/>
    <s v="California"/>
    <s v="92127"/>
    <d v="2015-06-08T16:23:46"/>
    <d v="2015-06-08T12:23:52"/>
    <n v="1"/>
    <n v="4"/>
    <n v="8"/>
    <n v="2"/>
    <n v="1"/>
    <x v="2"/>
    <x v="2"/>
    <d v="2015-06-08T12:23:49"/>
    <n v="8"/>
    <n v="2"/>
    <n v="12"/>
  </r>
  <r>
    <n v="290"/>
    <s v="Pennsylvania"/>
    <s v="19422"/>
    <d v="2015-03-09T09:35:41"/>
    <d v="2015-03-09T09:35:47"/>
    <n v="1"/>
    <n v="4"/>
    <n v="4"/>
    <n v="1"/>
    <n v="1"/>
    <x v="3"/>
    <x v="14"/>
    <d v="2015-03-09T09:35:42"/>
    <n v="9"/>
    <n v="2"/>
    <n v="9"/>
  </r>
  <r>
    <n v="291"/>
    <s v="District of Columbia"/>
    <s v="20017"/>
    <d v="2015-06-21T16:10:06"/>
    <d v="2015-06-21T16:10:10"/>
    <n v="1"/>
    <n v="4"/>
    <n v="2"/>
    <n v="2"/>
    <n v="1"/>
    <x v="0"/>
    <x v="2"/>
    <d v="2015-06-21T16:10:07"/>
    <n v="21"/>
    <n v="1"/>
    <n v="16"/>
  </r>
  <r>
    <n v="292"/>
    <s v="Illinois"/>
    <s v="60130"/>
    <d v="2015-04-06T15:13:26"/>
    <d v="2015-04-06T15:13:30"/>
    <n v="1"/>
    <n v="2"/>
    <n v="10"/>
    <n v="4"/>
    <n v="1"/>
    <x v="2"/>
    <x v="2"/>
    <d v="2015-04-06T15:15:18"/>
    <n v="6"/>
    <n v="2"/>
    <n v="15"/>
  </r>
  <r>
    <n v="293"/>
    <s v="Oregon"/>
    <s v="97455"/>
    <d v="2014-12-18T21:54:10"/>
    <d v="2015-09-20T18:10:19"/>
    <n v="3"/>
    <n v="2"/>
    <n v="2"/>
    <n v="4"/>
    <n v="1"/>
    <x v="3"/>
    <x v="66"/>
    <d v="2015-09-20T18:12:55"/>
    <n v="20"/>
    <n v="1"/>
    <n v="18"/>
  </r>
  <r>
    <n v="294"/>
    <s v="Kansas"/>
    <s v="66207"/>
    <d v="2015-06-09T22:26:50"/>
    <d v="2015-06-09T22:26:54"/>
    <n v="1"/>
    <n v="10"/>
    <n v="12"/>
    <n v="5"/>
    <n v="1"/>
    <x v="5"/>
    <x v="26"/>
    <d v="2015-06-09T22:26:51"/>
    <n v="9"/>
    <n v="3"/>
    <n v="22"/>
  </r>
  <r>
    <n v="295"/>
    <s v="California"/>
    <s v="90024"/>
    <d v="2015-05-01T20:07:37"/>
    <d v="2015-05-01T20:07:42"/>
    <n v="1"/>
    <n v="0"/>
    <n v="6"/>
    <n v="1"/>
    <n v="1"/>
    <x v="6"/>
    <x v="14"/>
    <d v="2015-05-01T20:07:38"/>
    <n v="1"/>
    <n v="6"/>
    <n v="20"/>
  </r>
  <r>
    <n v="296"/>
    <s v="Wisconsin"/>
    <s v="54304"/>
    <d v="2015-04-01T13:55:15"/>
    <d v="2015-04-01T13:55:19"/>
    <n v="1"/>
    <n v="0"/>
    <n v="2"/>
    <n v="1"/>
    <n v="1"/>
    <x v="0"/>
    <x v="14"/>
    <d v="2015-04-01T13:55:15"/>
    <n v="1"/>
    <n v="4"/>
    <n v="13"/>
  </r>
  <r>
    <n v="297"/>
    <s v="New York"/>
    <s v="14150"/>
    <d v="2015-01-10T20:59:49"/>
    <d v="2015-01-10T20:59:53"/>
    <n v="1"/>
    <n v="4"/>
    <n v="16"/>
    <n v="4"/>
    <n v="1"/>
    <x v="6"/>
    <x v="14"/>
    <d v="2015-01-10T21:04:23"/>
    <n v="10"/>
    <n v="7"/>
    <n v="21"/>
  </r>
  <r>
    <n v="298"/>
    <s v="North Carolina"/>
    <s v="28078"/>
    <d v="2015-07-02T21:19:35"/>
    <d v="2015-09-12T22:38:15"/>
    <n v="2"/>
    <n v="3"/>
    <n v="4"/>
    <n v="2"/>
    <n v="1"/>
    <x v="3"/>
    <x v="67"/>
    <d v="2015-09-12T22:44:24"/>
    <n v="12"/>
    <n v="7"/>
    <n v="22"/>
  </r>
  <r>
    <n v="299"/>
    <s v="Minnesota"/>
    <s v="55014"/>
    <d v="2015-09-19T17:12:53"/>
    <d v="2015-09-19T21:39:29"/>
    <n v="7"/>
    <n v="8"/>
    <n v="2"/>
    <n v="2"/>
    <n v="1"/>
    <x v="0"/>
    <x v="0"/>
    <d v="2015-09-19T17:12:54"/>
    <n v="19"/>
    <n v="7"/>
    <n v="17"/>
  </r>
  <r>
    <n v="300"/>
    <s v="Connecticut"/>
    <s v="06854"/>
    <d v="2015-01-15T20:04:57"/>
    <d v="2015-02-07T19:49:26"/>
    <n v="2"/>
    <n v="1"/>
    <n v="7"/>
    <n v="4"/>
    <n v="2"/>
    <x v="2"/>
    <x v="4"/>
    <d v="2015-01-15T20:04:59"/>
    <n v="15"/>
    <n v="5"/>
    <n v="20"/>
  </r>
  <r>
    <n v="301"/>
    <s v="Wisconsin"/>
    <s v="54911"/>
    <d v="2015-02-28T16:05:47"/>
    <d v="2015-02-28T16:05:52"/>
    <n v="1"/>
    <n v="4"/>
    <n v="2"/>
    <n v="1"/>
    <n v="1"/>
    <x v="3"/>
    <x v="4"/>
    <d v="2015-02-28T16:05:48"/>
    <n v="28"/>
    <n v="7"/>
    <n v="16"/>
  </r>
  <r>
    <n v="302"/>
    <s v="New York"/>
    <s v="11215"/>
    <d v="2015-01-14T12:24:43"/>
    <d v="2015-01-14T12:24:47"/>
    <n v="1"/>
    <n v="0"/>
    <n v="2"/>
    <n v="2"/>
    <n v="1"/>
    <x v="3"/>
    <x v="4"/>
    <d v="2015-01-14T12:24:44"/>
    <n v="14"/>
    <n v="4"/>
    <n v="12"/>
  </r>
  <r>
    <n v="303"/>
    <m/>
    <m/>
    <d v="2015-05-20T00:45:06"/>
    <d v="2015-05-19T20:45:08"/>
    <n v="1"/>
    <n v="2"/>
    <n v="2"/>
    <n v="2"/>
    <n v="1"/>
    <x v="6"/>
    <x v="14"/>
    <d v="2015-05-19T20:49:25"/>
    <n v="19"/>
    <n v="3"/>
    <n v="20"/>
  </r>
  <r>
    <n v="304"/>
    <m/>
    <m/>
    <d v="2015-08-15T05:58:01"/>
    <d v="2015-08-15T01:58:02"/>
    <n v="1"/>
    <n v="2"/>
    <n v="6"/>
    <n v="4"/>
    <n v="1"/>
    <x v="0"/>
    <x v="6"/>
    <d v="2015-08-15T02:01:36"/>
    <n v="15"/>
    <n v="7"/>
    <n v="2"/>
  </r>
  <r>
    <n v="305"/>
    <s v="Maryland"/>
    <s v="21231"/>
    <d v="2015-07-10T16:07:05"/>
    <d v="2015-07-10T16:07:09"/>
    <n v="1"/>
    <n v="2"/>
    <n v="2"/>
    <n v="2"/>
    <n v="1"/>
    <x v="0"/>
    <x v="2"/>
    <d v="2015-07-10T16:07:06"/>
    <n v="10"/>
    <n v="6"/>
    <n v="16"/>
  </r>
  <r>
    <n v="306"/>
    <s v="New York"/>
    <s v="10017"/>
    <d v="2013-09-20T19:18:58"/>
    <d v="2015-01-23T10:12:06"/>
    <n v="3"/>
    <n v="2"/>
    <n v="2"/>
    <n v="2"/>
    <n v="1"/>
    <x v="3"/>
    <x v="4"/>
    <d v="2015-01-20T14:13:02"/>
    <n v="20"/>
    <n v="3"/>
    <n v="14"/>
  </r>
  <r>
    <n v="308"/>
    <s v="Tennessee"/>
    <s v="37090"/>
    <d v="2015-02-18T19:42:45"/>
    <d v="2015-03-10T22:09:32"/>
    <n v="3"/>
    <n v="1"/>
    <n v="14"/>
    <n v="10"/>
    <n v="3"/>
    <x v="4"/>
    <x v="68"/>
    <d v="2015-02-18T19:46:45"/>
    <n v="18"/>
    <n v="4"/>
    <n v="19"/>
  </r>
  <r>
    <n v="309"/>
    <s v="Michigan"/>
    <s v="49684"/>
    <d v="2015-08-29T16:44:31"/>
    <d v="2015-08-29T16:44:34"/>
    <n v="1"/>
    <n v="2"/>
    <n v="2"/>
    <n v="2"/>
    <n v="1"/>
    <x v="0"/>
    <x v="69"/>
    <d v="2015-08-29T16:44:31"/>
    <n v="29"/>
    <n v="7"/>
    <n v="16"/>
  </r>
  <r>
    <n v="310"/>
    <s v="Texas"/>
    <s v="75002"/>
    <d v="2015-05-31T15:09:36"/>
    <d v="2015-05-31T11:09:37"/>
    <n v="1"/>
    <n v="6"/>
    <n v="2"/>
    <n v="4"/>
    <n v="1"/>
    <x v="2"/>
    <x v="70"/>
    <d v="2015-05-31T11:12:30"/>
    <n v="31"/>
    <n v="1"/>
    <n v="11"/>
  </r>
  <r>
    <n v="311"/>
    <s v="South Carolina"/>
    <s v="29902"/>
    <d v="2015-09-02T16:36:12"/>
    <d v="2015-09-02T16:36:19"/>
    <n v="1"/>
    <n v="0"/>
    <n v="2"/>
    <n v="2"/>
    <n v="1"/>
    <x v="0"/>
    <x v="6"/>
    <d v="2015-09-02T16:36:12"/>
    <n v="2"/>
    <n v="4"/>
    <n v="16"/>
  </r>
  <r>
    <n v="312"/>
    <s v="New York"/>
    <s v="11754"/>
    <d v="2015-01-30T22:00:08"/>
    <d v="2015-01-30T22:00:20"/>
    <n v="1"/>
    <n v="2"/>
    <n v="10"/>
    <n v="1"/>
    <n v="1"/>
    <x v="6"/>
    <x v="14"/>
    <d v="2015-01-30T22:00:10"/>
    <n v="30"/>
    <n v="6"/>
    <n v="22"/>
  </r>
  <r>
    <n v="313"/>
    <m/>
    <m/>
    <d v="2015-06-06T18:00:24"/>
    <d v="2015-06-06T14:00:28"/>
    <n v="1"/>
    <n v="0"/>
    <n v="2"/>
    <n v="3"/>
    <n v="1"/>
    <x v="0"/>
    <x v="2"/>
    <d v="2015-06-06T14:04:56"/>
    <n v="6"/>
    <n v="7"/>
    <n v="14"/>
  </r>
  <r>
    <n v="314"/>
    <s v="New Jersey"/>
    <s v="07733"/>
    <d v="2015-04-23T08:34:38"/>
    <d v="2015-04-23T17:10:38"/>
    <n v="4"/>
    <n v="0"/>
    <n v="4"/>
    <n v="2"/>
    <n v="1"/>
    <x v="3"/>
    <x v="13"/>
    <d v="2015-04-23T08:34:39"/>
    <n v="23"/>
    <n v="5"/>
    <n v="8"/>
  </r>
  <r>
    <n v="315"/>
    <s v="Pennsylvania"/>
    <s v="15853"/>
    <d v="2015-01-21T12:57:02"/>
    <d v="2015-01-26T10:08:29"/>
    <n v="4"/>
    <n v="0"/>
    <n v="8"/>
    <n v="4"/>
    <n v="1"/>
    <x v="2"/>
    <x v="2"/>
    <d v="2015-01-21T12:57:03"/>
    <n v="21"/>
    <n v="4"/>
    <n v="12"/>
  </r>
  <r>
    <n v="316"/>
    <s v="Texas"/>
    <s v="78411"/>
    <d v="2015-06-27T21:47:57"/>
    <d v="2015-06-27T21:48:01"/>
    <n v="1"/>
    <n v="4"/>
    <n v="2"/>
    <n v="2"/>
    <n v="1"/>
    <x v="0"/>
    <x v="2"/>
    <d v="2015-06-27T21:47:57"/>
    <n v="27"/>
    <n v="7"/>
    <n v="21"/>
  </r>
  <r>
    <n v="317"/>
    <s v="Maryland"/>
    <s v="20774"/>
    <d v="2015-03-04T21:10:42"/>
    <d v="2015-03-04T21:10:47"/>
    <n v="1"/>
    <n v="0"/>
    <n v="4"/>
    <n v="1"/>
    <n v="1"/>
    <x v="2"/>
    <x v="14"/>
    <d v="2015-03-04T21:10:43"/>
    <n v="4"/>
    <n v="4"/>
    <n v="21"/>
  </r>
  <r>
    <n v="318"/>
    <s v="Kansas"/>
    <s v="66611"/>
    <d v="2015-07-18T22:20:59"/>
    <d v="2015-07-18T18:21:02"/>
    <n v="1"/>
    <n v="2"/>
    <n v="4"/>
    <n v="2"/>
    <n v="1"/>
    <x v="0"/>
    <x v="6"/>
    <d v="2015-07-18T18:21:00"/>
    <n v="18"/>
    <n v="7"/>
    <n v="18"/>
  </r>
  <r>
    <n v="319"/>
    <s v="Tennessee"/>
    <s v="37129"/>
    <d v="2015-04-16T20:34:21"/>
    <d v="2015-04-16T20:34:24"/>
    <n v="1"/>
    <n v="0"/>
    <n v="2"/>
    <n v="1"/>
    <n v="1"/>
    <x v="1"/>
    <x v="1"/>
    <d v="2015-04-16T20:34:21"/>
    <n v="16"/>
    <n v="5"/>
    <n v="20"/>
  </r>
  <r>
    <n v="320"/>
    <s v="New York"/>
    <s v="11747"/>
    <d v="2015-01-28T15:18:42"/>
    <d v="2015-01-28T15:19:21"/>
    <n v="1"/>
    <n v="4"/>
    <n v="2"/>
    <n v="3"/>
    <n v="1"/>
    <x v="0"/>
    <x v="21"/>
    <d v="2015-01-28T15:19:17"/>
    <n v="28"/>
    <n v="4"/>
    <n v="15"/>
  </r>
  <r>
    <n v="321"/>
    <s v="Florida"/>
    <s v="32459"/>
    <d v="2015-06-30T23:33:52"/>
    <d v="2015-06-30T23:33:56"/>
    <n v="1"/>
    <n v="4"/>
    <n v="4"/>
    <n v="4"/>
    <n v="1"/>
    <x v="3"/>
    <x v="18"/>
    <d v="2015-06-30T23:33:53"/>
    <n v="30"/>
    <n v="3"/>
    <n v="23"/>
  </r>
  <r>
    <n v="322"/>
    <s v="New York"/>
    <s v="11554"/>
    <d v="2015-08-19T21:23:22"/>
    <d v="2015-08-26T08:13:58"/>
    <n v="3"/>
    <n v="3"/>
    <n v="3"/>
    <n v="5"/>
    <n v="1"/>
    <x v="0"/>
    <x v="71"/>
    <d v="2015-08-26T08:17:14"/>
    <n v="26"/>
    <n v="4"/>
    <n v="8"/>
  </r>
  <r>
    <n v="323"/>
    <s v="Kentucky"/>
    <s v="40444"/>
    <d v="2015-07-20T14:45:37"/>
    <d v="2015-07-20T10:45:41"/>
    <n v="1"/>
    <n v="6"/>
    <n v="2"/>
    <n v="2"/>
    <n v="1"/>
    <x v="0"/>
    <x v="6"/>
    <d v="2015-07-20T10:45:39"/>
    <n v="20"/>
    <n v="2"/>
    <n v="10"/>
  </r>
  <r>
    <n v="324"/>
    <s v="Alabama"/>
    <s v="35601"/>
    <d v="2015-06-03T07:11:26"/>
    <d v="2015-06-03T07:11:29"/>
    <n v="1"/>
    <n v="0"/>
    <n v="4"/>
    <n v="2"/>
    <n v="1"/>
    <x v="3"/>
    <x v="5"/>
    <d v="2015-06-03T07:11:27"/>
    <n v="3"/>
    <n v="4"/>
    <n v="7"/>
  </r>
  <r>
    <n v="325"/>
    <s v="New Jersey"/>
    <s v="07030"/>
    <d v="2015-02-14T11:06:54"/>
    <d v="2015-02-17T12:55:31"/>
    <n v="5"/>
    <n v="0"/>
    <n v="6"/>
    <n v="3"/>
    <n v="1"/>
    <x v="3"/>
    <x v="4"/>
    <d v="2015-02-14T11:06:55"/>
    <n v="14"/>
    <n v="7"/>
    <n v="11"/>
  </r>
  <r>
    <n v="326"/>
    <s v="Virginia"/>
    <s v="22206"/>
    <d v="2015-05-19T11:13:32"/>
    <d v="2015-05-19T11:13:35"/>
    <n v="1"/>
    <n v="6"/>
    <n v="7"/>
    <n v="2"/>
    <n v="1"/>
    <x v="0"/>
    <x v="2"/>
    <d v="2015-05-19T11:13:33"/>
    <n v="19"/>
    <n v="3"/>
    <n v="11"/>
  </r>
  <r>
    <n v="327"/>
    <s v="Virginia"/>
    <s v="23805"/>
    <d v="2015-03-03T14:36:54"/>
    <d v="2015-03-03T14:36:59"/>
    <n v="1"/>
    <n v="0"/>
    <n v="2"/>
    <n v="1"/>
    <n v="1"/>
    <x v="0"/>
    <x v="14"/>
    <d v="2015-03-03T14:36:55"/>
    <n v="3"/>
    <n v="3"/>
    <n v="14"/>
  </r>
  <r>
    <n v="328"/>
    <s v="Texas"/>
    <s v="79423"/>
    <d v="2015-03-24T20:10:26"/>
    <d v="2015-03-24T22:11:57"/>
    <n v="3"/>
    <n v="0"/>
    <n v="10"/>
    <n v="1"/>
    <n v="1"/>
    <x v="2"/>
    <x v="2"/>
    <d v="2015-03-24T20:10:27"/>
    <n v="24"/>
    <n v="3"/>
    <n v="20"/>
  </r>
  <r>
    <n v="329"/>
    <s v="New York"/>
    <s v="11210"/>
    <d v="2015-05-25T23:12:26"/>
    <d v="2015-05-25T19:12:28"/>
    <n v="1"/>
    <n v="4"/>
    <n v="2"/>
    <n v="2"/>
    <n v="1"/>
    <x v="0"/>
    <x v="2"/>
    <d v="2015-05-25T19:14:16"/>
    <n v="25"/>
    <n v="2"/>
    <n v="19"/>
  </r>
  <r>
    <n v="330"/>
    <s v="Florida"/>
    <s v="32835"/>
    <d v="2015-07-20T12:19:18"/>
    <d v="2015-07-20T08:19:23"/>
    <n v="1"/>
    <n v="14"/>
    <n v="10"/>
    <n v="2"/>
    <n v="1"/>
    <x v="2"/>
    <x v="22"/>
    <d v="2015-07-20T08:19:20"/>
    <n v="20"/>
    <n v="2"/>
    <n v="8"/>
  </r>
  <r>
    <n v="331"/>
    <s v="California"/>
    <s v="94028"/>
    <d v="2015-08-30T14:43:34"/>
    <d v="2015-08-30T14:43:38"/>
    <n v="1"/>
    <n v="2"/>
    <n v="2"/>
    <n v="2"/>
    <n v="1"/>
    <x v="0"/>
    <x v="0"/>
    <d v="2015-08-30T14:43:34"/>
    <n v="30"/>
    <n v="1"/>
    <n v="14"/>
  </r>
  <r>
    <n v="332"/>
    <s v="New Jersey"/>
    <s v="07642"/>
    <d v="2015-04-28T23:33:21"/>
    <d v="2015-04-28T23:33:26"/>
    <n v="1"/>
    <n v="0"/>
    <n v="4"/>
    <n v="1"/>
    <n v="1"/>
    <x v="2"/>
    <x v="14"/>
    <d v="2015-04-28T23:33:21"/>
    <n v="28"/>
    <n v="3"/>
    <n v="23"/>
  </r>
  <r>
    <n v="333"/>
    <s v="District of Columbia"/>
    <s v="20010"/>
    <d v="2015-06-03T20:53:51"/>
    <d v="2015-06-03T20:53:55"/>
    <n v="1"/>
    <n v="6"/>
    <n v="4"/>
    <n v="2"/>
    <n v="1"/>
    <x v="3"/>
    <x v="21"/>
    <d v="2015-06-03T20:53:52"/>
    <n v="3"/>
    <n v="4"/>
    <n v="20"/>
  </r>
  <r>
    <n v="334"/>
    <m/>
    <m/>
    <d v="2015-02-19T16:12:06"/>
    <d v="2015-02-19T16:12:11"/>
    <n v="1"/>
    <n v="0"/>
    <n v="6"/>
    <n v="2"/>
    <n v="1"/>
    <x v="1"/>
    <x v="5"/>
    <d v="2015-02-19T16:12:07"/>
    <n v="19"/>
    <n v="5"/>
    <n v="16"/>
  </r>
  <r>
    <n v="335"/>
    <m/>
    <m/>
    <d v="2015-02-26T12:32:17"/>
    <d v="2015-03-27T09:41:29"/>
    <n v="3"/>
    <n v="3"/>
    <n v="5"/>
    <n v="4"/>
    <n v="1"/>
    <x v="0"/>
    <x v="14"/>
    <d v="2015-03-27T09:43:52"/>
    <n v="27"/>
    <n v="6"/>
    <n v="9"/>
  </r>
  <r>
    <n v="336"/>
    <s v="New York"/>
    <s v="10022"/>
    <d v="2015-05-19T20:42:51"/>
    <d v="2015-05-19T16:42:53"/>
    <n v="1"/>
    <n v="6"/>
    <n v="6"/>
    <n v="2"/>
    <n v="1"/>
    <x v="11"/>
    <x v="20"/>
    <d v="2015-05-19T16:53:05"/>
    <n v="19"/>
    <n v="3"/>
    <n v="16"/>
  </r>
  <r>
    <n v="337"/>
    <s v="California"/>
    <s v="92866"/>
    <d v="2015-02-08T17:33:27"/>
    <d v="2015-02-08T17:33:31"/>
    <n v="1"/>
    <n v="0"/>
    <n v="4"/>
    <n v="3"/>
    <n v="1"/>
    <x v="3"/>
    <x v="4"/>
    <d v="2015-02-08T17:33:28"/>
    <n v="8"/>
    <n v="1"/>
    <n v="17"/>
  </r>
  <r>
    <n v="338"/>
    <s v="California"/>
    <s v="90013"/>
    <d v="2015-05-30T03:55:18"/>
    <d v="2015-05-30T03:55:22"/>
    <n v="1"/>
    <n v="2"/>
    <n v="2"/>
    <n v="2"/>
    <n v="1"/>
    <x v="0"/>
    <x v="2"/>
    <d v="2015-05-30T03:55:19"/>
    <n v="30"/>
    <n v="7"/>
    <n v="3"/>
  </r>
  <r>
    <n v="339"/>
    <m/>
    <m/>
    <d v="2015-03-08T16:59:55"/>
    <d v="2015-03-09T19:19:40"/>
    <n v="5"/>
    <n v="2"/>
    <n v="3"/>
    <n v="2"/>
    <n v="1"/>
    <x v="3"/>
    <x v="9"/>
    <d v="2015-03-08T17:05:16"/>
    <n v="8"/>
    <n v="1"/>
    <n v="17"/>
  </r>
  <r>
    <n v="340"/>
    <s v="California"/>
    <s v="93065"/>
    <d v="2015-01-16T14:49:10"/>
    <d v="2015-01-16T14:49:14"/>
    <n v="1"/>
    <n v="0"/>
    <n v="8"/>
    <n v="2"/>
    <n v="1"/>
    <x v="2"/>
    <x v="2"/>
    <d v="2015-01-16T14:49:11"/>
    <n v="16"/>
    <n v="6"/>
    <n v="14"/>
  </r>
  <r>
    <n v="341"/>
    <s v="North Carolina"/>
    <s v="27603"/>
    <d v="2015-03-17T10:24:03"/>
    <d v="2015-03-17T10:24:09"/>
    <n v="1"/>
    <n v="0"/>
    <n v="8"/>
    <n v="1"/>
    <n v="1"/>
    <x v="2"/>
    <x v="2"/>
    <d v="2015-03-17T10:24:04"/>
    <n v="17"/>
    <n v="3"/>
    <n v="10"/>
  </r>
  <r>
    <n v="342"/>
    <m/>
    <m/>
    <d v="2015-05-07T19:54:34"/>
    <d v="2015-05-07T19:25:54"/>
    <n v="2"/>
    <n v="2"/>
    <n v="2"/>
    <n v="5"/>
    <n v="1"/>
    <x v="0"/>
    <x v="21"/>
    <d v="2015-05-07T16:02:37"/>
    <n v="7"/>
    <n v="5"/>
    <n v="16"/>
  </r>
  <r>
    <n v="343"/>
    <s v="Virginia"/>
    <s v="20176"/>
    <d v="2015-01-16T09:18:39"/>
    <d v="2015-01-22T12:19:52"/>
    <n v="3"/>
    <n v="2"/>
    <n v="2"/>
    <n v="3"/>
    <n v="1"/>
    <x v="0"/>
    <x v="2"/>
    <d v="2015-01-16T09:18:40"/>
    <n v="16"/>
    <n v="6"/>
    <n v="9"/>
  </r>
  <r>
    <n v="344"/>
    <s v="Texas"/>
    <s v="77059"/>
    <d v="2015-09-19T11:12:59"/>
    <d v="2015-09-21T13:06:24"/>
    <n v="2"/>
    <n v="2"/>
    <n v="2"/>
    <n v="3"/>
    <n v="1"/>
    <x v="0"/>
    <x v="6"/>
    <d v="2015-09-19T11:12:59"/>
    <n v="19"/>
    <n v="7"/>
    <n v="11"/>
  </r>
  <r>
    <n v="345"/>
    <s v="New York"/>
    <s v="10567"/>
    <d v="2015-07-06T22:40:32"/>
    <d v="2015-07-06T18:40:34"/>
    <n v="1"/>
    <n v="4"/>
    <n v="10"/>
    <n v="6"/>
    <n v="1"/>
    <x v="1"/>
    <x v="20"/>
    <d v="2015-07-06T19:18:54"/>
    <n v="6"/>
    <n v="2"/>
    <n v="19"/>
  </r>
  <r>
    <n v="346"/>
    <s v="Illinois"/>
    <s v="60074"/>
    <d v="2015-05-21T17:06:10"/>
    <d v="2015-05-21T17:06:14"/>
    <n v="1"/>
    <n v="6"/>
    <n v="8"/>
    <n v="2"/>
    <n v="1"/>
    <x v="2"/>
    <x v="65"/>
    <d v="2015-05-21T17:06:11"/>
    <n v="21"/>
    <n v="5"/>
    <n v="17"/>
  </r>
  <r>
    <n v="347"/>
    <s v="Oregon"/>
    <s v="97006"/>
    <d v="2015-06-15T08:01:45"/>
    <d v="2015-06-15T08:01:48"/>
    <n v="1"/>
    <n v="4"/>
    <n v="2"/>
    <n v="2"/>
    <n v="1"/>
    <x v="0"/>
    <x v="70"/>
    <d v="2015-06-15T08:01:45"/>
    <n v="15"/>
    <n v="2"/>
    <n v="8"/>
  </r>
  <r>
    <n v="348"/>
    <s v="Connecticut"/>
    <s v="06880"/>
    <d v="2015-02-13T09:41:45"/>
    <d v="2015-02-13T09:41:49"/>
    <n v="1"/>
    <n v="0"/>
    <n v="4"/>
    <n v="10"/>
    <n v="1"/>
    <x v="3"/>
    <x v="4"/>
    <d v="2015-02-13T09:41:46"/>
    <n v="13"/>
    <n v="6"/>
    <n v="9"/>
  </r>
  <r>
    <n v="349"/>
    <s v="Vermont"/>
    <s v="5486"/>
    <d v="2015-09-03T18:09:48"/>
    <d v="2015-09-03T14:09:53"/>
    <n v="1"/>
    <n v="3"/>
    <n v="4"/>
    <n v="2"/>
    <n v="1"/>
    <x v="2"/>
    <x v="72"/>
    <d v="2015-09-03T14:09:49"/>
    <n v="3"/>
    <n v="5"/>
    <n v="14"/>
  </r>
  <r>
    <n v="350"/>
    <s v="Missouri"/>
    <s v="63368"/>
    <d v="2015-02-24T19:11:13"/>
    <d v="2015-02-24T19:11:18"/>
    <n v="1"/>
    <n v="0"/>
    <n v="8"/>
    <n v="1"/>
    <n v="1"/>
    <x v="2"/>
    <x v="2"/>
    <d v="2015-02-24T19:11:14"/>
    <n v="24"/>
    <n v="3"/>
    <n v="19"/>
  </r>
  <r>
    <n v="351"/>
    <m/>
    <m/>
    <d v="2015-01-04T15:58:52"/>
    <d v="2015-01-04T15:58:55"/>
    <n v="1"/>
    <n v="0"/>
    <n v="6"/>
    <n v="7"/>
    <n v="1"/>
    <x v="3"/>
    <x v="4"/>
    <d v="2015-01-04T16:01:08"/>
    <n v="4"/>
    <n v="1"/>
    <n v="16"/>
  </r>
  <r>
    <n v="352"/>
    <s v="New York"/>
    <s v="11218"/>
    <d v="2015-03-03T15:56:04"/>
    <d v="2015-03-03T15:56:09"/>
    <n v="1"/>
    <n v="2"/>
    <n v="2"/>
    <n v="1"/>
    <n v="1"/>
    <x v="0"/>
    <x v="70"/>
    <d v="2015-03-03T15:56:05"/>
    <n v="3"/>
    <n v="3"/>
    <n v="15"/>
  </r>
  <r>
    <n v="353"/>
    <s v="Maryland"/>
    <s v="21702"/>
    <d v="2015-07-08T00:48:33"/>
    <d v="2015-07-07T20:48:37"/>
    <n v="1"/>
    <n v="2"/>
    <n v="4"/>
    <n v="4"/>
    <n v="1"/>
    <x v="0"/>
    <x v="14"/>
    <d v="2015-07-07T20:48:34"/>
    <n v="7"/>
    <n v="3"/>
    <n v="20"/>
  </r>
  <r>
    <n v="354"/>
    <s v="Arizona"/>
    <s v="85392"/>
    <d v="2015-07-16T16:14:34"/>
    <d v="2015-07-16T16:14:39"/>
    <n v="1"/>
    <n v="4"/>
    <n v="4"/>
    <n v="2"/>
    <n v="1"/>
    <x v="3"/>
    <x v="73"/>
    <d v="2015-07-16T16:14:35"/>
    <n v="16"/>
    <n v="5"/>
    <n v="16"/>
  </r>
  <r>
    <n v="355"/>
    <s v="Arizona"/>
    <s v="85615"/>
    <d v="2015-05-19T17:50:41"/>
    <d v="2015-05-19T17:50:44"/>
    <n v="1"/>
    <n v="0"/>
    <n v="2"/>
    <n v="2"/>
    <n v="1"/>
    <x v="0"/>
    <x v="1"/>
    <d v="2015-05-19T17:50:41"/>
    <n v="19"/>
    <n v="3"/>
    <n v="17"/>
  </r>
  <r>
    <n v="356"/>
    <s v="Illinois"/>
    <s v="62704"/>
    <d v="2015-08-16T15:54:26"/>
    <d v="2015-08-16T11:54:31"/>
    <n v="1"/>
    <n v="0"/>
    <n v="2"/>
    <n v="2"/>
    <n v="1"/>
    <x v="0"/>
    <x v="6"/>
    <d v="2015-08-16T11:54:27"/>
    <n v="16"/>
    <n v="1"/>
    <n v="11"/>
  </r>
  <r>
    <n v="357"/>
    <s v="Tennessee"/>
    <s v="37221"/>
    <d v="2015-07-09T17:42:12"/>
    <d v="2015-07-09T17:42:24"/>
    <n v="1"/>
    <n v="2"/>
    <n v="8"/>
    <n v="4"/>
    <n v="1"/>
    <x v="2"/>
    <x v="2"/>
    <d v="2015-07-09T17:42:12"/>
    <n v="9"/>
    <n v="5"/>
    <n v="17"/>
  </r>
  <r>
    <n v="358"/>
    <s v="Illinois"/>
    <s v="60657"/>
    <d v="2015-02-02T10:21:08"/>
    <d v="2015-02-02T10:21:13"/>
    <n v="1"/>
    <n v="0"/>
    <n v="2"/>
    <n v="2"/>
    <n v="1"/>
    <x v="3"/>
    <x v="5"/>
    <d v="2015-02-02T10:44:50"/>
    <n v="2"/>
    <n v="2"/>
    <n v="10"/>
  </r>
  <r>
    <n v="359"/>
    <s v="Michigan"/>
    <s v="48195"/>
    <d v="2015-08-30T22:42:52"/>
    <d v="2015-09-04T13:23:50"/>
    <n v="6"/>
    <n v="5"/>
    <n v="2"/>
    <n v="3"/>
    <n v="1"/>
    <x v="0"/>
    <x v="6"/>
    <d v="2015-08-30T18:42:53"/>
    <n v="30"/>
    <n v="1"/>
    <n v="18"/>
  </r>
  <r>
    <n v="360"/>
    <s v="Utah"/>
    <s v="84040"/>
    <d v="2015-08-10T00:46:38"/>
    <d v="2015-08-10T00:46:41"/>
    <n v="1"/>
    <n v="2"/>
    <n v="2"/>
    <n v="3"/>
    <n v="1"/>
    <x v="0"/>
    <x v="6"/>
    <d v="2015-08-10T00:46:38"/>
    <n v="10"/>
    <n v="2"/>
    <n v="0"/>
  </r>
  <r>
    <n v="362"/>
    <s v="Alabama"/>
    <s v="35801"/>
    <d v="2015-01-17T14:47:21"/>
    <d v="2015-01-17T14:47:24"/>
    <n v="1"/>
    <n v="2"/>
    <n v="4"/>
    <n v="2"/>
    <n v="1"/>
    <x v="3"/>
    <x v="14"/>
    <d v="2015-01-17T14:47:22"/>
    <n v="17"/>
    <n v="7"/>
    <n v="14"/>
  </r>
  <r>
    <n v="363"/>
    <s v="North Carolina"/>
    <s v="27127"/>
    <d v="2015-04-07T11:05:16"/>
    <d v="2015-04-07T11:05:22"/>
    <n v="1"/>
    <n v="2"/>
    <n v="8"/>
    <n v="1"/>
    <n v="1"/>
    <x v="2"/>
    <x v="2"/>
    <d v="2015-04-07T11:05:17"/>
    <n v="7"/>
    <n v="3"/>
    <n v="11"/>
  </r>
  <r>
    <n v="364"/>
    <s v="New Jersey"/>
    <s v="07078"/>
    <d v="2015-06-18T00:32:13"/>
    <d v="2015-06-18T12:41:17"/>
    <n v="2"/>
    <n v="6"/>
    <n v="24"/>
    <n v="6"/>
    <n v="1"/>
    <x v="11"/>
    <x v="34"/>
    <d v="2015-06-17T20:35:38"/>
    <n v="17"/>
    <n v="4"/>
    <n v="20"/>
  </r>
  <r>
    <n v="365"/>
    <s v="California"/>
    <s v="92123"/>
    <d v="2015-03-29T02:41:41"/>
    <d v="2015-03-29T02:41:53"/>
    <n v="1"/>
    <n v="2"/>
    <n v="4"/>
    <n v="1"/>
    <n v="1"/>
    <x v="3"/>
    <x v="13"/>
    <d v="2015-03-29T02:41:42"/>
    <n v="29"/>
    <n v="1"/>
    <n v="2"/>
  </r>
  <r>
    <n v="366"/>
    <s v="Georgia"/>
    <s v="30292"/>
    <d v="2015-03-10T17:26:31"/>
    <d v="2015-07-07T16:29:08"/>
    <n v="6"/>
    <n v="5"/>
    <n v="16"/>
    <n v="5"/>
    <n v="1"/>
    <x v="5"/>
    <x v="74"/>
    <d v="2015-07-07T16:34:06"/>
    <n v="7"/>
    <n v="3"/>
    <n v="16"/>
  </r>
  <r>
    <n v="367"/>
    <s v="New York"/>
    <s v="10010"/>
    <d v="2015-03-02T13:46:53"/>
    <d v="2015-03-02T13:47:05"/>
    <n v="1"/>
    <n v="0"/>
    <n v="4"/>
    <n v="1"/>
    <n v="1"/>
    <x v="3"/>
    <x v="5"/>
    <d v="2015-03-02T13:47:01"/>
    <n v="2"/>
    <n v="2"/>
    <n v="13"/>
  </r>
  <r>
    <n v="368"/>
    <m/>
    <m/>
    <d v="2015-08-22T01:26:38"/>
    <d v="2015-08-21T21:26:39"/>
    <n v="1"/>
    <n v="1"/>
    <n v="2"/>
    <n v="1"/>
    <n v="1"/>
    <x v="3"/>
    <x v="36"/>
    <d v="2015-08-21T21:32:08"/>
    <n v="21"/>
    <n v="6"/>
    <n v="21"/>
  </r>
  <r>
    <n v="369"/>
    <s v="Iowa"/>
    <s v="51038"/>
    <d v="2015-08-27T15:48:06"/>
    <d v="2015-08-27T15:48:07"/>
    <n v="1"/>
    <n v="6"/>
    <n v="4"/>
    <n v="2"/>
    <n v="1"/>
    <x v="3"/>
    <x v="56"/>
    <d v="2015-08-27T15:50:57"/>
    <n v="27"/>
    <n v="5"/>
    <n v="15"/>
  </r>
  <r>
    <n v="370"/>
    <m/>
    <m/>
    <d v="2015-01-23T19:41:04"/>
    <d v="2015-01-23T19:41:22"/>
    <n v="1"/>
    <n v="0"/>
    <n v="4"/>
    <n v="5"/>
    <n v="1"/>
    <x v="3"/>
    <x v="4"/>
    <d v="2015-01-23T19:41:18"/>
    <n v="23"/>
    <n v="6"/>
    <n v="19"/>
  </r>
  <r>
    <n v="371"/>
    <s v="Illinois"/>
    <s v="60655"/>
    <d v="2015-02-13T21:25:48"/>
    <d v="2015-02-19T12:44:15"/>
    <n v="3"/>
    <n v="0"/>
    <n v="2"/>
    <n v="2"/>
    <n v="1"/>
    <x v="0"/>
    <x v="58"/>
    <d v="2015-02-13T21:25:49"/>
    <n v="13"/>
    <n v="6"/>
    <n v="21"/>
  </r>
  <r>
    <n v="372"/>
    <s v="Virginia"/>
    <s v="22311"/>
    <d v="2015-08-10T16:22:18"/>
    <d v="2015-08-10T16:22:21"/>
    <n v="1"/>
    <n v="8"/>
    <n v="2"/>
    <n v="6"/>
    <n v="1"/>
    <x v="0"/>
    <x v="6"/>
    <d v="2015-08-10T16:22:18"/>
    <n v="10"/>
    <n v="2"/>
    <n v="16"/>
  </r>
  <r>
    <n v="373"/>
    <s v="Oregon"/>
    <s v="97420"/>
    <d v="2015-09-10T23:23:21"/>
    <d v="2015-09-10T23:23:23"/>
    <n v="1"/>
    <n v="1"/>
    <n v="4"/>
    <n v="6"/>
    <n v="1"/>
    <x v="0"/>
    <x v="0"/>
    <d v="2015-09-10T23:23:21"/>
    <n v="10"/>
    <n v="5"/>
    <n v="23"/>
  </r>
  <r>
    <n v="374"/>
    <s v="North Carolina"/>
    <s v="27012"/>
    <d v="2015-06-29T13:20:23"/>
    <d v="2015-06-29T09:20:41"/>
    <n v="1"/>
    <n v="4"/>
    <n v="2"/>
    <n v="2"/>
    <n v="1"/>
    <x v="0"/>
    <x v="23"/>
    <d v="2015-06-29T09:20:25"/>
    <n v="29"/>
    <n v="2"/>
    <n v="9"/>
  </r>
  <r>
    <n v="375"/>
    <m/>
    <m/>
    <d v="2015-07-06T11:42:08"/>
    <d v="2015-07-06T07:42:09"/>
    <n v="1"/>
    <n v="2"/>
    <n v="10"/>
    <n v="11"/>
    <n v="1"/>
    <x v="3"/>
    <x v="5"/>
    <d v="2015-07-06T07:43:44"/>
    <n v="6"/>
    <n v="2"/>
    <n v="7"/>
  </r>
  <r>
    <n v="376"/>
    <s v="Massachusetts"/>
    <s v="01267"/>
    <d v="2015-07-16T11:21:01"/>
    <d v="2015-07-16T11:21:04"/>
    <n v="1"/>
    <n v="4"/>
    <n v="4"/>
    <n v="2"/>
    <n v="1"/>
    <x v="3"/>
    <x v="75"/>
    <d v="2015-07-16T11:21:01"/>
    <n v="16"/>
    <n v="5"/>
    <n v="11"/>
  </r>
  <r>
    <n v="377"/>
    <s v="Massachusetts"/>
    <s v="02653"/>
    <d v="2015-01-29T21:50:08"/>
    <d v="2015-01-29T21:50:14"/>
    <n v="1"/>
    <n v="2"/>
    <n v="12"/>
    <n v="1"/>
    <n v="1"/>
    <x v="11"/>
    <x v="76"/>
    <d v="2015-01-29T21:50:10"/>
    <n v="29"/>
    <n v="5"/>
    <n v="21"/>
  </r>
  <r>
    <n v="378"/>
    <s v="North Carolina"/>
    <s v="28411"/>
    <d v="2015-07-07T08:27:45"/>
    <d v="2015-07-07T08:27:48"/>
    <n v="1"/>
    <n v="0"/>
    <n v="2"/>
    <n v="2"/>
    <n v="1"/>
    <x v="2"/>
    <x v="2"/>
    <d v="2015-07-07T08:27:45"/>
    <n v="7"/>
    <n v="3"/>
    <n v="8"/>
  </r>
  <r>
    <n v="379"/>
    <s v="South Carolina"/>
    <s v="29715"/>
    <d v="2015-04-23T10:15:49"/>
    <d v="2015-04-24T09:16:21"/>
    <n v="2"/>
    <n v="1"/>
    <n v="6"/>
    <n v="1"/>
    <n v="1"/>
    <x v="1"/>
    <x v="1"/>
    <d v="2015-04-23T10:15:50"/>
    <n v="23"/>
    <n v="5"/>
    <n v="10"/>
  </r>
  <r>
    <n v="380"/>
    <s v="New Hampshire"/>
    <s v="03755"/>
    <d v="2015-07-09T12:14:58"/>
    <d v="2015-07-09T08:15:04"/>
    <n v="1"/>
    <n v="4"/>
    <n v="6"/>
    <n v="2"/>
    <n v="1"/>
    <x v="1"/>
    <x v="77"/>
    <d v="2015-07-09T08:14:59"/>
    <n v="9"/>
    <n v="5"/>
    <n v="8"/>
  </r>
  <r>
    <n v="381"/>
    <s v="Pennsylvania"/>
    <s v="18433"/>
    <d v="2015-06-04T13:21:58"/>
    <d v="2015-06-04T13:22:02"/>
    <n v="1"/>
    <n v="4"/>
    <n v="10"/>
    <n v="2"/>
    <n v="1"/>
    <x v="6"/>
    <x v="14"/>
    <d v="2015-06-04T13:21:58"/>
    <n v="4"/>
    <n v="5"/>
    <n v="13"/>
  </r>
  <r>
    <n v="382"/>
    <m/>
    <m/>
    <d v="2015-02-28T21:08:22"/>
    <d v="2015-02-28T21:08:27"/>
    <n v="1"/>
    <n v="2"/>
    <n v="4"/>
    <n v="4"/>
    <n v="1"/>
    <x v="3"/>
    <x v="5"/>
    <d v="2015-02-28T21:13:24"/>
    <n v="28"/>
    <n v="7"/>
    <n v="21"/>
  </r>
  <r>
    <n v="383"/>
    <s v="Minnesota"/>
    <s v="55419"/>
    <d v="2015-06-29T14:25:53"/>
    <d v="2015-06-30T08:00:08"/>
    <n v="3"/>
    <n v="0"/>
    <n v="2"/>
    <n v="3"/>
    <n v="1"/>
    <x v="0"/>
    <x v="2"/>
    <d v="2015-06-29T14:25:53"/>
    <n v="29"/>
    <n v="2"/>
    <n v="14"/>
  </r>
  <r>
    <n v="384"/>
    <s v="Massachusetts"/>
    <s v="01440"/>
    <d v="2015-07-12T10:52:39"/>
    <d v="2015-07-12T10:53:10"/>
    <n v="1"/>
    <n v="2"/>
    <n v="8"/>
    <n v="2"/>
    <n v="1"/>
    <x v="2"/>
    <x v="2"/>
    <d v="2015-07-12T10:52:39"/>
    <n v="12"/>
    <n v="1"/>
    <n v="10"/>
  </r>
  <r>
    <n v="385"/>
    <s v="Washington"/>
    <s v="98516"/>
    <d v="2015-02-12T16:22:54"/>
    <d v="2015-02-12T16:22:57"/>
    <n v="1"/>
    <n v="2"/>
    <n v="2"/>
    <n v="1"/>
    <n v="1"/>
    <x v="0"/>
    <x v="2"/>
    <d v="2015-02-12T16:22:55"/>
    <n v="12"/>
    <n v="5"/>
    <n v="16"/>
  </r>
  <r>
    <n v="386"/>
    <s v="Ohio"/>
    <s v="43606"/>
    <d v="2015-01-21T08:14:33"/>
    <d v="2015-02-11T08:18:35"/>
    <n v="3"/>
    <n v="0"/>
    <n v="4"/>
    <n v="3"/>
    <n v="1"/>
    <x v="2"/>
    <x v="2"/>
    <d v="2015-01-21T08:14:34"/>
    <n v="21"/>
    <n v="4"/>
    <n v="8"/>
  </r>
  <r>
    <n v="387"/>
    <s v="New York"/>
    <s v="14209"/>
    <d v="2015-07-01T13:06:28"/>
    <d v="2015-07-01T13:06:32"/>
    <n v="1"/>
    <n v="2"/>
    <n v="4"/>
    <n v="2"/>
    <n v="1"/>
    <x v="3"/>
    <x v="21"/>
    <d v="2015-07-01T13:06:28"/>
    <n v="1"/>
    <n v="4"/>
    <n v="13"/>
  </r>
  <r>
    <n v="388"/>
    <s v="Georgia"/>
    <s v="30813"/>
    <d v="2015-03-22T18:36:03"/>
    <d v="2015-03-22T18:36:09"/>
    <n v="1"/>
    <n v="0"/>
    <n v="6"/>
    <n v="1"/>
    <n v="1"/>
    <x v="5"/>
    <x v="10"/>
    <d v="2015-03-22T18:36:04"/>
    <n v="22"/>
    <n v="1"/>
    <n v="18"/>
  </r>
  <r>
    <n v="389"/>
    <s v="Florida"/>
    <s v="32164"/>
    <d v="2015-01-23T07:23:13"/>
    <d v="2015-01-23T07:23:18"/>
    <n v="1"/>
    <n v="10"/>
    <n v="6"/>
    <n v="2"/>
    <n v="1"/>
    <x v="3"/>
    <x v="4"/>
    <d v="2015-01-23T07:23:15"/>
    <n v="23"/>
    <n v="6"/>
    <n v="7"/>
  </r>
  <r>
    <n v="390"/>
    <s v="California"/>
    <s v="94544"/>
    <d v="2015-05-22T10:38:17"/>
    <d v="2015-05-22T10:38:20"/>
    <n v="1"/>
    <n v="2"/>
    <n v="2"/>
    <n v="2"/>
    <n v="1"/>
    <x v="0"/>
    <x v="2"/>
    <d v="2015-05-22T10:38:18"/>
    <n v="22"/>
    <n v="6"/>
    <n v="10"/>
  </r>
  <r>
    <n v="391"/>
    <s v="California"/>
    <s v="94122"/>
    <d v="2015-03-10T21:17:07"/>
    <d v="2015-03-11T00:57:03"/>
    <n v="2"/>
    <n v="2"/>
    <n v="8"/>
    <n v="1"/>
    <n v="1"/>
    <x v="2"/>
    <x v="2"/>
    <d v="2015-03-10T21:17:09"/>
    <n v="10"/>
    <n v="3"/>
    <n v="21"/>
  </r>
  <r>
    <n v="392"/>
    <s v="Florida"/>
    <s v="32792"/>
    <d v="2015-02-20T18:04:43"/>
    <d v="2015-02-20T18:04:48"/>
    <n v="1"/>
    <n v="0"/>
    <n v="6"/>
    <n v="1"/>
    <n v="1"/>
    <x v="1"/>
    <x v="5"/>
    <d v="2015-02-20T18:04:44"/>
    <n v="20"/>
    <n v="6"/>
    <n v="18"/>
  </r>
  <r>
    <n v="393"/>
    <m/>
    <m/>
    <d v="2015-01-22T12:27:07"/>
    <d v="2015-01-22T12:27:13"/>
    <n v="1"/>
    <n v="0"/>
    <n v="6"/>
    <n v="12"/>
    <n v="1"/>
    <x v="3"/>
    <x v="4"/>
    <d v="2015-01-22T12:29:33"/>
    <n v="22"/>
    <n v="5"/>
    <n v="12"/>
  </r>
  <r>
    <n v="394"/>
    <s v="Missouri"/>
    <s v="63127"/>
    <d v="2015-02-25T18:33:20"/>
    <d v="2015-02-25T18:33:26"/>
    <n v="1"/>
    <n v="0"/>
    <n v="2"/>
    <n v="1"/>
    <n v="1"/>
    <x v="2"/>
    <x v="2"/>
    <d v="2015-02-25T18:33:21"/>
    <n v="25"/>
    <n v="4"/>
    <n v="18"/>
  </r>
  <r>
    <n v="395"/>
    <s v="Michigan"/>
    <s v="48045"/>
    <d v="2015-08-12T22:49:41"/>
    <d v="2015-08-12T18:49:45"/>
    <n v="1"/>
    <n v="8"/>
    <n v="6"/>
    <n v="4"/>
    <n v="1"/>
    <x v="1"/>
    <x v="78"/>
    <d v="2015-08-12T18:49:41"/>
    <n v="12"/>
    <n v="4"/>
    <n v="18"/>
  </r>
  <r>
    <n v="397"/>
    <s v="Idaho"/>
    <s v="83702"/>
    <d v="2015-02-02T23:56:04"/>
    <d v="2015-02-02T23:56:10"/>
    <n v="1"/>
    <n v="0"/>
    <n v="4"/>
    <n v="1"/>
    <n v="1"/>
    <x v="3"/>
    <x v="4"/>
    <d v="2015-02-02T23:56:06"/>
    <n v="2"/>
    <n v="2"/>
    <n v="23"/>
  </r>
  <r>
    <n v="398"/>
    <s v="Nevada"/>
    <s v="89121"/>
    <d v="2015-06-09T06:05:56"/>
    <d v="2015-06-09T02:06:01"/>
    <n v="1"/>
    <n v="2"/>
    <n v="2"/>
    <n v="2"/>
    <n v="1"/>
    <x v="2"/>
    <x v="2"/>
    <d v="2015-06-09T02:05:58"/>
    <n v="9"/>
    <n v="3"/>
    <n v="2"/>
  </r>
  <r>
    <n v="399"/>
    <m/>
    <m/>
    <d v="2015-08-06T17:28:16"/>
    <d v="2015-08-20T22:56:44"/>
    <n v="2"/>
    <n v="4"/>
    <n v="4"/>
    <n v="4"/>
    <n v="1"/>
    <x v="0"/>
    <x v="3"/>
    <d v="2015-08-20T22:58:49"/>
    <n v="20"/>
    <n v="5"/>
    <n v="22"/>
  </r>
  <r>
    <n v="400"/>
    <m/>
    <m/>
    <d v="2015-02-15T02:48:02"/>
    <d v="2015-02-18T18:25:45"/>
    <n v="4"/>
    <n v="4"/>
    <n v="2"/>
    <n v="3"/>
    <n v="1"/>
    <x v="0"/>
    <x v="21"/>
    <d v="2015-02-15T02:48:03"/>
    <n v="15"/>
    <n v="1"/>
    <n v="2"/>
  </r>
  <r>
    <n v="401"/>
    <s v="Georgia"/>
    <s v="31047"/>
    <d v="2015-04-18T23:14:29"/>
    <d v="2015-04-18T23:14:35"/>
    <n v="1"/>
    <n v="0"/>
    <n v="10"/>
    <n v="2"/>
    <n v="1"/>
    <x v="5"/>
    <x v="44"/>
    <d v="2015-04-18T23:14:31"/>
    <n v="18"/>
    <n v="7"/>
    <n v="23"/>
  </r>
  <r>
    <n v="402"/>
    <s v="Maryland"/>
    <s v="21218"/>
    <d v="2015-03-16T09:05:56"/>
    <d v="2015-03-16T09:06:04"/>
    <n v="1"/>
    <n v="2"/>
    <n v="2"/>
    <n v="1"/>
    <n v="1"/>
    <x v="0"/>
    <x v="2"/>
    <d v="2015-03-16T09:05:57"/>
    <n v="16"/>
    <n v="2"/>
    <n v="9"/>
  </r>
  <r>
    <n v="403"/>
    <s v="Maryland"/>
    <s v="20882"/>
    <d v="2015-06-12T15:03:19"/>
    <d v="2015-06-12T15:03:24"/>
    <n v="1"/>
    <n v="10"/>
    <n v="16"/>
    <n v="2"/>
    <n v="1"/>
    <x v="4"/>
    <x v="23"/>
    <d v="2015-06-12T15:03:20"/>
    <n v="12"/>
    <n v="6"/>
    <n v="15"/>
  </r>
  <r>
    <n v="404"/>
    <s v="New York"/>
    <s v="11375"/>
    <d v="2015-03-17T01:04:09"/>
    <d v="2015-03-17T01:04:15"/>
    <n v="1"/>
    <n v="2"/>
    <n v="8"/>
    <n v="1"/>
    <n v="1"/>
    <x v="2"/>
    <x v="2"/>
    <d v="2015-03-17T01:04:10"/>
    <n v="17"/>
    <n v="3"/>
    <n v="1"/>
  </r>
  <r>
    <n v="405"/>
    <s v="Iowa"/>
    <s v="50325"/>
    <d v="2015-05-18T22:16:03"/>
    <d v="2015-05-18T22:16:06"/>
    <n v="1"/>
    <n v="0"/>
    <n v="6"/>
    <n v="2"/>
    <n v="1"/>
    <x v="1"/>
    <x v="8"/>
    <d v="2015-05-18T22:16:04"/>
    <n v="18"/>
    <n v="2"/>
    <n v="22"/>
  </r>
  <r>
    <n v="406"/>
    <s v="Arizona"/>
    <s v="85016"/>
    <d v="2015-05-18T11:53:54"/>
    <d v="2015-05-19T09:37:58"/>
    <n v="3"/>
    <n v="4"/>
    <n v="4"/>
    <n v="3"/>
    <n v="1"/>
    <x v="5"/>
    <x v="10"/>
    <d v="2015-05-18T11:53:56"/>
    <n v="18"/>
    <n v="2"/>
    <n v="11"/>
  </r>
  <r>
    <n v="407"/>
    <s v="Minnesota"/>
    <s v="55416"/>
    <d v="2015-01-29T12:56:30"/>
    <d v="2015-01-29T12:56:35"/>
    <n v="1"/>
    <n v="4"/>
    <n v="4"/>
    <n v="1"/>
    <n v="1"/>
    <x v="3"/>
    <x v="4"/>
    <d v="2015-01-29T12:56:31"/>
    <n v="29"/>
    <n v="5"/>
    <n v="12"/>
  </r>
  <r>
    <n v="408"/>
    <s v="California"/>
    <s v="94117"/>
    <d v="2015-06-17T02:49:23"/>
    <d v="2015-06-17T02:49:26"/>
    <n v="1"/>
    <n v="2"/>
    <n v="2"/>
    <n v="2"/>
    <n v="1"/>
    <x v="2"/>
    <x v="2"/>
    <d v="2015-06-17T02:49:24"/>
    <n v="17"/>
    <n v="4"/>
    <n v="2"/>
  </r>
  <r>
    <n v="409"/>
    <s v="Virginia"/>
    <s v="20136"/>
    <d v="2015-09-19T14:44:03"/>
    <d v="2015-09-19T10:44:07"/>
    <n v="1"/>
    <n v="4"/>
    <n v="4"/>
    <n v="2"/>
    <n v="1"/>
    <x v="3"/>
    <x v="67"/>
    <d v="2015-09-19T10:44:04"/>
    <n v="19"/>
    <n v="7"/>
    <n v="10"/>
  </r>
  <r>
    <n v="410"/>
    <s v="California"/>
    <s v="91107"/>
    <d v="2015-02-15T19:52:05"/>
    <d v="2015-02-15T19:52:11"/>
    <n v="1"/>
    <n v="2"/>
    <n v="4"/>
    <n v="1"/>
    <n v="1"/>
    <x v="3"/>
    <x v="21"/>
    <d v="2015-02-15T19:52:06"/>
    <n v="15"/>
    <n v="1"/>
    <n v="19"/>
  </r>
  <r>
    <n v="411"/>
    <s v="North Carolina"/>
    <s v="28305"/>
    <d v="2015-09-01T07:37:53"/>
    <d v="2015-09-01T14:59:18"/>
    <n v="5"/>
    <n v="9"/>
    <n v="8"/>
    <n v="10"/>
    <n v="1"/>
    <x v="1"/>
    <x v="79"/>
    <d v="2015-09-01T12:43:55"/>
    <n v="1"/>
    <n v="3"/>
    <n v="12"/>
  </r>
  <r>
    <n v="412"/>
    <m/>
    <m/>
    <d v="2015-08-24T16:03:22"/>
    <d v="2015-08-24T12:03:24"/>
    <n v="1"/>
    <n v="6"/>
    <n v="4"/>
    <n v="5"/>
    <n v="1"/>
    <x v="0"/>
    <x v="6"/>
    <d v="2015-08-24T12:05:32"/>
    <n v="24"/>
    <n v="2"/>
    <n v="12"/>
  </r>
  <r>
    <n v="413"/>
    <s v="California"/>
    <s v="94521"/>
    <d v="2015-08-17T21:30:54"/>
    <d v="2015-08-17T21:31:00"/>
    <n v="1"/>
    <n v="6"/>
    <n v="8"/>
    <n v="2"/>
    <n v="1"/>
    <x v="2"/>
    <x v="80"/>
    <d v="2015-08-17T21:30:55"/>
    <n v="17"/>
    <n v="2"/>
    <n v="21"/>
  </r>
  <r>
    <n v="414"/>
    <s v="Massachusetts"/>
    <s v="02019"/>
    <d v="2015-06-28T19:11:27"/>
    <d v="2015-06-28T21:25:29"/>
    <n v="3"/>
    <n v="6"/>
    <n v="4"/>
    <n v="2"/>
    <n v="1"/>
    <x v="3"/>
    <x v="81"/>
    <d v="2015-06-28T19:11:27"/>
    <n v="28"/>
    <n v="1"/>
    <n v="19"/>
  </r>
  <r>
    <n v="415"/>
    <m/>
    <m/>
    <d v="2015-01-16T19:13:32"/>
    <d v="2015-01-16T19:13:37"/>
    <n v="1"/>
    <n v="0"/>
    <n v="8"/>
    <n v="10"/>
    <n v="1"/>
    <x v="3"/>
    <x v="21"/>
    <d v="2015-01-16T19:16:51"/>
    <n v="16"/>
    <n v="6"/>
    <n v="19"/>
  </r>
  <r>
    <n v="416"/>
    <m/>
    <m/>
    <d v="2015-03-05T17:59:14"/>
    <d v="2015-03-05T17:59:19"/>
    <n v="1"/>
    <n v="0"/>
    <n v="4"/>
    <n v="7"/>
    <n v="1"/>
    <x v="3"/>
    <x v="13"/>
    <d v="2015-03-05T17:59:15"/>
    <n v="5"/>
    <n v="5"/>
    <n v="17"/>
  </r>
  <r>
    <n v="417"/>
    <s v="North Carolina"/>
    <s v="28374"/>
    <d v="2015-07-16T10:54:32"/>
    <d v="2015-07-16T10:54:36"/>
    <n v="1"/>
    <n v="0"/>
    <n v="2"/>
    <n v="2"/>
    <n v="1"/>
    <x v="0"/>
    <x v="82"/>
    <d v="2015-07-16T10:54:33"/>
    <n v="16"/>
    <n v="5"/>
    <n v="10"/>
  </r>
  <r>
    <n v="418"/>
    <s v="Georgia"/>
    <s v="30721"/>
    <d v="2015-02-24T01:32:15"/>
    <d v="2015-03-02T02:11:21"/>
    <n v="2"/>
    <n v="0"/>
    <n v="4"/>
    <n v="2"/>
    <n v="1"/>
    <x v="3"/>
    <x v="4"/>
    <d v="2015-02-24T01:32:16"/>
    <n v="24"/>
    <n v="3"/>
    <n v="1"/>
  </r>
  <r>
    <n v="419"/>
    <m/>
    <m/>
    <d v="2015-06-11T21:40:44"/>
    <d v="2015-06-11T17:40:48"/>
    <n v="1"/>
    <n v="0"/>
    <n v="4"/>
    <n v="4"/>
    <n v="1"/>
    <x v="3"/>
    <x v="83"/>
    <d v="2015-06-11T17:41:52"/>
    <n v="11"/>
    <n v="5"/>
    <n v="17"/>
  </r>
  <r>
    <n v="420"/>
    <s v="Georgia"/>
    <s v="30224"/>
    <d v="2015-08-21T11:22:52"/>
    <d v="2015-08-21T11:22:56"/>
    <n v="1"/>
    <n v="6"/>
    <n v="6"/>
    <n v="4"/>
    <n v="1"/>
    <x v="3"/>
    <x v="84"/>
    <d v="2015-08-21T11:22:52"/>
    <n v="21"/>
    <n v="6"/>
    <n v="11"/>
  </r>
  <r>
    <n v="421"/>
    <s v="Ohio"/>
    <s v="43228"/>
    <d v="2015-06-06T16:14:38"/>
    <d v="2015-06-06T12:14:44"/>
    <n v="1"/>
    <n v="4"/>
    <n v="6"/>
    <n v="2"/>
    <n v="1"/>
    <x v="1"/>
    <x v="11"/>
    <d v="2015-06-06T12:14:41"/>
    <n v="6"/>
    <n v="7"/>
    <n v="12"/>
  </r>
  <r>
    <n v="422"/>
    <s v="Ohio"/>
    <s v="43952"/>
    <d v="2015-07-13T10:24:43"/>
    <d v="2015-07-13T12:39:04"/>
    <n v="6"/>
    <n v="0"/>
    <n v="2"/>
    <n v="2"/>
    <n v="1"/>
    <x v="0"/>
    <x v="14"/>
    <d v="2015-07-13T10:24:43"/>
    <n v="13"/>
    <n v="2"/>
    <n v="10"/>
  </r>
  <r>
    <n v="423"/>
    <s v="Washington"/>
    <s v="98074"/>
    <d v="2015-08-03T12:43:20"/>
    <d v="2015-08-03T12:43:23"/>
    <n v="1"/>
    <n v="2"/>
    <n v="2"/>
    <n v="2"/>
    <n v="1"/>
    <x v="0"/>
    <x v="0"/>
    <d v="2015-08-03T12:43:20"/>
    <n v="3"/>
    <n v="2"/>
    <n v="12"/>
  </r>
  <r>
    <n v="424"/>
    <s v="Florida"/>
    <s v="33314"/>
    <d v="2015-01-25T16:08:00"/>
    <d v="2015-01-25T16:08:04"/>
    <n v="1"/>
    <n v="0"/>
    <n v="6"/>
    <n v="4"/>
    <n v="1"/>
    <x v="3"/>
    <x v="4"/>
    <d v="2015-01-25T16:08:01"/>
    <n v="25"/>
    <n v="1"/>
    <n v="16"/>
  </r>
  <r>
    <n v="425"/>
    <m/>
    <m/>
    <d v="2015-07-29T13:59:20"/>
    <d v="2015-07-29T09:59:21"/>
    <n v="1"/>
    <n v="2"/>
    <n v="3"/>
    <n v="4"/>
    <n v="1"/>
    <x v="3"/>
    <x v="36"/>
    <d v="2015-07-29T10:07:13"/>
    <n v="29"/>
    <n v="4"/>
    <n v="10"/>
  </r>
  <r>
    <n v="426"/>
    <s v="Alabama"/>
    <s v="35213"/>
    <d v="2015-05-22T11:21:00"/>
    <d v="2015-05-22T11:21:03"/>
    <n v="1"/>
    <n v="2"/>
    <n v="2"/>
    <n v="2"/>
    <n v="1"/>
    <x v="0"/>
    <x v="2"/>
    <d v="2015-05-22T11:21:00"/>
    <n v="22"/>
    <n v="6"/>
    <n v="11"/>
  </r>
  <r>
    <n v="427"/>
    <s v="Arizona"/>
    <s v="85304"/>
    <d v="2015-06-12T17:27:59"/>
    <d v="2015-06-12T13:28:04"/>
    <n v="1"/>
    <n v="8"/>
    <n v="8"/>
    <n v="2"/>
    <n v="1"/>
    <x v="2"/>
    <x v="2"/>
    <d v="2015-06-12T13:28:01"/>
    <n v="12"/>
    <n v="6"/>
    <n v="13"/>
  </r>
  <r>
    <n v="428"/>
    <s v="Kansas"/>
    <s v="66202"/>
    <d v="2015-08-15T13:58:54"/>
    <d v="2015-08-15T13:58:57"/>
    <n v="1"/>
    <n v="2"/>
    <n v="2"/>
    <n v="2"/>
    <n v="1"/>
    <x v="0"/>
    <x v="6"/>
    <d v="2015-08-15T13:58:55"/>
    <n v="15"/>
    <n v="7"/>
    <n v="13"/>
  </r>
  <r>
    <n v="429"/>
    <s v="New Jersey"/>
    <s v="7752"/>
    <d v="2015-03-14T07:41:27"/>
    <d v="2015-03-14T07:41:39"/>
    <n v="1"/>
    <n v="2"/>
    <n v="4"/>
    <n v="2"/>
    <n v="1"/>
    <x v="3"/>
    <x v="5"/>
    <d v="2015-03-14T07:41:28"/>
    <n v="14"/>
    <n v="7"/>
    <n v="7"/>
  </r>
  <r>
    <n v="430"/>
    <s v="Virginia"/>
    <s v="22101"/>
    <d v="2015-06-12T01:10:16"/>
    <d v="2015-06-11T21:10:22"/>
    <n v="1"/>
    <n v="2"/>
    <n v="4"/>
    <n v="2"/>
    <n v="1"/>
    <x v="3"/>
    <x v="21"/>
    <d v="2015-06-11T21:10:18"/>
    <n v="11"/>
    <n v="5"/>
    <n v="21"/>
  </r>
  <r>
    <n v="431"/>
    <s v="Wisconsin"/>
    <s v="54165"/>
    <d v="2015-06-26T18:48:00"/>
    <d v="2015-06-26T14:48:05"/>
    <n v="1"/>
    <n v="4"/>
    <n v="8"/>
    <n v="2"/>
    <n v="1"/>
    <x v="2"/>
    <x v="2"/>
    <d v="2015-06-26T14:48:01"/>
    <n v="26"/>
    <n v="6"/>
    <n v="14"/>
  </r>
  <r>
    <n v="432"/>
    <s v="California"/>
    <s v="92504"/>
    <d v="2015-09-18T17:15:30"/>
    <d v="2015-09-18T17:15:34"/>
    <n v="1"/>
    <n v="2"/>
    <n v="2"/>
    <n v="2"/>
    <n v="1"/>
    <x v="0"/>
    <x v="6"/>
    <d v="2015-09-18T17:15:30"/>
    <n v="18"/>
    <n v="6"/>
    <n v="17"/>
  </r>
  <r>
    <n v="433"/>
    <s v="Texas"/>
    <s v="78732"/>
    <d v="2015-07-24T14:23:33"/>
    <d v="2015-07-24T14:23:37"/>
    <n v="1"/>
    <n v="2"/>
    <n v="6"/>
    <n v="2"/>
    <n v="1"/>
    <x v="3"/>
    <x v="56"/>
    <d v="2015-07-24T14:23:33"/>
    <n v="24"/>
    <n v="6"/>
    <n v="14"/>
  </r>
  <r>
    <n v="434"/>
    <s v="Ohio"/>
    <s v="44140"/>
    <d v="2015-07-03T00:13:39"/>
    <d v="2015-07-02T20:13:41"/>
    <n v="1"/>
    <n v="2"/>
    <n v="16"/>
    <n v="4"/>
    <n v="1"/>
    <x v="2"/>
    <x v="2"/>
    <d v="2015-07-02T20:15:23"/>
    <n v="2"/>
    <n v="5"/>
    <n v="20"/>
  </r>
  <r>
    <n v="435"/>
    <m/>
    <m/>
    <d v="2015-01-19T13:27:21"/>
    <d v="2015-02-25T21:26:29"/>
    <n v="3"/>
    <n v="0"/>
    <n v="1"/>
    <n v="2"/>
    <n v="1"/>
    <x v="2"/>
    <x v="2"/>
    <d v="2015-02-25T21:29:02"/>
    <n v="25"/>
    <n v="4"/>
    <n v="21"/>
  </r>
  <r>
    <n v="436"/>
    <s v="Maryland"/>
    <s v="21042"/>
    <d v="2015-01-21T22:02:27"/>
    <d v="2015-01-21T22:02:30"/>
    <n v="1"/>
    <n v="0"/>
    <n v="2"/>
    <n v="2"/>
    <n v="1"/>
    <x v="0"/>
    <x v="21"/>
    <d v="2015-01-21T22:02:28"/>
    <n v="21"/>
    <n v="4"/>
    <n v="22"/>
  </r>
  <r>
    <n v="437"/>
    <m/>
    <m/>
    <d v="2015-05-20T13:16:51"/>
    <d v="2015-05-20T09:16:54"/>
    <n v="1"/>
    <n v="0"/>
    <n v="10"/>
    <n v="10"/>
    <n v="1"/>
    <x v="0"/>
    <x v="2"/>
    <d v="2015-05-20T09:18:59"/>
    <n v="20"/>
    <n v="4"/>
    <n v="9"/>
  </r>
  <r>
    <n v="438"/>
    <s v="Connecticut"/>
    <s v="06825"/>
    <d v="2015-03-04T10:36:22"/>
    <d v="2015-03-04T10:36:28"/>
    <n v="1"/>
    <n v="0"/>
    <n v="14"/>
    <n v="1"/>
    <n v="1"/>
    <x v="4"/>
    <x v="85"/>
    <d v="2015-03-04T10:36:24"/>
    <n v="4"/>
    <n v="4"/>
    <n v="10"/>
  </r>
  <r>
    <n v="439"/>
    <s v="Pennsylvania"/>
    <s v="18643"/>
    <d v="2015-01-26T11:33:40"/>
    <d v="2015-02-23T17:01:16"/>
    <n v="16"/>
    <n v="12"/>
    <n v="10"/>
    <n v="12"/>
    <n v="1"/>
    <x v="4"/>
    <x v="85"/>
    <d v="2015-01-26T12:01:58"/>
    <n v="26"/>
    <n v="2"/>
    <n v="12"/>
  </r>
  <r>
    <n v="440"/>
    <s v="Indiana"/>
    <s v="47803"/>
    <d v="2015-03-12T09:36:35"/>
    <d v="2015-03-12T09:36:40"/>
    <n v="1"/>
    <n v="0"/>
    <n v="8"/>
    <n v="1"/>
    <n v="1"/>
    <x v="2"/>
    <x v="2"/>
    <d v="2015-03-12T09:36:36"/>
    <n v="12"/>
    <n v="5"/>
    <n v="9"/>
  </r>
  <r>
    <n v="441"/>
    <s v="Florida"/>
    <s v="34275"/>
    <d v="2015-06-07T20:42:53"/>
    <d v="2015-06-07T16:43:00"/>
    <n v="1"/>
    <n v="0"/>
    <n v="4"/>
    <n v="2"/>
    <n v="1"/>
    <x v="3"/>
    <x v="14"/>
    <d v="2015-06-07T16:42:55"/>
    <n v="7"/>
    <n v="1"/>
    <n v="16"/>
  </r>
  <r>
    <n v="442"/>
    <s v="Maine"/>
    <s v="04105"/>
    <d v="2015-05-16T05:06:51"/>
    <d v="2015-05-16T05:06:54"/>
    <n v="1"/>
    <n v="2"/>
    <n v="2"/>
    <n v="5"/>
    <n v="1"/>
    <x v="2"/>
    <x v="2"/>
    <d v="2015-05-16T05:06:51"/>
    <n v="16"/>
    <n v="7"/>
    <n v="5"/>
  </r>
  <r>
    <n v="444"/>
    <s v="Maryland"/>
    <s v="21042"/>
    <d v="2013-09-20T19:25:06"/>
    <d v="2015-07-06T23:18:47"/>
    <n v="2"/>
    <n v="0"/>
    <n v="2"/>
    <n v="3"/>
    <n v="1"/>
    <x v="0"/>
    <x v="2"/>
    <d v="2015-07-06T23:20:26"/>
    <n v="6"/>
    <n v="2"/>
    <n v="23"/>
  </r>
  <r>
    <n v="445"/>
    <m/>
    <m/>
    <d v="2015-02-12T14:58:25"/>
    <d v="2015-02-12T17:35:52"/>
    <n v="3"/>
    <n v="0"/>
    <n v="2"/>
    <n v="3"/>
    <n v="1"/>
    <x v="0"/>
    <x v="1"/>
    <d v="2015-02-12T14:59:49"/>
    <n v="12"/>
    <n v="5"/>
    <n v="14"/>
  </r>
  <r>
    <n v="446"/>
    <s v="California"/>
    <s v="91942"/>
    <d v="2015-03-25T16:51:42"/>
    <d v="2015-03-25T16:51:45"/>
    <n v="1"/>
    <n v="1"/>
    <n v="8"/>
    <n v="3"/>
    <n v="1"/>
    <x v="3"/>
    <x v="39"/>
    <d v="2015-03-25T16:58:28"/>
    <n v="25"/>
    <n v="4"/>
    <n v="16"/>
  </r>
  <r>
    <n v="447"/>
    <s v="New York"/>
    <s v="11229"/>
    <d v="2015-01-27T15:34:11"/>
    <d v="2015-03-13T18:19:45"/>
    <n v="6"/>
    <n v="1"/>
    <n v="11"/>
    <n v="9"/>
    <n v="3"/>
    <x v="12"/>
    <x v="5"/>
    <d v="2015-01-27T15:34:13"/>
    <n v="27"/>
    <n v="3"/>
    <n v="15"/>
  </r>
  <r>
    <n v="448"/>
    <s v="Pennsylvania"/>
    <s v="17601"/>
    <d v="2015-09-12T20:40:43"/>
    <d v="2015-09-13T15:23:25"/>
    <n v="2"/>
    <n v="0"/>
    <n v="2"/>
    <n v="23"/>
    <n v="1"/>
    <x v="0"/>
    <x v="6"/>
    <d v="2015-09-12T20:41:56"/>
    <n v="12"/>
    <n v="7"/>
    <n v="20"/>
  </r>
  <r>
    <n v="449"/>
    <s v="New Jersey"/>
    <s v="08515"/>
    <d v="2015-02-04T08:01:23"/>
    <d v="2015-02-04T08:01:29"/>
    <n v="1"/>
    <n v="2"/>
    <n v="4"/>
    <n v="1"/>
    <n v="1"/>
    <x v="3"/>
    <x v="5"/>
    <d v="2015-02-04T08:01:25"/>
    <n v="4"/>
    <n v="4"/>
    <n v="8"/>
  </r>
  <r>
    <n v="450"/>
    <s v="Connecticut"/>
    <s v="06801"/>
    <d v="2015-07-27T16:10:31"/>
    <d v="2015-07-27T16:10:35"/>
    <n v="1"/>
    <n v="0"/>
    <n v="2"/>
    <n v="2"/>
    <n v="1"/>
    <x v="0"/>
    <x v="6"/>
    <d v="2015-07-27T16:10:32"/>
    <n v="27"/>
    <n v="2"/>
    <n v="16"/>
  </r>
  <r>
    <n v="451"/>
    <s v="South Carolina"/>
    <s v="29148"/>
    <d v="2015-04-27T11:22:19"/>
    <d v="2015-04-30T21:15:31"/>
    <n v="4"/>
    <n v="1"/>
    <n v="7"/>
    <n v="8"/>
    <n v="1"/>
    <x v="3"/>
    <x v="5"/>
    <d v="2015-04-28T08:53:06"/>
    <n v="28"/>
    <n v="3"/>
    <n v="8"/>
  </r>
  <r>
    <n v="452"/>
    <s v="Washington"/>
    <s v="98030"/>
    <d v="2015-03-07T22:22:29"/>
    <d v="2015-03-07T22:22:35"/>
    <n v="1"/>
    <n v="0"/>
    <n v="10"/>
    <n v="2"/>
    <n v="1"/>
    <x v="2"/>
    <x v="2"/>
    <d v="2015-03-07T22:22:30"/>
    <n v="7"/>
    <n v="7"/>
    <n v="22"/>
  </r>
  <r>
    <n v="453"/>
    <m/>
    <m/>
    <d v="2015-07-26T02:30:30"/>
    <d v="2015-07-25T22:30:31"/>
    <n v="1"/>
    <n v="5"/>
    <n v="7"/>
    <n v="1"/>
    <n v="1"/>
    <x v="3"/>
    <x v="42"/>
    <d v="2015-07-25T22:41:08"/>
    <n v="25"/>
    <n v="7"/>
    <n v="22"/>
  </r>
  <r>
    <n v="454"/>
    <s v="California"/>
    <s v="90049"/>
    <d v="2015-05-31T11:45:31"/>
    <d v="2015-05-31T11:45:40"/>
    <n v="1"/>
    <n v="2"/>
    <n v="4"/>
    <n v="2"/>
    <n v="1"/>
    <x v="3"/>
    <x v="13"/>
    <d v="2015-05-31T11:45:32"/>
    <n v="31"/>
    <n v="1"/>
    <n v="11"/>
  </r>
  <r>
    <n v="455"/>
    <m/>
    <m/>
    <d v="2015-01-14T13:17:48"/>
    <d v="2015-01-27T16:33:28"/>
    <n v="16"/>
    <n v="0"/>
    <n v="2"/>
    <n v="13"/>
    <n v="1"/>
    <x v="3"/>
    <x v="16"/>
    <d v="2015-01-17T10:24:46"/>
    <n v="17"/>
    <n v="7"/>
    <n v="10"/>
  </r>
  <r>
    <n v="456"/>
    <s v="Indiana"/>
    <s v="46168"/>
    <d v="2015-09-12T07:30:29"/>
    <d v="2015-09-12T07:30:33"/>
    <n v="1"/>
    <n v="0"/>
    <n v="4"/>
    <n v="2"/>
    <n v="1"/>
    <x v="0"/>
    <x v="6"/>
    <d v="2015-09-12T07:30:29"/>
    <n v="12"/>
    <n v="7"/>
    <n v="7"/>
  </r>
  <r>
    <n v="457"/>
    <s v="Connecticut"/>
    <s v="06483"/>
    <d v="2015-03-18T07:35:29"/>
    <d v="2015-03-18T07:35:34"/>
    <n v="1"/>
    <n v="0"/>
    <n v="2"/>
    <n v="2"/>
    <n v="1"/>
    <x v="0"/>
    <x v="21"/>
    <d v="2015-03-18T07:35:30"/>
    <n v="18"/>
    <n v="4"/>
    <n v="7"/>
  </r>
  <r>
    <n v="458"/>
    <s v="Colorado"/>
    <s v="80022"/>
    <d v="2015-07-06T18:13:30"/>
    <d v="2015-07-06T18:13:33"/>
    <n v="1"/>
    <n v="2"/>
    <n v="6"/>
    <n v="3"/>
    <n v="1"/>
    <x v="0"/>
    <x v="2"/>
    <d v="2015-07-06T18:13:30"/>
    <n v="6"/>
    <n v="2"/>
    <n v="18"/>
  </r>
  <r>
    <n v="459"/>
    <s v="Georgia"/>
    <s v="31501"/>
    <d v="2015-03-06T12:26:03"/>
    <d v="2015-03-06T12:26:12"/>
    <n v="1"/>
    <n v="0"/>
    <n v="10"/>
    <n v="11"/>
    <n v="1"/>
    <x v="0"/>
    <x v="2"/>
    <d v="2015-03-06T12:26:03"/>
    <n v="6"/>
    <n v="6"/>
    <n v="12"/>
  </r>
  <r>
    <n v="460"/>
    <s v="Florida"/>
    <s v="32583"/>
    <d v="2015-07-21T03:15:36"/>
    <d v="2015-07-20T23:15:37"/>
    <n v="2"/>
    <n v="0"/>
    <n v="1"/>
    <n v="2"/>
    <n v="1"/>
    <x v="0"/>
    <x v="58"/>
    <d v="2015-07-20T23:17:54"/>
    <n v="20"/>
    <n v="2"/>
    <n v="23"/>
  </r>
  <r>
    <n v="461"/>
    <s v="Washington"/>
    <s v="98371"/>
    <d v="2015-08-14T10:13:56"/>
    <d v="2015-08-14T21:56:45"/>
    <n v="6"/>
    <n v="4"/>
    <n v="4"/>
    <n v="2"/>
    <n v="1"/>
    <x v="0"/>
    <x v="82"/>
    <d v="2015-08-14T10:13:56"/>
    <n v="14"/>
    <n v="6"/>
    <n v="10"/>
  </r>
  <r>
    <n v="462"/>
    <s v="Nevada"/>
    <s v="89179"/>
    <d v="2015-06-11T23:00:22"/>
    <d v="2015-06-11T23:00:30"/>
    <n v="1"/>
    <n v="10"/>
    <n v="13"/>
    <n v="3"/>
    <n v="1"/>
    <x v="8"/>
    <x v="44"/>
    <d v="2015-06-11T23:00:23"/>
    <n v="11"/>
    <n v="5"/>
    <n v="23"/>
  </r>
  <r>
    <n v="463"/>
    <s v="North Carolina"/>
    <s v="28314"/>
    <d v="2015-01-18T11:52:27"/>
    <d v="2015-01-23T07:35:12"/>
    <n v="2"/>
    <n v="0"/>
    <n v="4"/>
    <n v="4"/>
    <n v="1"/>
    <x v="3"/>
    <x v="4"/>
    <d v="2015-01-18T11:52:29"/>
    <n v="18"/>
    <n v="1"/>
    <n v="11"/>
  </r>
  <r>
    <n v="464"/>
    <s v="Maryland"/>
    <s v="21201"/>
    <d v="2015-08-11T19:23:41"/>
    <d v="2015-08-11T15:23:46"/>
    <n v="1"/>
    <n v="0"/>
    <n v="2"/>
    <n v="2"/>
    <n v="1"/>
    <x v="0"/>
    <x v="86"/>
    <d v="2015-08-11T15:23:41"/>
    <n v="11"/>
    <n v="3"/>
    <n v="15"/>
  </r>
  <r>
    <n v="465"/>
    <s v="Massachusetts"/>
    <s v="01057"/>
    <d v="2015-01-29T20:51:41"/>
    <d v="2015-01-30T20:09:29"/>
    <n v="2"/>
    <n v="0"/>
    <n v="5"/>
    <n v="5"/>
    <n v="1"/>
    <x v="3"/>
    <x v="13"/>
    <d v="2015-01-29T20:55:02"/>
    <n v="29"/>
    <n v="5"/>
    <n v="20"/>
  </r>
  <r>
    <n v="466"/>
    <s v="Georgia"/>
    <s v="30605"/>
    <d v="2015-06-08T13:45:37"/>
    <d v="2015-06-08T13:45:41"/>
    <n v="1"/>
    <n v="2"/>
    <n v="4"/>
    <n v="6"/>
    <n v="1"/>
    <x v="0"/>
    <x v="2"/>
    <d v="2015-06-08T13:45:38"/>
    <n v="8"/>
    <n v="2"/>
    <n v="13"/>
  </r>
  <r>
    <n v="467"/>
    <s v="New York"/>
    <s v="10014"/>
    <d v="2015-06-16T11:12:08"/>
    <d v="2015-06-16T11:12:12"/>
    <n v="1"/>
    <n v="2"/>
    <n v="2"/>
    <n v="2"/>
    <n v="1"/>
    <x v="0"/>
    <x v="2"/>
    <d v="2015-06-16T11:12:09"/>
    <n v="16"/>
    <n v="3"/>
    <n v="11"/>
  </r>
  <r>
    <n v="468"/>
    <s v="Florida"/>
    <s v="33315"/>
    <d v="2015-06-04T06:14:41"/>
    <d v="2015-06-04T06:14:44"/>
    <n v="1"/>
    <n v="2"/>
    <n v="2"/>
    <n v="2"/>
    <n v="1"/>
    <x v="0"/>
    <x v="2"/>
    <d v="2015-06-04T06:14:42"/>
    <n v="4"/>
    <n v="5"/>
    <n v="6"/>
  </r>
  <r>
    <n v="469"/>
    <s v="New York"/>
    <s v="11367"/>
    <d v="2015-06-17T12:27:11"/>
    <d v="2015-06-17T08:27:17"/>
    <n v="1"/>
    <n v="4"/>
    <n v="6"/>
    <n v="2"/>
    <n v="1"/>
    <x v="1"/>
    <x v="8"/>
    <d v="2015-06-17T08:27:13"/>
    <n v="17"/>
    <n v="4"/>
    <n v="8"/>
  </r>
  <r>
    <n v="470"/>
    <s v="New Jersey"/>
    <s v="08527"/>
    <d v="2015-01-28T10:33:37"/>
    <d v="2015-02-14T13:59:09"/>
    <n v="2"/>
    <n v="4"/>
    <n v="12"/>
    <n v="5"/>
    <n v="2"/>
    <x v="6"/>
    <x v="8"/>
    <d v="2015-01-28T10:33:39"/>
    <n v="28"/>
    <n v="4"/>
    <n v="10"/>
  </r>
  <r>
    <n v="471"/>
    <s v="California"/>
    <s v="94070"/>
    <d v="2015-05-21T19:36:58"/>
    <d v="2015-05-21T19:37:03"/>
    <n v="1"/>
    <n v="2"/>
    <n v="2"/>
    <n v="2"/>
    <n v="1"/>
    <x v="0"/>
    <x v="2"/>
    <d v="2015-05-21T19:37:00"/>
    <n v="21"/>
    <n v="5"/>
    <n v="19"/>
  </r>
  <r>
    <n v="472"/>
    <s v="Pennsylvania"/>
    <s v="19041"/>
    <d v="2015-09-18T12:12:32"/>
    <d v="2015-09-18T12:12:37"/>
    <n v="1"/>
    <n v="6"/>
    <n v="2"/>
    <n v="2"/>
    <n v="1"/>
    <x v="0"/>
    <x v="6"/>
    <d v="2015-09-18T12:12:33"/>
    <n v="18"/>
    <n v="6"/>
    <n v="12"/>
  </r>
  <r>
    <n v="473"/>
    <s v="Arizona"/>
    <s v="85035"/>
    <d v="2015-01-13T16:43:27"/>
    <d v="2015-01-20T16:05:23"/>
    <n v="3"/>
    <n v="0"/>
    <n v="2"/>
    <n v="3"/>
    <n v="1"/>
    <x v="0"/>
    <x v="2"/>
    <d v="2015-01-13T16:43:28"/>
    <n v="13"/>
    <n v="3"/>
    <n v="16"/>
  </r>
  <r>
    <n v="474"/>
    <s v="New Jersey"/>
    <s v="7631"/>
    <d v="2015-06-16T19:25:15"/>
    <d v="2015-06-16T15:25:22"/>
    <n v="1"/>
    <n v="0"/>
    <n v="4"/>
    <n v="2"/>
    <n v="1"/>
    <x v="3"/>
    <x v="5"/>
    <d v="2015-06-16T15:25:18"/>
    <n v="16"/>
    <n v="3"/>
    <n v="15"/>
  </r>
  <r>
    <n v="475"/>
    <s v="Alabama"/>
    <s v="35210"/>
    <d v="2015-08-18T11:05:05"/>
    <d v="2015-08-18T11:05:08"/>
    <n v="1"/>
    <n v="0"/>
    <n v="2"/>
    <n v="4"/>
    <n v="1"/>
    <x v="0"/>
    <x v="0"/>
    <d v="2015-08-18T11:05:05"/>
    <n v="18"/>
    <n v="3"/>
    <n v="11"/>
  </r>
  <r>
    <n v="476"/>
    <s v="Michigan"/>
    <s v="49221"/>
    <d v="2015-08-27T09:00:56"/>
    <d v="2015-08-27T09:01:00"/>
    <n v="1"/>
    <n v="2"/>
    <n v="2"/>
    <n v="2"/>
    <n v="1"/>
    <x v="0"/>
    <x v="0"/>
    <d v="2015-08-27T09:00:56"/>
    <n v="27"/>
    <n v="5"/>
    <n v="9"/>
  </r>
  <r>
    <n v="477"/>
    <s v="Oklahoma"/>
    <s v="74135"/>
    <d v="2015-06-20T15:07:48"/>
    <d v="2015-06-20T11:07:49"/>
    <n v="1"/>
    <n v="1"/>
    <n v="6"/>
    <n v="1"/>
    <n v="1"/>
    <x v="2"/>
    <x v="87"/>
    <d v="2015-06-20T11:23:34"/>
    <n v="20"/>
    <n v="7"/>
    <n v="11"/>
  </r>
  <r>
    <n v="478"/>
    <s v="Illinois"/>
    <s v="61739"/>
    <d v="2015-08-17T08:12:02"/>
    <d v="2015-08-17T08:12:05"/>
    <n v="1"/>
    <n v="2"/>
    <n v="2"/>
    <n v="2"/>
    <n v="1"/>
    <x v="2"/>
    <x v="22"/>
    <d v="2015-08-17T08:12:03"/>
    <n v="17"/>
    <n v="2"/>
    <n v="8"/>
  </r>
  <r>
    <n v="480"/>
    <s v="New York"/>
    <s v="12210"/>
    <d v="2015-04-05T11:50:48"/>
    <d v="2015-04-05T11:50:53"/>
    <n v="1"/>
    <n v="0"/>
    <n v="4"/>
    <n v="1"/>
    <n v="1"/>
    <x v="3"/>
    <x v="5"/>
    <d v="2015-04-05T11:50:49"/>
    <n v="5"/>
    <n v="1"/>
    <n v="11"/>
  </r>
  <r>
    <n v="481"/>
    <s v="Wisconsin"/>
    <s v="54481"/>
    <d v="2015-05-14T12:43:56"/>
    <d v="2015-05-14T12:44:00"/>
    <n v="1"/>
    <n v="4"/>
    <n v="12"/>
    <n v="2"/>
    <n v="1"/>
    <x v="5"/>
    <x v="10"/>
    <d v="2015-05-14T12:43:57"/>
    <n v="14"/>
    <n v="5"/>
    <n v="12"/>
  </r>
  <r>
    <n v="483"/>
    <s v="California"/>
    <s v="92122"/>
    <d v="2015-06-02T16:10:08"/>
    <d v="2015-06-02T16:10:14"/>
    <n v="1"/>
    <n v="6"/>
    <n v="2"/>
    <n v="2"/>
    <n v="1"/>
    <x v="0"/>
    <x v="21"/>
    <d v="2015-06-02T16:10:09"/>
    <n v="2"/>
    <n v="3"/>
    <n v="16"/>
  </r>
  <r>
    <n v="484"/>
    <s v="Indiana"/>
    <s v="46074"/>
    <d v="2015-03-22T09:51:33"/>
    <d v="2015-03-22T09:51:39"/>
    <n v="1"/>
    <n v="0"/>
    <n v="8"/>
    <n v="1"/>
    <n v="1"/>
    <x v="2"/>
    <x v="1"/>
    <d v="2015-03-22T09:51:34"/>
    <n v="22"/>
    <n v="1"/>
    <n v="9"/>
  </r>
  <r>
    <n v="485"/>
    <m/>
    <m/>
    <d v="2015-02-26T13:56:24"/>
    <d v="2015-02-27T16:42:41"/>
    <n v="3"/>
    <n v="4"/>
    <n v="8"/>
    <n v="3"/>
    <n v="1"/>
    <x v="2"/>
    <x v="81"/>
    <d v="2015-02-26T13:56:25"/>
    <n v="26"/>
    <n v="5"/>
    <n v="13"/>
  </r>
  <r>
    <n v="486"/>
    <s v="Delaware"/>
    <s v="19702"/>
    <d v="2015-01-20T15:44:13"/>
    <d v="2015-01-21T14:06:23"/>
    <n v="2"/>
    <n v="0"/>
    <n v="2"/>
    <n v="4"/>
    <n v="1"/>
    <x v="0"/>
    <x v="2"/>
    <d v="2015-01-20T15:44:17"/>
    <n v="20"/>
    <n v="3"/>
    <n v="15"/>
  </r>
  <r>
    <n v="487"/>
    <s v="Illinois"/>
    <s v="62278"/>
    <d v="2015-09-09T11:52:31"/>
    <d v="2015-09-11T13:36:28"/>
    <n v="4"/>
    <n v="8"/>
    <n v="10"/>
    <n v="5"/>
    <n v="1"/>
    <x v="2"/>
    <x v="14"/>
    <d v="2015-09-11T13:37:54"/>
    <n v="11"/>
    <n v="6"/>
    <n v="13"/>
  </r>
  <r>
    <n v="488"/>
    <s v="Pennsylvania"/>
    <s v="18069"/>
    <d v="2015-03-04T19:05:29"/>
    <d v="2015-03-05T10:19:42"/>
    <n v="3"/>
    <n v="2"/>
    <n v="4"/>
    <n v="1"/>
    <n v="1"/>
    <x v="3"/>
    <x v="4"/>
    <d v="2015-03-04T19:05:30"/>
    <n v="4"/>
    <n v="4"/>
    <n v="19"/>
  </r>
  <r>
    <n v="489"/>
    <s v="North Carolina"/>
    <s v="28117"/>
    <d v="2015-02-28T13:10:04"/>
    <d v="2015-03-12T14:22:47"/>
    <n v="2"/>
    <n v="0"/>
    <n v="2"/>
    <n v="3"/>
    <n v="1"/>
    <x v="0"/>
    <x v="1"/>
    <d v="2015-02-28T13:10:05"/>
    <n v="28"/>
    <n v="7"/>
    <n v="13"/>
  </r>
  <r>
    <n v="490"/>
    <s v="Illinois"/>
    <s v="60137"/>
    <d v="2015-02-22T23:09:56"/>
    <d v="2015-02-22T23:10:03"/>
    <n v="1"/>
    <n v="2"/>
    <n v="8"/>
    <n v="1"/>
    <n v="1"/>
    <x v="2"/>
    <x v="2"/>
    <d v="2015-02-22T23:09:59"/>
    <n v="22"/>
    <n v="1"/>
    <n v="23"/>
  </r>
  <r>
    <n v="491"/>
    <s v="California"/>
    <s v="94133"/>
    <d v="2015-03-05T14:39:49"/>
    <d v="2015-03-05T14:39:54"/>
    <n v="1"/>
    <n v="0"/>
    <n v="4"/>
    <n v="1"/>
    <n v="1"/>
    <x v="3"/>
    <x v="13"/>
    <d v="2015-03-05T14:39:50"/>
    <n v="5"/>
    <n v="5"/>
    <n v="14"/>
  </r>
  <r>
    <n v="493"/>
    <s v="Texas"/>
    <s v="75238"/>
    <d v="2015-01-22T14:05:08"/>
    <d v="2015-01-22T14:05:12"/>
    <n v="1"/>
    <n v="0"/>
    <n v="6"/>
    <n v="2"/>
    <n v="1"/>
    <x v="5"/>
    <x v="88"/>
    <d v="2015-01-22T14:05:09"/>
    <n v="22"/>
    <n v="5"/>
    <n v="14"/>
  </r>
  <r>
    <n v="494"/>
    <m/>
    <m/>
    <d v="2015-05-29T14:31:41"/>
    <d v="2015-05-30T17:08:33"/>
    <n v="1"/>
    <n v="1"/>
    <n v="2"/>
    <n v="1"/>
    <n v="1"/>
    <x v="3"/>
    <x v="23"/>
    <d v="2015-05-30T17:11:18"/>
    <n v="30"/>
    <n v="7"/>
    <n v="17"/>
  </r>
  <r>
    <n v="495"/>
    <s v="Iowa"/>
    <s v="50009"/>
    <d v="2015-06-11T07:14:08"/>
    <d v="2015-06-11T07:14:11"/>
    <n v="1"/>
    <n v="8"/>
    <n v="2"/>
    <n v="4"/>
    <n v="1"/>
    <x v="0"/>
    <x v="2"/>
    <d v="2015-06-11T07:14:09"/>
    <n v="11"/>
    <n v="5"/>
    <n v="7"/>
  </r>
  <r>
    <n v="496"/>
    <s v="Illinois"/>
    <s v="60614"/>
    <d v="2015-01-17T14:40:48"/>
    <d v="2015-02-02T20:08:16"/>
    <n v="2"/>
    <n v="2"/>
    <n v="32"/>
    <n v="5"/>
    <n v="2"/>
    <x v="13"/>
    <x v="21"/>
    <d v="2015-01-17T14:43:43"/>
    <n v="17"/>
    <n v="7"/>
    <n v="14"/>
  </r>
  <r>
    <n v="497"/>
    <s v="Iowa"/>
    <s v="51533"/>
    <d v="2015-03-03T16:07:28"/>
    <d v="2015-03-04T13:41:36"/>
    <n v="3"/>
    <n v="0"/>
    <n v="4"/>
    <n v="2"/>
    <n v="1"/>
    <x v="3"/>
    <x v="4"/>
    <d v="2015-03-03T16:07:29"/>
    <n v="3"/>
    <n v="3"/>
    <n v="16"/>
  </r>
  <r>
    <n v="498"/>
    <s v="Mississippi"/>
    <s v="38732"/>
    <d v="2015-09-05T08:45:41"/>
    <d v="2015-09-05T19:39:58"/>
    <n v="2"/>
    <n v="2"/>
    <n v="2"/>
    <n v="2"/>
    <n v="1"/>
    <x v="0"/>
    <x v="89"/>
    <d v="2015-09-05T08:45:41"/>
    <n v="5"/>
    <n v="7"/>
    <n v="8"/>
  </r>
  <r>
    <n v="499"/>
    <m/>
    <m/>
    <d v="2015-01-22T23:11:17"/>
    <d v="2015-01-22T23:11:24"/>
    <n v="1"/>
    <n v="0"/>
    <n v="8"/>
    <n v="3"/>
    <n v="1"/>
    <x v="2"/>
    <x v="1"/>
    <d v="2015-01-22T23:17:40"/>
    <n v="22"/>
    <n v="5"/>
    <n v="23"/>
  </r>
  <r>
    <n v="500"/>
    <s v="Texas"/>
    <s v="77057"/>
    <d v="2015-08-25T20:26:26"/>
    <d v="2015-08-25T20:26:29"/>
    <n v="1"/>
    <n v="4"/>
    <n v="4"/>
    <n v="2"/>
    <n v="1"/>
    <x v="0"/>
    <x v="0"/>
    <d v="2015-08-25T20:26:26"/>
    <n v="25"/>
    <n v="3"/>
    <n v="20"/>
  </r>
  <r>
    <n v="501"/>
    <s v="California"/>
    <s v="90025"/>
    <d v="2015-02-19T21:28:42"/>
    <d v="2015-02-19T21:28:45"/>
    <n v="1"/>
    <n v="4"/>
    <n v="6"/>
    <n v="3"/>
    <n v="1"/>
    <x v="3"/>
    <x v="13"/>
    <d v="2015-02-19T21:30:34"/>
    <n v="19"/>
    <n v="5"/>
    <n v="21"/>
  </r>
  <r>
    <n v="502"/>
    <s v="Florida"/>
    <s v="32073"/>
    <d v="2015-02-10T12:06:35"/>
    <d v="2015-02-10T14:28:41"/>
    <n v="2"/>
    <n v="2"/>
    <n v="4"/>
    <n v="5"/>
    <n v="1"/>
    <x v="3"/>
    <x v="4"/>
    <d v="2015-02-10T14:44:14"/>
    <n v="10"/>
    <n v="3"/>
    <n v="14"/>
  </r>
  <r>
    <n v="503"/>
    <s v="Illinois"/>
    <s v="60093"/>
    <d v="2015-06-24T18:33:02"/>
    <d v="2015-06-24T14:33:07"/>
    <n v="1"/>
    <n v="0"/>
    <n v="4"/>
    <n v="3"/>
    <n v="1"/>
    <x v="3"/>
    <x v="5"/>
    <d v="2015-06-24T14:33:04"/>
    <n v="24"/>
    <n v="4"/>
    <n v="14"/>
  </r>
  <r>
    <n v="504"/>
    <s v="Texas"/>
    <s v="75215"/>
    <d v="2015-06-17T15:15:59"/>
    <d v="2015-06-17T13:42:59"/>
    <n v="7"/>
    <n v="4"/>
    <n v="10"/>
    <n v="2"/>
    <n v="1"/>
    <x v="2"/>
    <x v="2"/>
    <d v="2015-06-17T11:16:01"/>
    <n v="17"/>
    <n v="4"/>
    <n v="11"/>
  </r>
  <r>
    <n v="505"/>
    <s v="Kansas"/>
    <s v="66801"/>
    <d v="2015-09-06T12:18:05"/>
    <d v="2015-09-06T12:18:08"/>
    <n v="1"/>
    <n v="0"/>
    <n v="2"/>
    <n v="2"/>
    <n v="1"/>
    <x v="0"/>
    <x v="36"/>
    <d v="2015-09-06T12:18:05"/>
    <n v="6"/>
    <n v="1"/>
    <n v="12"/>
  </r>
  <r>
    <n v="506"/>
    <s v="Nebraska"/>
    <s v="68372"/>
    <d v="2015-01-17T15:22:21"/>
    <d v="2015-01-17T15:22:28"/>
    <n v="1"/>
    <n v="0"/>
    <n v="4"/>
    <n v="2"/>
    <n v="1"/>
    <x v="3"/>
    <x v="5"/>
    <d v="2015-01-17T15:22:25"/>
    <n v="17"/>
    <n v="7"/>
    <n v="15"/>
  </r>
  <r>
    <n v="507"/>
    <s v="California"/>
    <s v="95003"/>
    <d v="2015-05-28T23:45:48"/>
    <d v="2015-05-28T23:45:52"/>
    <n v="1"/>
    <n v="2"/>
    <n v="4"/>
    <n v="2"/>
    <n v="1"/>
    <x v="3"/>
    <x v="39"/>
    <d v="2015-05-28T23:45:49"/>
    <n v="28"/>
    <n v="5"/>
    <n v="23"/>
  </r>
  <r>
    <n v="508"/>
    <s v="South Carolina"/>
    <s v="29301"/>
    <d v="2015-08-02T23:36:43"/>
    <d v="2015-08-02T19:36:47"/>
    <n v="1"/>
    <n v="4"/>
    <n v="2"/>
    <n v="2"/>
    <n v="1"/>
    <x v="0"/>
    <x v="6"/>
    <d v="2015-08-02T19:36:44"/>
    <n v="2"/>
    <n v="1"/>
    <n v="19"/>
  </r>
  <r>
    <n v="509"/>
    <s v="Massachusetts"/>
    <s v="01776"/>
    <d v="2015-09-04T12:03:55"/>
    <d v="2015-09-04T12:03:58"/>
    <n v="1"/>
    <n v="6"/>
    <n v="4"/>
    <n v="2"/>
    <n v="1"/>
    <x v="3"/>
    <x v="56"/>
    <d v="2015-09-04T12:03:55"/>
    <n v="4"/>
    <n v="6"/>
    <n v="12"/>
  </r>
  <r>
    <n v="510"/>
    <m/>
    <m/>
    <d v="2015-01-23T17:42:24"/>
    <d v="2015-01-27T16:44:02"/>
    <n v="2"/>
    <n v="0"/>
    <n v="4"/>
    <n v="7"/>
    <n v="1"/>
    <x v="0"/>
    <x v="1"/>
    <d v="2015-01-23T17:42:32"/>
    <n v="23"/>
    <n v="6"/>
    <n v="17"/>
  </r>
  <r>
    <n v="511"/>
    <s v="Texas"/>
    <s v="79118"/>
    <d v="2015-04-16T14:56:40"/>
    <d v="2015-04-16T23:49:32"/>
    <n v="4"/>
    <n v="0"/>
    <n v="4"/>
    <n v="1"/>
    <n v="1"/>
    <x v="3"/>
    <x v="5"/>
    <d v="2015-04-16T14:56:40"/>
    <n v="16"/>
    <n v="5"/>
    <n v="14"/>
  </r>
  <r>
    <n v="512"/>
    <s v="California"/>
    <s v="94025"/>
    <d v="2015-05-31T17:46:59"/>
    <d v="2015-05-31T17:47:03"/>
    <n v="1"/>
    <n v="2"/>
    <n v="2"/>
    <n v="2"/>
    <n v="1"/>
    <x v="0"/>
    <x v="2"/>
    <d v="2015-05-31T17:47:00"/>
    <n v="31"/>
    <n v="1"/>
    <n v="17"/>
  </r>
  <r>
    <n v="513"/>
    <s v="Washington"/>
    <s v="98499"/>
    <d v="2015-06-15T05:58:22"/>
    <d v="2015-06-15T01:58:27"/>
    <n v="1"/>
    <n v="2"/>
    <n v="2"/>
    <n v="2"/>
    <n v="1"/>
    <x v="0"/>
    <x v="21"/>
    <d v="2015-06-15T01:58:24"/>
    <n v="15"/>
    <n v="2"/>
    <n v="1"/>
  </r>
  <r>
    <n v="514"/>
    <s v="Colorado"/>
    <s v="80104"/>
    <d v="2015-09-04T21:53:53"/>
    <d v="2015-09-04T17:53:58"/>
    <n v="1"/>
    <n v="14"/>
    <n v="10"/>
    <n v="2"/>
    <n v="1"/>
    <x v="6"/>
    <x v="48"/>
    <d v="2015-09-04T17:53:54"/>
    <n v="4"/>
    <n v="6"/>
    <n v="17"/>
  </r>
  <r>
    <n v="515"/>
    <s v="California"/>
    <s v="92104"/>
    <d v="2015-03-19T19:03:40"/>
    <d v="2015-03-19T19:03:44"/>
    <n v="1"/>
    <n v="0"/>
    <n v="6"/>
    <n v="1"/>
    <n v="1"/>
    <x v="3"/>
    <x v="4"/>
    <d v="2015-03-19T19:03:41"/>
    <n v="19"/>
    <n v="5"/>
    <n v="19"/>
  </r>
  <r>
    <n v="516"/>
    <s v="California"/>
    <s v="94582"/>
    <d v="2015-01-23T01:59:38"/>
    <d v="2015-01-23T01:59:46"/>
    <n v="1"/>
    <n v="0"/>
    <n v="14"/>
    <n v="2"/>
    <n v="1"/>
    <x v="5"/>
    <x v="10"/>
    <d v="2015-01-23T01:59:42"/>
    <n v="23"/>
    <n v="6"/>
    <n v="1"/>
  </r>
  <r>
    <n v="517"/>
    <s v="New York"/>
    <s v="10309"/>
    <d v="2015-03-04T20:09:34"/>
    <d v="2015-03-04T20:09:39"/>
    <n v="1"/>
    <n v="0"/>
    <n v="16"/>
    <n v="1"/>
    <n v="1"/>
    <x v="2"/>
    <x v="2"/>
    <d v="2015-03-04T20:09:35"/>
    <n v="4"/>
    <n v="4"/>
    <n v="20"/>
  </r>
  <r>
    <n v="519"/>
    <s v="Wisconsin"/>
    <s v="53142"/>
    <d v="2015-09-22T06:57:08"/>
    <d v="2015-09-22T06:57:12"/>
    <n v="1"/>
    <n v="2"/>
    <n v="2"/>
    <n v="2"/>
    <n v="1"/>
    <x v="0"/>
    <x v="6"/>
    <d v="2015-09-22T06:57:08"/>
    <n v="22"/>
    <n v="3"/>
    <n v="6"/>
  </r>
  <r>
    <n v="520"/>
    <s v="Connecticut"/>
    <s v="06902"/>
    <d v="2015-08-31T00:57:46"/>
    <d v="2015-08-30T20:57:49"/>
    <n v="1"/>
    <n v="2"/>
    <n v="2"/>
    <n v="2"/>
    <n v="1"/>
    <x v="0"/>
    <x v="58"/>
    <d v="2015-08-30T20:57:46"/>
    <n v="30"/>
    <n v="1"/>
    <n v="20"/>
  </r>
  <r>
    <n v="521"/>
    <s v="Indiana"/>
    <s v="46952"/>
    <d v="2015-06-12T11:22:26"/>
    <d v="2015-06-12T11:22:30"/>
    <n v="1"/>
    <n v="2"/>
    <n v="2"/>
    <n v="4"/>
    <n v="1"/>
    <x v="0"/>
    <x v="2"/>
    <d v="2015-06-12T11:22:27"/>
    <n v="12"/>
    <n v="6"/>
    <n v="11"/>
  </r>
  <r>
    <n v="522"/>
    <s v="New York"/>
    <s v="11935"/>
    <d v="2015-02-18T16:22:04"/>
    <d v="2015-02-19T07:58:32"/>
    <n v="2"/>
    <n v="2"/>
    <n v="4"/>
    <n v="1"/>
    <n v="1"/>
    <x v="3"/>
    <x v="5"/>
    <d v="2015-02-18T16:22:05"/>
    <n v="18"/>
    <n v="4"/>
    <n v="16"/>
  </r>
  <r>
    <n v="523"/>
    <s v="Indiana"/>
    <s v="47712"/>
    <d v="2015-09-17T21:15:17"/>
    <d v="2015-09-17T21:15:18"/>
    <n v="1"/>
    <n v="6"/>
    <n v="3"/>
    <n v="1"/>
    <n v="1"/>
    <x v="0"/>
    <x v="0"/>
    <d v="2015-09-17T21:36:11"/>
    <n v="17"/>
    <n v="5"/>
    <n v="21"/>
  </r>
  <r>
    <n v="524"/>
    <s v="Texas"/>
    <s v="78028"/>
    <d v="2015-01-18T20:45:38"/>
    <d v="2015-01-19T22:19:45"/>
    <n v="2"/>
    <n v="0"/>
    <n v="2"/>
    <n v="3"/>
    <n v="1"/>
    <x v="0"/>
    <x v="21"/>
    <d v="2015-01-18T20:45:40"/>
    <n v="18"/>
    <n v="1"/>
    <n v="20"/>
  </r>
  <r>
    <n v="525"/>
    <s v="Delaware"/>
    <s v="19803"/>
    <d v="2015-04-25T13:30:14"/>
    <d v="2015-04-25T13:30:20"/>
    <n v="1"/>
    <n v="2"/>
    <n v="12"/>
    <n v="1"/>
    <n v="1"/>
    <x v="2"/>
    <x v="2"/>
    <d v="2015-04-25T13:30:15"/>
    <n v="25"/>
    <n v="7"/>
    <n v="13"/>
  </r>
  <r>
    <n v="526"/>
    <s v="California"/>
    <s v="95382"/>
    <d v="2015-04-08T03:48:36"/>
    <d v="2015-04-08T15:34:16"/>
    <n v="2"/>
    <n v="10"/>
    <n v="2"/>
    <n v="1"/>
    <n v="1"/>
    <x v="2"/>
    <x v="2"/>
    <d v="2015-04-08T15:46:37"/>
    <n v="8"/>
    <n v="4"/>
    <n v="15"/>
  </r>
  <r>
    <n v="527"/>
    <s v="Pennsylvania"/>
    <s v="19107"/>
    <d v="2015-06-01T14:29:52"/>
    <d v="2015-06-01T14:29:55"/>
    <n v="1"/>
    <n v="0"/>
    <n v="2"/>
    <n v="2"/>
    <n v="1"/>
    <x v="1"/>
    <x v="20"/>
    <d v="2015-06-01T14:29:53"/>
    <n v="1"/>
    <n v="2"/>
    <n v="14"/>
  </r>
  <r>
    <n v="528"/>
    <s v="New York"/>
    <s v="10028"/>
    <d v="2015-07-13T11:04:21"/>
    <d v="2015-07-13T11:04:25"/>
    <n v="1"/>
    <n v="2"/>
    <n v="4"/>
    <n v="2"/>
    <n v="1"/>
    <x v="3"/>
    <x v="40"/>
    <d v="2015-07-13T11:04:22"/>
    <n v="13"/>
    <n v="2"/>
    <n v="11"/>
  </r>
  <r>
    <n v="529"/>
    <s v="Virginia"/>
    <s v="22060"/>
    <d v="2015-06-19T09:51:12"/>
    <d v="2015-06-19T09:51:17"/>
    <n v="1"/>
    <n v="6"/>
    <n v="10"/>
    <n v="2"/>
    <n v="1"/>
    <x v="6"/>
    <x v="69"/>
    <d v="2015-06-19T09:51:13"/>
    <n v="19"/>
    <n v="6"/>
    <n v="9"/>
  </r>
  <r>
    <n v="530"/>
    <s v="Pennsylvania"/>
    <s v="15012"/>
    <d v="2015-01-04T19:07:06"/>
    <d v="2015-01-04T19:07:12"/>
    <n v="1"/>
    <n v="0"/>
    <n v="4"/>
    <n v="2"/>
    <n v="1"/>
    <x v="8"/>
    <x v="23"/>
    <d v="2015-01-04T19:07:08"/>
    <n v="4"/>
    <n v="1"/>
    <n v="19"/>
  </r>
  <r>
    <n v="531"/>
    <s v="Texas"/>
    <s v="76051"/>
    <d v="2015-09-03T03:02:35"/>
    <d v="2015-09-02T23:02:39"/>
    <n v="1"/>
    <n v="8"/>
    <n v="4"/>
    <n v="6"/>
    <n v="1"/>
    <x v="3"/>
    <x v="56"/>
    <d v="2015-09-02T23:02:35"/>
    <n v="2"/>
    <n v="4"/>
    <n v="23"/>
  </r>
  <r>
    <n v="532"/>
    <s v="Virginia"/>
    <s v="22199"/>
    <d v="2015-02-18T15:12:56"/>
    <d v="2015-02-18T15:13:00"/>
    <n v="1"/>
    <n v="0"/>
    <n v="2"/>
    <n v="1"/>
    <n v="1"/>
    <x v="0"/>
    <x v="2"/>
    <d v="2015-02-18T15:12:57"/>
    <n v="18"/>
    <n v="4"/>
    <n v="15"/>
  </r>
  <r>
    <n v="533"/>
    <s v="Alabama"/>
    <s v="36305"/>
    <d v="2015-08-12T12:45:46"/>
    <d v="2015-08-12T08:45:51"/>
    <n v="1"/>
    <n v="2"/>
    <n v="2"/>
    <n v="2"/>
    <n v="1"/>
    <x v="0"/>
    <x v="6"/>
    <d v="2015-08-12T08:45:47"/>
    <n v="12"/>
    <n v="4"/>
    <n v="8"/>
  </r>
  <r>
    <n v="534"/>
    <s v="Wisconsin"/>
    <s v="53511"/>
    <d v="2015-07-06T01:10:43"/>
    <d v="2015-07-05T21:10:44"/>
    <n v="1"/>
    <n v="2"/>
    <n v="1"/>
    <n v="1"/>
    <n v="1"/>
    <x v="0"/>
    <x v="2"/>
    <d v="2015-07-05T21:13:48"/>
    <n v="5"/>
    <n v="1"/>
    <n v="21"/>
  </r>
  <r>
    <n v="535"/>
    <s v="New Jersey"/>
    <s v="08223"/>
    <d v="2015-04-30T20:05:16"/>
    <d v="2015-04-30T20:05:20"/>
    <n v="1"/>
    <n v="2"/>
    <n v="2"/>
    <n v="2"/>
    <n v="1"/>
    <x v="0"/>
    <x v="2"/>
    <d v="2015-04-30T20:05:17"/>
    <n v="30"/>
    <n v="5"/>
    <n v="20"/>
  </r>
  <r>
    <n v="536"/>
    <m/>
    <m/>
    <d v="2015-05-01T00:48:30"/>
    <d v="2015-05-01T00:48:35"/>
    <n v="1"/>
    <n v="6"/>
    <n v="4"/>
    <n v="1"/>
    <n v="1"/>
    <x v="0"/>
    <x v="14"/>
    <d v="2015-05-01T00:48:32"/>
    <n v="1"/>
    <n v="6"/>
    <n v="0"/>
  </r>
  <r>
    <n v="537"/>
    <s v="New York"/>
    <s v="11561"/>
    <d v="2015-07-28T00:16:53"/>
    <d v="2015-07-28T00:16:57"/>
    <n v="1"/>
    <n v="6"/>
    <n v="4"/>
    <n v="2"/>
    <n v="1"/>
    <x v="0"/>
    <x v="58"/>
    <d v="2015-07-28T00:16:54"/>
    <n v="28"/>
    <n v="3"/>
    <n v="0"/>
  </r>
  <r>
    <n v="538"/>
    <s v="Connecticut"/>
    <s v="06511"/>
    <d v="2015-04-28T22:02:46"/>
    <d v="2015-04-28T22:02:50"/>
    <n v="1"/>
    <n v="0"/>
    <n v="4"/>
    <n v="2"/>
    <n v="1"/>
    <x v="3"/>
    <x v="5"/>
    <d v="2015-04-28T22:02:46"/>
    <n v="28"/>
    <n v="3"/>
    <n v="22"/>
  </r>
  <r>
    <n v="539"/>
    <s v="New York"/>
    <s v="10598"/>
    <d v="2015-06-19T00:33:12"/>
    <d v="2015-06-18T20:33:19"/>
    <n v="1"/>
    <n v="7"/>
    <n v="8"/>
    <n v="2"/>
    <n v="1"/>
    <x v="6"/>
    <x v="14"/>
    <d v="2015-06-18T20:33:14"/>
    <n v="18"/>
    <n v="5"/>
    <n v="20"/>
  </r>
  <r>
    <n v="540"/>
    <s v="Illinois"/>
    <s v="60626"/>
    <d v="2015-03-08T20:37:40"/>
    <d v="2015-03-08T20:37:45"/>
    <n v="1"/>
    <n v="0"/>
    <n v="2"/>
    <n v="1"/>
    <n v="1"/>
    <x v="0"/>
    <x v="21"/>
    <d v="2015-03-08T20:37:41"/>
    <n v="8"/>
    <n v="1"/>
    <n v="20"/>
  </r>
  <r>
    <n v="541"/>
    <s v="California"/>
    <s v="95126"/>
    <d v="2015-06-01T21:24:31"/>
    <d v="2015-06-02T11:52:33"/>
    <n v="2"/>
    <n v="0"/>
    <n v="2"/>
    <n v="2"/>
    <n v="1"/>
    <x v="2"/>
    <x v="14"/>
    <d v="2015-06-01T21:24:32"/>
    <n v="1"/>
    <n v="2"/>
    <n v="21"/>
  </r>
  <r>
    <n v="542"/>
    <s v="California"/>
    <s v="91335"/>
    <d v="2015-05-05T15:19:10"/>
    <d v="2015-05-05T15:19:14"/>
    <n v="1"/>
    <n v="0"/>
    <n v="2"/>
    <n v="2"/>
    <n v="1"/>
    <x v="0"/>
    <x v="2"/>
    <d v="2015-05-05T15:19:11"/>
    <n v="5"/>
    <n v="3"/>
    <n v="15"/>
  </r>
  <r>
    <n v="543"/>
    <s v="Alabama"/>
    <s v="35640"/>
    <d v="2015-03-24T14:16:09"/>
    <d v="2015-03-24T14:16:16"/>
    <n v="1"/>
    <n v="0"/>
    <n v="8"/>
    <n v="4"/>
    <n v="1"/>
    <x v="2"/>
    <x v="2"/>
    <d v="2015-03-24T14:16:10"/>
    <n v="24"/>
    <n v="3"/>
    <n v="14"/>
  </r>
  <r>
    <n v="544"/>
    <s v="Indiana"/>
    <s v="46544"/>
    <d v="2015-05-22T20:32:48"/>
    <d v="2015-05-22T16:33:03"/>
    <n v="1"/>
    <n v="6"/>
    <n v="6"/>
    <n v="2"/>
    <n v="1"/>
    <x v="1"/>
    <x v="10"/>
    <d v="2015-05-22T16:35:23"/>
    <n v="22"/>
    <n v="6"/>
    <n v="16"/>
  </r>
  <r>
    <n v="545"/>
    <s v="Florida"/>
    <s v="32750"/>
    <d v="2015-06-15T14:40:31"/>
    <d v="2015-06-15T14:40:34"/>
    <n v="1"/>
    <n v="0"/>
    <n v="4"/>
    <n v="2"/>
    <n v="1"/>
    <x v="8"/>
    <x v="21"/>
    <d v="2015-06-15T14:40:32"/>
    <n v="15"/>
    <n v="2"/>
    <n v="14"/>
  </r>
  <r>
    <n v="546"/>
    <m/>
    <m/>
    <d v="2015-04-03T21:26:35"/>
    <d v="2015-04-03T21:26:39"/>
    <n v="1"/>
    <n v="0"/>
    <n v="4"/>
    <n v="3"/>
    <n v="1"/>
    <x v="3"/>
    <x v="5"/>
    <d v="2015-04-03T21:29:13"/>
    <n v="3"/>
    <n v="6"/>
    <n v="21"/>
  </r>
  <r>
    <n v="547"/>
    <s v="Connecticut"/>
    <s v="06460"/>
    <d v="2015-01-29T10:08:45"/>
    <d v="2015-01-29T10:08:49"/>
    <n v="1"/>
    <n v="2"/>
    <n v="4"/>
    <n v="2"/>
    <n v="1"/>
    <x v="3"/>
    <x v="4"/>
    <d v="2015-01-29T10:08:46"/>
    <n v="29"/>
    <n v="5"/>
    <n v="10"/>
  </r>
  <r>
    <n v="548"/>
    <s v="Texas"/>
    <s v="75065"/>
    <d v="2015-04-04T15:58:06"/>
    <d v="2015-04-04T15:58:11"/>
    <n v="1"/>
    <n v="2"/>
    <n v="2"/>
    <n v="1"/>
    <n v="1"/>
    <x v="0"/>
    <x v="2"/>
    <d v="2015-04-04T15:58:07"/>
    <n v="4"/>
    <n v="7"/>
    <n v="15"/>
  </r>
  <r>
    <n v="549"/>
    <m/>
    <m/>
    <d v="2015-01-19T17:55:48"/>
    <d v="2015-01-19T17:55:55"/>
    <n v="1"/>
    <n v="1"/>
    <n v="4"/>
    <n v="2"/>
    <n v="1"/>
    <x v="3"/>
    <x v="4"/>
    <d v="2015-01-19T17:55:53"/>
    <n v="19"/>
    <n v="2"/>
    <n v="17"/>
  </r>
  <r>
    <n v="550"/>
    <s v="Iowa"/>
    <s v="50111"/>
    <d v="2015-06-16T04:23:32"/>
    <d v="2015-06-16T00:23:34"/>
    <n v="1"/>
    <n v="2"/>
    <n v="4"/>
    <n v="2"/>
    <n v="1"/>
    <x v="3"/>
    <x v="40"/>
    <d v="2015-06-16T00:26:43"/>
    <n v="16"/>
    <n v="3"/>
    <n v="0"/>
  </r>
  <r>
    <n v="551"/>
    <s v="Pennsylvania"/>
    <s v="19087"/>
    <d v="2015-07-12T01:22:27"/>
    <d v="2015-07-11T21:22:29"/>
    <n v="1"/>
    <n v="3"/>
    <n v="3"/>
    <n v="2"/>
    <n v="1"/>
    <x v="3"/>
    <x v="14"/>
    <d v="2015-07-11T21:25:58"/>
    <n v="11"/>
    <n v="7"/>
    <n v="21"/>
  </r>
  <r>
    <n v="552"/>
    <m/>
    <m/>
    <d v="2015-08-30T16:06:48"/>
    <d v="2015-08-30T16:06:49"/>
    <n v="1"/>
    <n v="2"/>
    <n v="8"/>
    <n v="4"/>
    <n v="1"/>
    <x v="2"/>
    <x v="14"/>
    <d v="2015-08-30T16:07:59"/>
    <n v="30"/>
    <n v="1"/>
    <n v="16"/>
  </r>
  <r>
    <n v="553"/>
    <s v="Pennsylvania"/>
    <s v="16134"/>
    <d v="2015-08-15T13:27:07"/>
    <d v="2015-08-15T09:27:11"/>
    <n v="1"/>
    <n v="7"/>
    <n v="10"/>
    <n v="3"/>
    <n v="1"/>
    <x v="0"/>
    <x v="0"/>
    <d v="2015-08-15T09:27:07"/>
    <n v="15"/>
    <n v="7"/>
    <n v="9"/>
  </r>
  <r>
    <n v="554"/>
    <s v="Illinois"/>
    <s v="60004"/>
    <d v="2015-05-10T00:48:52"/>
    <d v="2015-05-10T11:33:42"/>
    <n v="2"/>
    <n v="10"/>
    <n v="8"/>
    <n v="2"/>
    <n v="1"/>
    <x v="2"/>
    <x v="2"/>
    <d v="2015-05-10T00:48:53"/>
    <n v="10"/>
    <n v="1"/>
    <n v="0"/>
  </r>
  <r>
    <n v="555"/>
    <s v="Colorado"/>
    <s v="80016"/>
    <d v="2015-06-27T23:36:39"/>
    <d v="2015-06-27T23:36:43"/>
    <n v="1"/>
    <n v="0"/>
    <n v="2"/>
    <n v="3"/>
    <n v="1"/>
    <x v="0"/>
    <x v="2"/>
    <d v="2015-06-27T23:36:40"/>
    <n v="27"/>
    <n v="7"/>
    <n v="23"/>
  </r>
  <r>
    <n v="556"/>
    <s v="Minnesota"/>
    <s v="55417"/>
    <d v="2015-08-10T14:33:30"/>
    <d v="2015-08-10T14:33:33"/>
    <n v="1"/>
    <n v="0"/>
    <n v="2"/>
    <n v="2"/>
    <n v="1"/>
    <x v="0"/>
    <x v="6"/>
    <d v="2015-08-10T14:33:31"/>
    <n v="10"/>
    <n v="2"/>
    <n v="14"/>
  </r>
  <r>
    <n v="557"/>
    <m/>
    <m/>
    <d v="2015-06-02T17:44:10"/>
    <d v="2015-06-02T13:44:11"/>
    <n v="1"/>
    <n v="3"/>
    <n v="2"/>
    <n v="2"/>
    <n v="1"/>
    <x v="6"/>
    <x v="14"/>
    <d v="2015-06-02T13:59:35"/>
    <n v="2"/>
    <n v="3"/>
    <n v="13"/>
  </r>
  <r>
    <n v="558"/>
    <s v="Pennsylvania"/>
    <s v="19605"/>
    <d v="2015-09-07T15:13:36"/>
    <d v="2015-09-07T15:13:39"/>
    <n v="1"/>
    <n v="6"/>
    <n v="2"/>
    <n v="2"/>
    <n v="1"/>
    <x v="0"/>
    <x v="36"/>
    <d v="2015-09-07T15:13:36"/>
    <n v="7"/>
    <n v="2"/>
    <n v="15"/>
  </r>
  <r>
    <n v="560"/>
    <s v="Michigan"/>
    <s v="48186"/>
    <d v="2015-05-21T15:26:03"/>
    <d v="2015-05-21T11:26:05"/>
    <n v="1"/>
    <n v="4"/>
    <n v="6"/>
    <n v="7"/>
    <n v="1"/>
    <x v="0"/>
    <x v="2"/>
    <d v="2015-05-21T11:41:10"/>
    <n v="21"/>
    <n v="5"/>
    <n v="11"/>
  </r>
  <r>
    <n v="561"/>
    <s v="California"/>
    <s v="94061"/>
    <d v="2015-03-23T04:56:30"/>
    <d v="2015-03-23T04:56:34"/>
    <n v="1"/>
    <n v="8"/>
    <n v="6"/>
    <n v="2"/>
    <n v="1"/>
    <x v="2"/>
    <x v="2"/>
    <d v="2015-03-23T04:56:31"/>
    <n v="23"/>
    <n v="2"/>
    <n v="4"/>
  </r>
  <r>
    <n v="562"/>
    <s v="Indiana"/>
    <s v="47630"/>
    <d v="2015-02-28T20:33:30"/>
    <d v="2015-03-01T11:37:52"/>
    <n v="3"/>
    <n v="2"/>
    <n v="5"/>
    <n v="2"/>
    <n v="2"/>
    <x v="6"/>
    <x v="14"/>
    <d v="2015-02-28T20:33:31"/>
    <n v="28"/>
    <n v="7"/>
    <n v="20"/>
  </r>
  <r>
    <n v="563"/>
    <s v="Oregon"/>
    <s v="97080"/>
    <d v="2015-09-13T16:14:02"/>
    <d v="2015-09-13T12:14:08"/>
    <n v="1"/>
    <n v="2"/>
    <n v="4"/>
    <n v="2"/>
    <n v="1"/>
    <x v="3"/>
    <x v="90"/>
    <d v="2015-09-13T12:14:03"/>
    <n v="13"/>
    <n v="1"/>
    <n v="12"/>
  </r>
  <r>
    <n v="564"/>
    <s v="Tennessee"/>
    <s v="38120"/>
    <d v="2015-04-23T12:31:50"/>
    <d v="2015-04-23T12:32:05"/>
    <n v="1"/>
    <n v="0"/>
    <n v="1"/>
    <n v="1"/>
    <n v="1"/>
    <x v="0"/>
    <x v="21"/>
    <d v="2015-04-23T12:36:55"/>
    <n v="23"/>
    <n v="5"/>
    <n v="12"/>
  </r>
  <r>
    <n v="565"/>
    <s v="Wisconsin"/>
    <s v="54403"/>
    <d v="2015-07-12T19:31:19"/>
    <d v="2015-07-12T15:31:23"/>
    <n v="1"/>
    <n v="2"/>
    <n v="6"/>
    <n v="2"/>
    <n v="1"/>
    <x v="2"/>
    <x v="91"/>
    <d v="2015-07-12T15:31:20"/>
    <n v="12"/>
    <n v="1"/>
    <n v="15"/>
  </r>
  <r>
    <n v="567"/>
    <s v="New Jersey"/>
    <s v="07052"/>
    <d v="2015-01-18T20:02:21"/>
    <d v="2015-01-18T20:02:35"/>
    <n v="1"/>
    <n v="6"/>
    <n v="14"/>
    <n v="3"/>
    <n v="1"/>
    <x v="8"/>
    <x v="21"/>
    <d v="2015-01-18T20:02:22"/>
    <n v="18"/>
    <n v="1"/>
    <n v="20"/>
  </r>
  <r>
    <n v="568"/>
    <s v="North Carolina"/>
    <s v="27284"/>
    <d v="2015-03-22T09:08:27"/>
    <d v="2015-03-22T09:08:31"/>
    <n v="1"/>
    <n v="0"/>
    <n v="2"/>
    <n v="1"/>
    <n v="1"/>
    <x v="3"/>
    <x v="5"/>
    <d v="2015-03-22T09:08:28"/>
    <n v="22"/>
    <n v="1"/>
    <n v="9"/>
  </r>
  <r>
    <n v="569"/>
    <s v="Colorado"/>
    <s v="80443"/>
    <d v="2015-08-01T19:11:21"/>
    <d v="2015-08-01T19:11:24"/>
    <n v="1"/>
    <n v="14"/>
    <n v="2"/>
    <n v="4"/>
    <n v="1"/>
    <x v="0"/>
    <x v="6"/>
    <d v="2015-08-01T19:11:21"/>
    <n v="1"/>
    <n v="7"/>
    <n v="19"/>
  </r>
  <r>
    <n v="570"/>
    <s v="Texas"/>
    <s v="76034"/>
    <d v="2015-05-18T19:29:40"/>
    <d v="2015-05-18T19:29:43"/>
    <n v="1"/>
    <n v="0"/>
    <n v="2"/>
    <n v="2"/>
    <n v="1"/>
    <x v="2"/>
    <x v="2"/>
    <d v="2015-05-18T19:29:40"/>
    <n v="18"/>
    <n v="2"/>
    <n v="19"/>
  </r>
  <r>
    <n v="571"/>
    <s v="Massachusetts"/>
    <s v="02453"/>
    <d v="2015-04-30T09:14:25"/>
    <d v="2015-04-30T09:14:29"/>
    <n v="1"/>
    <n v="6"/>
    <n v="6"/>
    <n v="2"/>
    <n v="1"/>
    <x v="6"/>
    <x v="14"/>
    <d v="2015-04-30T09:14:26"/>
    <n v="30"/>
    <n v="5"/>
    <n v="9"/>
  </r>
  <r>
    <n v="572"/>
    <s v="Wisconsin"/>
    <s v="53228"/>
    <d v="2015-09-04T11:22:46"/>
    <d v="2015-09-04T11:22:49"/>
    <n v="1"/>
    <n v="2"/>
    <n v="2"/>
    <n v="2"/>
    <n v="1"/>
    <x v="0"/>
    <x v="83"/>
    <d v="2015-09-04T11:22:46"/>
    <n v="4"/>
    <n v="6"/>
    <n v="11"/>
  </r>
  <r>
    <n v="573"/>
    <s v="Maryland"/>
    <s v="21403"/>
    <d v="2015-01-02T02:27:15"/>
    <d v="2015-01-02T02:27:18"/>
    <n v="1"/>
    <n v="2"/>
    <n v="4"/>
    <n v="4"/>
    <n v="1"/>
    <x v="3"/>
    <x v="92"/>
    <d v="2015-01-02T02:27:16"/>
    <n v="2"/>
    <n v="6"/>
    <n v="2"/>
  </r>
  <r>
    <n v="574"/>
    <s v="Pennsylvania"/>
    <s v="15301"/>
    <d v="2015-06-11T15:34:48"/>
    <d v="2015-06-11T11:34:53"/>
    <n v="1"/>
    <n v="0"/>
    <n v="2"/>
    <n v="2"/>
    <n v="1"/>
    <x v="2"/>
    <x v="2"/>
    <d v="2015-06-11T11:34:50"/>
    <n v="11"/>
    <n v="5"/>
    <n v="11"/>
  </r>
  <r>
    <n v="575"/>
    <s v="Maryland"/>
    <s v="20910"/>
    <d v="2015-09-06T15:51:00"/>
    <d v="2015-09-06T11:51:04"/>
    <n v="1"/>
    <n v="4"/>
    <n v="2"/>
    <n v="2"/>
    <n v="1"/>
    <x v="0"/>
    <x v="82"/>
    <d v="2015-09-06T11:51:01"/>
    <n v="6"/>
    <n v="1"/>
    <n v="11"/>
  </r>
  <r>
    <n v="576"/>
    <m/>
    <m/>
    <d v="2015-08-30T21:55:26"/>
    <d v="2015-08-30T21:55:27"/>
    <n v="1"/>
    <n v="1"/>
    <n v="3"/>
    <n v="1"/>
    <n v="1"/>
    <x v="3"/>
    <x v="56"/>
    <d v="2015-08-30T21:59:30"/>
    <n v="30"/>
    <n v="1"/>
    <n v="21"/>
  </r>
  <r>
    <n v="577"/>
    <s v="Indiana"/>
    <s v="46250"/>
    <d v="2015-06-09T13:28:55"/>
    <d v="2015-06-09T09:29:01"/>
    <n v="1"/>
    <n v="0"/>
    <n v="2"/>
    <n v="2"/>
    <n v="1"/>
    <x v="0"/>
    <x v="1"/>
    <d v="2015-06-09T09:28:57"/>
    <n v="9"/>
    <n v="3"/>
    <n v="9"/>
  </r>
  <r>
    <n v="578"/>
    <m/>
    <m/>
    <d v="2015-03-08T18:12:08"/>
    <d v="2015-03-08T18:12:18"/>
    <n v="1"/>
    <n v="2"/>
    <n v="6"/>
    <n v="1"/>
    <n v="1"/>
    <x v="2"/>
    <x v="2"/>
    <d v="2015-03-08T18:12:11"/>
    <n v="8"/>
    <n v="1"/>
    <n v="18"/>
  </r>
  <r>
    <n v="579"/>
    <s v="Wisconsin"/>
    <s v="53593"/>
    <d v="2015-08-12T11:08:34"/>
    <d v="2015-08-12T11:08:37"/>
    <n v="1"/>
    <n v="6"/>
    <n v="2"/>
    <n v="2"/>
    <n v="1"/>
    <x v="0"/>
    <x v="6"/>
    <d v="2015-08-12T11:08:34"/>
    <n v="12"/>
    <n v="4"/>
    <n v="11"/>
  </r>
  <r>
    <n v="580"/>
    <s v="Kentucky"/>
    <s v="40014"/>
    <d v="2015-09-20T22:14:34"/>
    <d v="2015-09-20T22:14:38"/>
    <n v="1"/>
    <n v="8"/>
    <n v="6"/>
    <n v="4"/>
    <n v="1"/>
    <x v="1"/>
    <x v="93"/>
    <d v="2015-09-20T22:14:34"/>
    <n v="20"/>
    <n v="1"/>
    <n v="22"/>
  </r>
  <r>
    <n v="581"/>
    <s v="Arizona"/>
    <s v="85298"/>
    <d v="2015-01-27T12:01:57"/>
    <d v="2015-01-31T15:47:24"/>
    <n v="4"/>
    <n v="0"/>
    <n v="2"/>
    <n v="4"/>
    <n v="1"/>
    <x v="0"/>
    <x v="58"/>
    <d v="2015-01-27T12:01:58"/>
    <n v="27"/>
    <n v="3"/>
    <n v="12"/>
  </r>
  <r>
    <n v="582"/>
    <m/>
    <m/>
    <d v="2015-01-26T21:42:24"/>
    <d v="2015-01-30T19:58:24"/>
    <n v="2"/>
    <n v="2"/>
    <n v="2"/>
    <n v="3"/>
    <n v="1"/>
    <x v="0"/>
    <x v="1"/>
    <d v="2015-01-30T20:00:48"/>
    <n v="30"/>
    <n v="6"/>
    <n v="20"/>
  </r>
  <r>
    <n v="583"/>
    <s v="North Carolina"/>
    <s v="28173"/>
    <d v="2015-01-24T07:35:43"/>
    <d v="2015-02-05T20:56:14"/>
    <n v="2"/>
    <n v="2"/>
    <n v="7"/>
    <n v="6"/>
    <n v="2"/>
    <x v="6"/>
    <x v="5"/>
    <d v="2015-01-24T07:35:44"/>
    <n v="24"/>
    <n v="7"/>
    <n v="7"/>
  </r>
  <r>
    <n v="584"/>
    <s v="California"/>
    <s v="94002"/>
    <d v="2015-06-17T13:17:13"/>
    <d v="2015-06-17T13:17:17"/>
    <n v="1"/>
    <n v="4"/>
    <n v="4"/>
    <n v="3"/>
    <n v="1"/>
    <x v="0"/>
    <x v="1"/>
    <d v="2015-06-17T13:17:14"/>
    <n v="17"/>
    <n v="4"/>
    <n v="13"/>
  </r>
  <r>
    <n v="585"/>
    <s v="Arizona"/>
    <s v="85254"/>
    <d v="2015-02-23T22:50:39"/>
    <d v="2015-02-23T22:50:44"/>
    <n v="1"/>
    <n v="0"/>
    <n v="6"/>
    <n v="1"/>
    <n v="1"/>
    <x v="1"/>
    <x v="5"/>
    <d v="2015-02-23T22:50:40"/>
    <n v="23"/>
    <n v="2"/>
    <n v="22"/>
  </r>
  <r>
    <n v="586"/>
    <s v="Illinois"/>
    <s v="60189"/>
    <d v="2015-06-29T20:38:24"/>
    <d v="2015-06-29T16:38:31"/>
    <n v="1"/>
    <n v="10"/>
    <n v="12"/>
    <n v="2"/>
    <n v="1"/>
    <x v="14"/>
    <x v="23"/>
    <d v="2015-06-29T16:38:26"/>
    <n v="29"/>
    <n v="2"/>
    <n v="16"/>
  </r>
  <r>
    <n v="587"/>
    <m/>
    <m/>
    <d v="2015-02-15T08:21:21"/>
    <d v="2015-02-15T10:33:46"/>
    <n v="3"/>
    <n v="4"/>
    <n v="8"/>
    <n v="4"/>
    <n v="1"/>
    <x v="2"/>
    <x v="58"/>
    <d v="2015-02-15T10:37:36"/>
    <n v="15"/>
    <n v="1"/>
    <n v="10"/>
  </r>
  <r>
    <n v="588"/>
    <m/>
    <m/>
    <d v="2015-04-26T17:55:55"/>
    <d v="2015-04-26T17:55:58"/>
    <n v="1"/>
    <n v="2"/>
    <n v="3"/>
    <n v="1"/>
    <n v="1"/>
    <x v="3"/>
    <x v="21"/>
    <d v="2015-04-26T18:13:40"/>
    <n v="26"/>
    <n v="1"/>
    <n v="18"/>
  </r>
  <r>
    <n v="589"/>
    <s v="New York"/>
    <s v="10011"/>
    <d v="2015-02-06T18:43:52"/>
    <d v="2015-02-06T18:43:56"/>
    <n v="1"/>
    <n v="0"/>
    <n v="4"/>
    <n v="3"/>
    <n v="1"/>
    <x v="3"/>
    <x v="4"/>
    <d v="2015-02-06T18:43:53"/>
    <n v="6"/>
    <n v="6"/>
    <n v="18"/>
  </r>
  <r>
    <n v="590"/>
    <s v="South Carolina"/>
    <s v="29072"/>
    <d v="2015-01-27T17:50:40"/>
    <d v="2015-01-27T17:50:44"/>
    <n v="1"/>
    <n v="4"/>
    <n v="4"/>
    <n v="2"/>
    <n v="1"/>
    <x v="0"/>
    <x v="2"/>
    <d v="2015-01-27T17:50:42"/>
    <n v="27"/>
    <n v="3"/>
    <n v="17"/>
  </r>
  <r>
    <n v="591"/>
    <m/>
    <m/>
    <d v="2015-07-06T20:26:12"/>
    <d v="2015-07-07T08:19:44"/>
    <n v="2"/>
    <n v="10"/>
    <n v="22"/>
    <n v="13"/>
    <n v="1"/>
    <x v="6"/>
    <x v="50"/>
    <d v="2015-07-07T08:28:18"/>
    <n v="7"/>
    <n v="3"/>
    <n v="8"/>
  </r>
  <r>
    <n v="592"/>
    <s v="California"/>
    <s v="90807"/>
    <d v="2015-09-11T00:33:12"/>
    <d v="2015-09-11T00:33:15"/>
    <n v="1"/>
    <n v="2"/>
    <n v="2"/>
    <n v="3"/>
    <n v="1"/>
    <x v="0"/>
    <x v="6"/>
    <d v="2015-09-11T00:33:12"/>
    <n v="11"/>
    <n v="6"/>
    <n v="0"/>
  </r>
  <r>
    <n v="593"/>
    <s v="California"/>
    <s v="92782"/>
    <d v="2015-09-09T15:54:13"/>
    <d v="2015-09-09T15:54:17"/>
    <n v="1"/>
    <n v="0"/>
    <n v="2"/>
    <n v="2"/>
    <n v="1"/>
    <x v="0"/>
    <x v="0"/>
    <d v="2015-09-09T15:54:13"/>
    <n v="9"/>
    <n v="4"/>
    <n v="15"/>
  </r>
  <r>
    <n v="594"/>
    <s v="Connecticut"/>
    <s v="06492"/>
    <d v="2015-02-27T19:55:49"/>
    <d v="2015-03-10T18:04:40"/>
    <n v="3"/>
    <n v="6"/>
    <n v="14"/>
    <n v="3"/>
    <n v="1"/>
    <x v="4"/>
    <x v="85"/>
    <d v="2015-02-27T19:55:50"/>
    <n v="27"/>
    <n v="6"/>
    <n v="19"/>
  </r>
  <r>
    <n v="595"/>
    <s v="District of Columbia"/>
    <s v="20005"/>
    <d v="2015-05-03T16:24:37"/>
    <d v="2015-05-03T16:24:40"/>
    <n v="1"/>
    <n v="4"/>
    <n v="8"/>
    <n v="1"/>
    <n v="1"/>
    <x v="3"/>
    <x v="23"/>
    <d v="2015-05-03T16:24:38"/>
    <n v="3"/>
    <n v="1"/>
    <n v="16"/>
  </r>
  <r>
    <n v="596"/>
    <m/>
    <m/>
    <d v="2015-05-19T22:12:07"/>
    <d v="2015-05-19T18:12:09"/>
    <n v="1"/>
    <n v="4"/>
    <n v="4"/>
    <n v="2"/>
    <n v="1"/>
    <x v="0"/>
    <x v="21"/>
    <d v="2015-05-19T18:15:34"/>
    <n v="19"/>
    <n v="3"/>
    <n v="18"/>
  </r>
  <r>
    <n v="597"/>
    <s v="Kentucky"/>
    <s v="40503"/>
    <d v="2015-06-05T11:37:17"/>
    <d v="2015-06-05T16:16:41"/>
    <n v="3"/>
    <n v="2"/>
    <n v="4"/>
    <n v="2"/>
    <n v="2"/>
    <x v="2"/>
    <x v="4"/>
    <d v="2015-06-05T11:37:18"/>
    <n v="5"/>
    <n v="6"/>
    <n v="11"/>
  </r>
  <r>
    <n v="598"/>
    <m/>
    <m/>
    <d v="2015-08-28T11:40:43"/>
    <d v="2015-08-28T11:40:47"/>
    <n v="1"/>
    <n v="31"/>
    <n v="8"/>
    <n v="6"/>
    <n v="1"/>
    <x v="1"/>
    <x v="94"/>
    <d v="2015-08-28T11:43:35"/>
    <n v="28"/>
    <n v="6"/>
    <n v="11"/>
  </r>
  <r>
    <n v="599"/>
    <s v="South Carolina"/>
    <s v="29180"/>
    <d v="2015-03-14T09:02:04"/>
    <d v="2015-03-14T09:02:09"/>
    <n v="1"/>
    <n v="0"/>
    <n v="8"/>
    <n v="2"/>
    <n v="1"/>
    <x v="2"/>
    <x v="14"/>
    <d v="2015-03-14T09:02:05"/>
    <n v="14"/>
    <n v="7"/>
    <n v="9"/>
  </r>
  <r>
    <n v="600"/>
    <m/>
    <m/>
    <d v="2015-01-20T09:26:12"/>
    <d v="2015-01-20T09:26:15"/>
    <n v="1"/>
    <n v="0"/>
    <n v="4"/>
    <n v="10"/>
    <n v="1"/>
    <x v="2"/>
    <x v="2"/>
    <d v="2015-01-20T09:27:46"/>
    <n v="20"/>
    <n v="3"/>
    <n v="9"/>
  </r>
  <r>
    <n v="602"/>
    <s v="Maryland"/>
    <s v="21102"/>
    <d v="2015-07-22T02:31:28"/>
    <d v="2015-07-21T22:31:32"/>
    <n v="1"/>
    <n v="0"/>
    <n v="2"/>
    <n v="2"/>
    <n v="1"/>
    <x v="0"/>
    <x v="83"/>
    <d v="2015-07-21T22:31:29"/>
    <n v="21"/>
    <n v="3"/>
    <n v="22"/>
  </r>
  <r>
    <n v="603"/>
    <s v="Michigan"/>
    <s v="49418"/>
    <d v="2015-03-20T08:18:47"/>
    <d v="2015-03-20T08:18:53"/>
    <n v="1"/>
    <n v="4"/>
    <n v="8"/>
    <n v="2"/>
    <n v="1"/>
    <x v="2"/>
    <x v="2"/>
    <d v="2015-03-20T08:18:48"/>
    <n v="20"/>
    <n v="6"/>
    <n v="8"/>
  </r>
  <r>
    <n v="604"/>
    <s v="Georgia"/>
    <s v="30141"/>
    <d v="2015-05-18T08:27:41"/>
    <d v="2015-05-18T08:27:47"/>
    <n v="1"/>
    <n v="4"/>
    <n v="2"/>
    <n v="2"/>
    <n v="1"/>
    <x v="0"/>
    <x v="2"/>
    <d v="2015-05-18T08:27:42"/>
    <n v="18"/>
    <n v="2"/>
    <n v="8"/>
  </r>
  <r>
    <n v="605"/>
    <s v="Pennsylvania"/>
    <s v="17815"/>
    <d v="2015-07-09T20:15:15"/>
    <d v="2015-07-09T16:15:19"/>
    <n v="1"/>
    <n v="0"/>
    <n v="2"/>
    <n v="2"/>
    <n v="1"/>
    <x v="0"/>
    <x v="2"/>
    <d v="2015-07-09T16:15:16"/>
    <n v="9"/>
    <n v="5"/>
    <n v="16"/>
  </r>
  <r>
    <n v="606"/>
    <s v="Wisconsin"/>
    <s v="54956"/>
    <d v="2015-04-19T22:06:24"/>
    <d v="2015-04-19T22:06:29"/>
    <n v="1"/>
    <n v="0"/>
    <n v="4"/>
    <n v="3"/>
    <n v="1"/>
    <x v="3"/>
    <x v="5"/>
    <d v="2015-04-19T22:06:25"/>
    <n v="19"/>
    <n v="1"/>
    <n v="22"/>
  </r>
  <r>
    <n v="607"/>
    <s v="Wisconsin"/>
    <s v="53211"/>
    <d v="2015-06-19T01:12:10"/>
    <d v="2015-06-18T21:12:14"/>
    <n v="1"/>
    <n v="2"/>
    <n v="4"/>
    <n v="2"/>
    <n v="1"/>
    <x v="2"/>
    <x v="1"/>
    <d v="2015-06-18T21:12:12"/>
    <n v="18"/>
    <n v="5"/>
    <n v="21"/>
  </r>
  <r>
    <n v="608"/>
    <m/>
    <m/>
    <d v="2015-07-25T19:15:34"/>
    <d v="2015-07-25T15:15:35"/>
    <n v="1"/>
    <n v="2"/>
    <n v="2"/>
    <n v="1"/>
    <n v="1"/>
    <x v="3"/>
    <x v="56"/>
    <d v="2015-07-25T15:27:14"/>
    <n v="25"/>
    <n v="7"/>
    <n v="15"/>
  </r>
  <r>
    <n v="609"/>
    <s v="Missouri"/>
    <s v="63139"/>
    <d v="2015-02-19T18:59:41"/>
    <d v="2015-02-22T16:54:07"/>
    <n v="4"/>
    <n v="2"/>
    <n v="4"/>
    <n v="4"/>
    <n v="1"/>
    <x v="0"/>
    <x v="2"/>
    <d v="2015-02-19T18:59:42"/>
    <n v="19"/>
    <n v="5"/>
    <n v="18"/>
  </r>
  <r>
    <n v="610"/>
    <s v="Texas"/>
    <s v="77651"/>
    <d v="2015-08-14T11:28:48"/>
    <d v="2015-08-14T07:28:53"/>
    <n v="1"/>
    <n v="0"/>
    <n v="6"/>
    <n v="2"/>
    <n v="1"/>
    <x v="2"/>
    <x v="22"/>
    <d v="2015-08-14T07:28:49"/>
    <n v="14"/>
    <n v="6"/>
    <n v="7"/>
  </r>
  <r>
    <n v="611"/>
    <s v="Michigan"/>
    <s v="48323"/>
    <d v="2015-01-15T13:07:50"/>
    <d v="2015-01-15T13:07:56"/>
    <n v="1"/>
    <n v="0"/>
    <n v="4"/>
    <n v="2"/>
    <n v="1"/>
    <x v="3"/>
    <x v="4"/>
    <d v="2015-01-15T13:07:53"/>
    <n v="15"/>
    <n v="5"/>
    <n v="13"/>
  </r>
  <r>
    <n v="612"/>
    <s v="California"/>
    <s v="94558"/>
    <d v="2015-07-29T20:11:14"/>
    <d v="2015-07-29T20:11:19"/>
    <n v="1"/>
    <n v="2"/>
    <n v="4"/>
    <n v="2"/>
    <n v="1"/>
    <x v="3"/>
    <x v="95"/>
    <d v="2015-07-29T20:11:14"/>
    <n v="29"/>
    <n v="4"/>
    <n v="20"/>
  </r>
  <r>
    <n v="613"/>
    <s v="Ohio"/>
    <s v="43214"/>
    <d v="2015-03-11T02:00:35"/>
    <d v="2015-03-11T02:00:40"/>
    <n v="1"/>
    <n v="0"/>
    <n v="6"/>
    <n v="1"/>
    <n v="1"/>
    <x v="3"/>
    <x v="13"/>
    <d v="2015-03-11T02:00:36"/>
    <n v="11"/>
    <n v="4"/>
    <n v="2"/>
  </r>
  <r>
    <n v="614"/>
    <s v="California"/>
    <s v="94041"/>
    <d v="2015-06-29T14:35:34"/>
    <d v="2015-06-29T14:35:38"/>
    <n v="1"/>
    <n v="8"/>
    <n v="4"/>
    <n v="3"/>
    <n v="1"/>
    <x v="0"/>
    <x v="21"/>
    <d v="2015-06-29T14:35:35"/>
    <n v="29"/>
    <n v="2"/>
    <n v="14"/>
  </r>
  <r>
    <n v="615"/>
    <s v="Colorado"/>
    <s v="80021"/>
    <d v="2015-08-15T04:41:25"/>
    <d v="2015-08-16T16:05:08"/>
    <n v="4"/>
    <n v="3"/>
    <n v="4"/>
    <n v="3"/>
    <n v="1"/>
    <x v="0"/>
    <x v="82"/>
    <d v="2015-08-16T16:06:22"/>
    <n v="16"/>
    <n v="1"/>
    <n v="16"/>
  </r>
  <r>
    <n v="616"/>
    <s v="Texas"/>
    <s v="78734"/>
    <d v="2015-09-06T10:54:02"/>
    <d v="2015-09-06T10:54:05"/>
    <n v="1"/>
    <n v="2"/>
    <n v="2"/>
    <n v="3"/>
    <n v="1"/>
    <x v="3"/>
    <x v="56"/>
    <d v="2015-09-06T10:54:02"/>
    <n v="6"/>
    <n v="1"/>
    <n v="10"/>
  </r>
  <r>
    <n v="617"/>
    <s v="Wisconsin"/>
    <s v="53711"/>
    <d v="2015-01-26T18:51:26"/>
    <d v="2015-01-26T18:51:31"/>
    <n v="1"/>
    <n v="0"/>
    <n v="8"/>
    <n v="2"/>
    <n v="1"/>
    <x v="2"/>
    <x v="2"/>
    <d v="2015-01-26T18:51:27"/>
    <n v="26"/>
    <n v="2"/>
    <n v="18"/>
  </r>
  <r>
    <n v="618"/>
    <s v="Florida"/>
    <s v="33324"/>
    <d v="2015-08-10T15:22:23"/>
    <d v="2015-08-10T15:22:26"/>
    <n v="1"/>
    <n v="4"/>
    <n v="4"/>
    <n v="2"/>
    <n v="1"/>
    <x v="3"/>
    <x v="56"/>
    <d v="2015-08-10T15:22:23"/>
    <n v="10"/>
    <n v="2"/>
    <n v="15"/>
  </r>
  <r>
    <n v="619"/>
    <s v="South Carolina"/>
    <s v="29605"/>
    <d v="2015-04-19T17:01:58"/>
    <d v="2015-04-19T17:02:03"/>
    <n v="1"/>
    <n v="2"/>
    <n v="14"/>
    <n v="1"/>
    <n v="1"/>
    <x v="12"/>
    <x v="9"/>
    <d v="2015-04-19T17:01:59"/>
    <n v="19"/>
    <n v="1"/>
    <n v="17"/>
  </r>
  <r>
    <n v="620"/>
    <s v="Michigan"/>
    <s v="48072"/>
    <d v="2015-02-23T18:32:34"/>
    <d v="2015-02-23T18:32:40"/>
    <n v="1"/>
    <n v="0"/>
    <n v="8"/>
    <n v="1"/>
    <n v="1"/>
    <x v="2"/>
    <x v="2"/>
    <d v="2015-02-23T18:32:35"/>
    <n v="23"/>
    <n v="2"/>
    <n v="18"/>
  </r>
  <r>
    <n v="621"/>
    <s v="Texas"/>
    <s v="75070"/>
    <d v="2015-01-30T17:15:37"/>
    <d v="2015-02-02T08:40:37"/>
    <n v="2"/>
    <n v="0"/>
    <n v="5"/>
    <n v="3"/>
    <n v="1"/>
    <x v="3"/>
    <x v="4"/>
    <d v="2015-01-30T17:15:39"/>
    <n v="30"/>
    <n v="6"/>
    <n v="17"/>
  </r>
  <r>
    <n v="622"/>
    <s v="Maryland"/>
    <s v="21215"/>
    <d v="2015-02-01T13:52:49"/>
    <d v="2015-02-01T13:52:55"/>
    <n v="1"/>
    <n v="0"/>
    <n v="6"/>
    <n v="2"/>
    <n v="1"/>
    <x v="3"/>
    <x v="4"/>
    <d v="2015-02-01T13:52:51"/>
    <n v="1"/>
    <n v="1"/>
    <n v="13"/>
  </r>
  <r>
    <n v="623"/>
    <s v="Oklahoma"/>
    <s v="73064"/>
    <d v="2015-07-09T16:18:26"/>
    <d v="2015-07-09T16:18:29"/>
    <n v="1"/>
    <n v="4"/>
    <n v="4"/>
    <n v="2"/>
    <n v="1"/>
    <x v="0"/>
    <x v="2"/>
    <d v="2015-07-09T16:18:26"/>
    <n v="9"/>
    <n v="5"/>
    <n v="16"/>
  </r>
  <r>
    <n v="624"/>
    <s v="Ohio"/>
    <s v="44030"/>
    <d v="2015-05-29T15:24:03"/>
    <d v="2015-05-30T08:06:34"/>
    <n v="3"/>
    <n v="0"/>
    <n v="2"/>
    <n v="2"/>
    <n v="1"/>
    <x v="0"/>
    <x v="23"/>
    <d v="2015-05-29T15:24:03"/>
    <n v="29"/>
    <n v="6"/>
    <n v="15"/>
  </r>
  <r>
    <n v="625"/>
    <s v="California"/>
    <s v="94619"/>
    <d v="2015-05-21T22:51:29"/>
    <d v="2015-05-21T22:51:32"/>
    <n v="1"/>
    <n v="0"/>
    <n v="4"/>
    <n v="2"/>
    <n v="1"/>
    <x v="3"/>
    <x v="5"/>
    <d v="2015-05-21T22:51:30"/>
    <n v="21"/>
    <n v="5"/>
    <n v="22"/>
  </r>
  <r>
    <n v="626"/>
    <s v="California"/>
    <s v="91977"/>
    <d v="2015-03-03T02:42:18"/>
    <d v="2015-03-08T05:10:41"/>
    <n v="9"/>
    <n v="2"/>
    <n v="8"/>
    <n v="4"/>
    <n v="1"/>
    <x v="2"/>
    <x v="1"/>
    <d v="2015-03-03T02:42:19"/>
    <n v="3"/>
    <n v="3"/>
    <n v="2"/>
  </r>
  <r>
    <n v="628"/>
    <s v="Connecticut"/>
    <s v="06516"/>
    <d v="2015-05-19T02:32:32"/>
    <d v="2015-05-18T22:32:35"/>
    <n v="1"/>
    <n v="2"/>
    <n v="10"/>
    <n v="4"/>
    <n v="1"/>
    <x v="8"/>
    <x v="21"/>
    <d v="2015-05-18T22:36:21"/>
    <n v="18"/>
    <n v="2"/>
    <n v="22"/>
  </r>
  <r>
    <n v="629"/>
    <s v="New Jersey"/>
    <s v="07001"/>
    <d v="2015-07-14T13:47:07"/>
    <d v="2015-07-14T13:47:12"/>
    <n v="1"/>
    <n v="1"/>
    <n v="3"/>
    <n v="2"/>
    <n v="1"/>
    <x v="0"/>
    <x v="82"/>
    <d v="2015-07-14T13:47:08"/>
    <n v="14"/>
    <n v="3"/>
    <n v="13"/>
  </r>
  <r>
    <n v="631"/>
    <s v="Indiana"/>
    <s v="46142"/>
    <d v="2015-02-26T08:52:14"/>
    <d v="2015-02-26T08:52:17"/>
    <n v="1"/>
    <n v="0"/>
    <n v="2"/>
    <n v="1"/>
    <n v="1"/>
    <x v="0"/>
    <x v="21"/>
    <d v="2015-02-26T08:52:15"/>
    <n v="26"/>
    <n v="5"/>
    <n v="8"/>
  </r>
  <r>
    <n v="632"/>
    <m/>
    <m/>
    <d v="2015-07-03T16:34:26"/>
    <d v="2015-07-03T12:34:28"/>
    <n v="1"/>
    <n v="4"/>
    <n v="12"/>
    <n v="5"/>
    <n v="1"/>
    <x v="5"/>
    <x v="10"/>
    <d v="2015-07-03T12:37:07"/>
    <n v="3"/>
    <n v="6"/>
    <n v="12"/>
  </r>
  <r>
    <n v="634"/>
    <s v="New Hampshire"/>
    <s v="03063"/>
    <d v="2015-08-11T02:07:49"/>
    <d v="2015-08-10T22:07:53"/>
    <n v="1"/>
    <n v="4"/>
    <n v="2"/>
    <n v="2"/>
    <n v="1"/>
    <x v="0"/>
    <x v="82"/>
    <d v="2015-08-10T22:07:50"/>
    <n v="10"/>
    <n v="2"/>
    <n v="22"/>
  </r>
  <r>
    <n v="635"/>
    <s v="Iowa"/>
    <s v="52722"/>
    <d v="2015-02-10T12:41:19"/>
    <d v="2015-02-10T12:41:23"/>
    <n v="1"/>
    <n v="2"/>
    <n v="2"/>
    <n v="1"/>
    <n v="1"/>
    <x v="0"/>
    <x v="65"/>
    <d v="2015-02-10T12:41:21"/>
    <n v="10"/>
    <n v="3"/>
    <n v="12"/>
  </r>
  <r>
    <n v="636"/>
    <s v="Washington"/>
    <s v="98112"/>
    <d v="2015-09-03T23:53:35"/>
    <d v="2015-09-03T19:53:39"/>
    <n v="1"/>
    <n v="4"/>
    <n v="2"/>
    <n v="2"/>
    <n v="1"/>
    <x v="0"/>
    <x v="6"/>
    <d v="2015-09-03T19:53:35"/>
    <n v="3"/>
    <n v="5"/>
    <n v="19"/>
  </r>
  <r>
    <n v="637"/>
    <s v="Texas"/>
    <s v="77450"/>
    <d v="2015-02-14T19:26:11"/>
    <d v="2015-02-14T19:26:16"/>
    <n v="1"/>
    <n v="2"/>
    <n v="4"/>
    <n v="2"/>
    <n v="1"/>
    <x v="3"/>
    <x v="4"/>
    <d v="2015-02-14T19:26:12"/>
    <n v="14"/>
    <n v="7"/>
    <n v="19"/>
  </r>
  <r>
    <n v="638"/>
    <s v="California"/>
    <s v="90245"/>
    <d v="2015-06-08T17:59:18"/>
    <d v="2015-06-08T16:35:25"/>
    <n v="3"/>
    <n v="1"/>
    <n v="6"/>
    <n v="4"/>
    <n v="1"/>
    <x v="2"/>
    <x v="14"/>
    <d v="2015-06-08T14:02:41"/>
    <n v="8"/>
    <n v="2"/>
    <n v="14"/>
  </r>
  <r>
    <n v="639"/>
    <s v="New York"/>
    <s v="13066"/>
    <d v="2015-07-06T14:12:25"/>
    <d v="2015-07-06T10:12:29"/>
    <n v="1"/>
    <n v="4"/>
    <n v="2"/>
    <n v="2"/>
    <n v="1"/>
    <x v="0"/>
    <x v="2"/>
    <d v="2015-07-06T10:12:26"/>
    <n v="6"/>
    <n v="2"/>
    <n v="10"/>
  </r>
  <r>
    <n v="640"/>
    <s v="Virginia"/>
    <s v="20147"/>
    <d v="2015-02-23T20:30:10"/>
    <d v="2015-03-03T18:34:34"/>
    <n v="4"/>
    <n v="0"/>
    <n v="15"/>
    <n v="4"/>
    <n v="2"/>
    <x v="15"/>
    <x v="23"/>
    <d v="2015-02-23T20:33:25"/>
    <n v="23"/>
    <n v="2"/>
    <n v="20"/>
  </r>
  <r>
    <n v="641"/>
    <s v="Idaho"/>
    <s v="83646"/>
    <d v="2015-07-20T01:19:12"/>
    <d v="2015-07-20T01:19:16"/>
    <n v="1"/>
    <n v="2"/>
    <n v="2"/>
    <n v="3"/>
    <n v="1"/>
    <x v="0"/>
    <x v="6"/>
    <d v="2015-07-20T01:19:13"/>
    <n v="20"/>
    <n v="2"/>
    <n v="1"/>
  </r>
  <r>
    <n v="642"/>
    <s v="Colorado"/>
    <s v="80219"/>
    <d v="2015-08-08T12:22:09"/>
    <d v="2015-08-08T08:22:15"/>
    <n v="1"/>
    <n v="16"/>
    <n v="12"/>
    <n v="2"/>
    <n v="1"/>
    <x v="2"/>
    <x v="14"/>
    <d v="2015-08-08T08:22:10"/>
    <n v="8"/>
    <n v="7"/>
    <n v="8"/>
  </r>
  <r>
    <n v="643"/>
    <s v="Illinois"/>
    <s v="60062"/>
    <d v="2015-02-23T10:49:39"/>
    <d v="2015-02-23T10:49:43"/>
    <n v="1"/>
    <n v="0"/>
    <n v="6"/>
    <n v="1"/>
    <n v="1"/>
    <x v="2"/>
    <x v="2"/>
    <d v="2015-02-23T10:49:39"/>
    <n v="23"/>
    <n v="2"/>
    <n v="10"/>
  </r>
  <r>
    <n v="644"/>
    <s v="Massachusetts"/>
    <s v="01746"/>
    <d v="2015-07-13T17:05:51"/>
    <d v="2015-07-13T17:05:55"/>
    <n v="1"/>
    <n v="4"/>
    <n v="8"/>
    <n v="2"/>
    <n v="1"/>
    <x v="2"/>
    <x v="2"/>
    <d v="2015-07-13T17:05:51"/>
    <n v="13"/>
    <n v="2"/>
    <n v="17"/>
  </r>
  <r>
    <n v="645"/>
    <s v="Pennsylvania"/>
    <s v="15239"/>
    <d v="2015-06-12T23:52:37"/>
    <d v="2015-06-12T19:52:41"/>
    <n v="1"/>
    <n v="6"/>
    <n v="6"/>
    <n v="2"/>
    <n v="1"/>
    <x v="2"/>
    <x v="1"/>
    <d v="2015-06-12T19:52:38"/>
    <n v="12"/>
    <n v="6"/>
    <n v="19"/>
  </r>
  <r>
    <n v="646"/>
    <s v="Wisconsin"/>
    <s v="54935"/>
    <d v="2015-09-17T15:36:28"/>
    <d v="2015-09-17T11:36:32"/>
    <n v="1"/>
    <n v="8"/>
    <n v="6"/>
    <n v="2"/>
    <n v="1"/>
    <x v="0"/>
    <x v="65"/>
    <d v="2015-09-17T11:36:29"/>
    <n v="17"/>
    <n v="5"/>
    <n v="11"/>
  </r>
  <r>
    <n v="647"/>
    <s v="Texas"/>
    <s v="78757"/>
    <d v="2015-03-12T03:05:38"/>
    <d v="2015-03-12T03:05:42"/>
    <n v="1"/>
    <n v="0"/>
    <n v="4"/>
    <n v="1"/>
    <n v="1"/>
    <x v="3"/>
    <x v="13"/>
    <d v="2015-03-12T03:05:39"/>
    <n v="12"/>
    <n v="5"/>
    <n v="3"/>
  </r>
  <r>
    <n v="648"/>
    <s v="Minnesota"/>
    <s v="55318"/>
    <d v="2015-06-29T18:04:04"/>
    <d v="2015-07-01T15:35:20"/>
    <n v="6"/>
    <n v="2"/>
    <n v="4"/>
    <n v="4"/>
    <n v="1"/>
    <x v="3"/>
    <x v="21"/>
    <d v="2015-06-29T14:04:05"/>
    <n v="29"/>
    <n v="2"/>
    <n v="14"/>
  </r>
  <r>
    <n v="649"/>
    <s v="Georgia"/>
    <s v="30152"/>
    <d v="2015-06-11T17:54:47"/>
    <d v="2015-06-12T02:19:07"/>
    <n v="5"/>
    <n v="5"/>
    <n v="3"/>
    <n v="7"/>
    <n v="2"/>
    <x v="3"/>
    <x v="14"/>
    <d v="2015-06-11T13:56:54"/>
    <n v="11"/>
    <n v="5"/>
    <n v="13"/>
  </r>
  <r>
    <n v="650"/>
    <s v="Michigan"/>
    <s v="48823"/>
    <d v="2015-07-02T17:42:33"/>
    <d v="2015-07-02T17:42:37"/>
    <n v="1"/>
    <n v="6"/>
    <n v="6"/>
    <n v="2"/>
    <n v="1"/>
    <x v="4"/>
    <x v="85"/>
    <d v="2015-07-02T17:42:34"/>
    <n v="2"/>
    <n v="5"/>
    <n v="17"/>
  </r>
  <r>
    <n v="652"/>
    <s v="Connecticut"/>
    <s v="06903"/>
    <d v="2015-03-09T19:40:43"/>
    <d v="2015-03-09T19:40:50"/>
    <n v="1"/>
    <n v="0"/>
    <n v="4"/>
    <n v="1"/>
    <n v="1"/>
    <x v="0"/>
    <x v="2"/>
    <d v="2015-03-09T19:40:45"/>
    <n v="9"/>
    <n v="2"/>
    <n v="19"/>
  </r>
  <r>
    <n v="653"/>
    <m/>
    <m/>
    <d v="2015-07-15T01:50:58"/>
    <d v="2015-07-14T21:50:59"/>
    <n v="1"/>
    <n v="2"/>
    <n v="2"/>
    <n v="2"/>
    <n v="1"/>
    <x v="3"/>
    <x v="96"/>
    <d v="2015-07-14T21:55:20"/>
    <n v="14"/>
    <n v="3"/>
    <n v="21"/>
  </r>
  <r>
    <n v="654"/>
    <s v="California"/>
    <s v="90025"/>
    <d v="2015-05-21T17:26:38"/>
    <d v="2015-05-21T17:26:41"/>
    <n v="1"/>
    <n v="4"/>
    <n v="4"/>
    <n v="4"/>
    <n v="1"/>
    <x v="3"/>
    <x v="13"/>
    <d v="2015-05-21T17:26:38"/>
    <n v="21"/>
    <n v="5"/>
    <n v="17"/>
  </r>
  <r>
    <n v="655"/>
    <s v="South Carolina"/>
    <s v="29707"/>
    <d v="2015-03-12T11:58:15"/>
    <d v="2015-03-12T11:58:23"/>
    <n v="1"/>
    <n v="0"/>
    <n v="4"/>
    <n v="1"/>
    <n v="1"/>
    <x v="3"/>
    <x v="4"/>
    <d v="2015-03-12T11:58:16"/>
    <n v="12"/>
    <n v="5"/>
    <n v="11"/>
  </r>
  <r>
    <n v="656"/>
    <s v="Iowa"/>
    <s v="50401"/>
    <d v="2015-01-29T20:07:23"/>
    <d v="2015-01-29T20:07:27"/>
    <n v="1"/>
    <n v="0"/>
    <n v="4"/>
    <n v="1"/>
    <n v="1"/>
    <x v="3"/>
    <x v="5"/>
    <d v="2015-01-29T20:07:24"/>
    <n v="29"/>
    <n v="5"/>
    <n v="20"/>
  </r>
  <r>
    <n v="657"/>
    <s v="Michigan"/>
    <s v="49507"/>
    <d v="2015-08-14T18:04:40"/>
    <d v="2015-08-14T18:04:43"/>
    <n v="1"/>
    <n v="6"/>
    <n v="8"/>
    <n v="2"/>
    <n v="1"/>
    <x v="2"/>
    <x v="14"/>
    <d v="2015-08-14T18:04:40"/>
    <n v="14"/>
    <n v="6"/>
    <n v="18"/>
  </r>
  <r>
    <n v="658"/>
    <s v="Michigan"/>
    <s v="48169"/>
    <d v="2015-08-28T17:47:56"/>
    <d v="2015-08-28T13:48:00"/>
    <n v="1"/>
    <n v="4"/>
    <n v="2"/>
    <n v="2"/>
    <n v="1"/>
    <x v="0"/>
    <x v="0"/>
    <d v="2015-08-28T13:47:57"/>
    <n v="28"/>
    <n v="6"/>
    <n v="13"/>
  </r>
  <r>
    <n v="659"/>
    <s v="Illinois"/>
    <s v="61103"/>
    <d v="2015-03-03T12:28:25"/>
    <d v="2015-03-03T12:28:30"/>
    <n v="1"/>
    <n v="4"/>
    <n v="4"/>
    <n v="1"/>
    <n v="1"/>
    <x v="2"/>
    <x v="2"/>
    <d v="2015-03-03T12:28:26"/>
    <n v="3"/>
    <n v="3"/>
    <n v="12"/>
  </r>
  <r>
    <n v="660"/>
    <m/>
    <m/>
    <d v="2015-07-28T01:57:37"/>
    <d v="2015-07-27T21:57:37"/>
    <n v="1"/>
    <n v="2"/>
    <n v="5"/>
    <n v="3"/>
    <n v="1"/>
    <x v="2"/>
    <x v="38"/>
    <d v="2015-07-27T22:07:55"/>
    <n v="27"/>
    <n v="2"/>
    <n v="22"/>
  </r>
  <r>
    <n v="661"/>
    <s v="Texas"/>
    <s v="75024"/>
    <d v="2015-08-04T15:40:55"/>
    <d v="2015-08-04T11:40:56"/>
    <n v="1"/>
    <n v="4"/>
    <n v="8"/>
    <n v="8"/>
    <n v="1"/>
    <x v="3"/>
    <x v="56"/>
    <d v="2015-08-04T11:45:38"/>
    <n v="4"/>
    <n v="3"/>
    <n v="11"/>
  </r>
  <r>
    <n v="662"/>
    <s v="California"/>
    <s v="92705"/>
    <d v="2015-01-17T11:27:33"/>
    <d v="2015-01-22T13:19:46"/>
    <n v="3"/>
    <n v="0"/>
    <n v="6"/>
    <n v="3"/>
    <n v="1"/>
    <x v="1"/>
    <x v="5"/>
    <d v="2015-01-17T11:27:35"/>
    <n v="17"/>
    <n v="7"/>
    <n v="11"/>
  </r>
  <r>
    <n v="663"/>
    <s v="Washington"/>
    <s v="98027"/>
    <d v="2015-08-29T16:19:40"/>
    <d v="2015-08-29T12:19:45"/>
    <n v="1"/>
    <n v="2"/>
    <n v="4"/>
    <n v="4"/>
    <n v="1"/>
    <x v="3"/>
    <x v="51"/>
    <d v="2015-08-29T12:19:41"/>
    <n v="29"/>
    <n v="7"/>
    <n v="12"/>
  </r>
  <r>
    <n v="664"/>
    <s v="Oklahoma"/>
    <s v="74501"/>
    <d v="2015-07-08T00:41:20"/>
    <d v="2015-07-07T20:41:21"/>
    <n v="1"/>
    <n v="4"/>
    <n v="8"/>
    <n v="2"/>
    <n v="1"/>
    <x v="2"/>
    <x v="2"/>
    <d v="2015-07-07T20:48:57"/>
    <n v="7"/>
    <n v="3"/>
    <n v="20"/>
  </r>
  <r>
    <n v="665"/>
    <s v="Massachusetts"/>
    <s v="01119"/>
    <d v="2015-08-06T16:48:54"/>
    <d v="2015-08-06T12:48:58"/>
    <n v="1"/>
    <n v="6"/>
    <n v="6"/>
    <n v="2"/>
    <n v="1"/>
    <x v="2"/>
    <x v="22"/>
    <d v="2015-08-06T12:48:55"/>
    <n v="6"/>
    <n v="5"/>
    <n v="12"/>
  </r>
  <r>
    <n v="666"/>
    <s v="California"/>
    <s v="95134"/>
    <d v="2015-04-09T17:19:57"/>
    <d v="2015-04-09T17:20:02"/>
    <n v="1"/>
    <n v="6"/>
    <n v="4"/>
    <n v="1"/>
    <n v="1"/>
    <x v="1"/>
    <x v="10"/>
    <d v="2015-04-09T17:19:58"/>
    <n v="9"/>
    <n v="5"/>
    <n v="17"/>
  </r>
  <r>
    <n v="667"/>
    <s v="Connecticut"/>
    <s v="06853"/>
    <d v="2015-07-10T12:48:25"/>
    <d v="2015-07-10T12:48:28"/>
    <n v="1"/>
    <n v="0"/>
    <n v="2"/>
    <n v="2"/>
    <n v="1"/>
    <x v="0"/>
    <x v="19"/>
    <d v="2015-07-10T12:48:25"/>
    <n v="10"/>
    <n v="6"/>
    <n v="12"/>
  </r>
  <r>
    <n v="668"/>
    <s v="Michigan"/>
    <s v="48208"/>
    <d v="2015-07-06T23:56:25"/>
    <d v="2015-07-06T19:56:29"/>
    <n v="1"/>
    <n v="2"/>
    <n v="6"/>
    <n v="2"/>
    <n v="1"/>
    <x v="2"/>
    <x v="2"/>
    <d v="2015-07-06T19:56:26"/>
    <n v="6"/>
    <n v="2"/>
    <n v="19"/>
  </r>
  <r>
    <n v="669"/>
    <s v="New York"/>
    <s v="10027"/>
    <d v="2015-02-02T16:03:20"/>
    <d v="2015-03-17T07:16:12"/>
    <n v="4"/>
    <n v="7"/>
    <n v="18"/>
    <n v="7"/>
    <n v="3"/>
    <x v="8"/>
    <x v="13"/>
    <d v="2015-02-02T16:03:21"/>
    <n v="2"/>
    <n v="2"/>
    <n v="16"/>
  </r>
  <r>
    <n v="670"/>
    <s v="Maryland"/>
    <s v="21740"/>
    <d v="2015-01-25T21:23:42"/>
    <d v="2015-03-02T19:16:20"/>
    <n v="2"/>
    <n v="2"/>
    <n v="22"/>
    <n v="5"/>
    <n v="2"/>
    <x v="11"/>
    <x v="2"/>
    <d v="2015-01-25T21:23:43"/>
    <n v="25"/>
    <n v="1"/>
    <n v="21"/>
  </r>
  <r>
    <n v="671"/>
    <s v="Washington"/>
    <s v="98029"/>
    <d v="2015-02-19T16:52:00"/>
    <d v="2015-02-26T11:58:54"/>
    <n v="6"/>
    <n v="1"/>
    <n v="14"/>
    <n v="3"/>
    <n v="1"/>
    <x v="4"/>
    <x v="85"/>
    <d v="2015-02-19T16:52:01"/>
    <n v="19"/>
    <n v="5"/>
    <n v="16"/>
  </r>
  <r>
    <n v="672"/>
    <m/>
    <m/>
    <d v="2015-04-12T17:56:59"/>
    <d v="2015-04-12T17:57:04"/>
    <n v="1"/>
    <n v="2"/>
    <n v="10"/>
    <n v="2"/>
    <n v="1"/>
    <x v="5"/>
    <x v="44"/>
    <d v="2015-04-12T18:00:46"/>
    <n v="12"/>
    <n v="1"/>
    <n v="18"/>
  </r>
  <r>
    <n v="673"/>
    <s v="Massachusetts"/>
    <s v="01085"/>
    <d v="2015-04-03T12:08:08"/>
    <d v="2015-04-03T12:08:13"/>
    <n v="1"/>
    <n v="0"/>
    <n v="2"/>
    <n v="1"/>
    <n v="1"/>
    <x v="0"/>
    <x v="2"/>
    <d v="2015-04-03T12:08:09"/>
    <n v="3"/>
    <n v="6"/>
    <n v="12"/>
  </r>
  <r>
    <n v="674"/>
    <s v="Michigan"/>
    <s v="48611"/>
    <d v="2015-07-08T09:40:03"/>
    <d v="2015-07-08T09:40:07"/>
    <n v="1"/>
    <n v="6"/>
    <n v="4"/>
    <n v="2"/>
    <n v="1"/>
    <x v="5"/>
    <x v="10"/>
    <d v="2015-07-08T09:40:04"/>
    <n v="8"/>
    <n v="4"/>
    <n v="9"/>
  </r>
  <r>
    <n v="676"/>
    <s v="Connecticut"/>
    <s v="06470"/>
    <d v="2015-01-21T12:23:18"/>
    <d v="2015-03-09T15:45:01"/>
    <n v="2"/>
    <n v="4"/>
    <n v="18"/>
    <n v="5"/>
    <n v="2"/>
    <x v="11"/>
    <x v="97"/>
    <d v="2015-01-21T12:23:19"/>
    <n v="21"/>
    <n v="4"/>
    <n v="12"/>
  </r>
  <r>
    <n v="677"/>
    <s v="Florida"/>
    <s v="33315"/>
    <d v="2015-08-20T18:00:10"/>
    <d v="2015-08-20T18:00:13"/>
    <n v="1"/>
    <n v="6"/>
    <n v="2"/>
    <n v="2"/>
    <n v="1"/>
    <x v="0"/>
    <x v="0"/>
    <d v="2015-08-20T18:00:11"/>
    <n v="20"/>
    <n v="5"/>
    <n v="18"/>
  </r>
  <r>
    <n v="678"/>
    <s v="Pennsylvania"/>
    <s v="17960"/>
    <d v="2015-06-22T18:34:41"/>
    <d v="2015-06-22T18:34:45"/>
    <n v="1"/>
    <n v="2"/>
    <n v="2"/>
    <n v="3"/>
    <n v="1"/>
    <x v="0"/>
    <x v="23"/>
    <d v="2015-06-22T18:34:41"/>
    <n v="22"/>
    <n v="2"/>
    <n v="18"/>
  </r>
  <r>
    <n v="679"/>
    <m/>
    <m/>
    <d v="2015-06-30T03:49:55"/>
    <d v="2015-06-30T09:55:09"/>
    <n v="2"/>
    <n v="0"/>
    <n v="2"/>
    <n v="2"/>
    <n v="1"/>
    <x v="3"/>
    <x v="5"/>
    <d v="2015-06-29T23:49:56"/>
    <n v="29"/>
    <n v="2"/>
    <n v="23"/>
  </r>
  <r>
    <n v="680"/>
    <s v="Connecticut"/>
    <s v="06074"/>
    <d v="2015-06-04T11:55:30"/>
    <d v="2015-06-04T07:55:34"/>
    <n v="1"/>
    <n v="4"/>
    <n v="4"/>
    <n v="2"/>
    <n v="1"/>
    <x v="3"/>
    <x v="5"/>
    <d v="2015-06-04T07:55:32"/>
    <n v="4"/>
    <n v="5"/>
    <n v="7"/>
  </r>
  <r>
    <n v="681"/>
    <s v="Washington"/>
    <s v="98019"/>
    <d v="2015-01-24T21:10:56"/>
    <d v="2015-01-24T21:11:00"/>
    <n v="1"/>
    <n v="0"/>
    <n v="12"/>
    <n v="5"/>
    <n v="1"/>
    <x v="3"/>
    <x v="4"/>
    <d v="2015-01-24T21:10:57"/>
    <n v="24"/>
    <n v="7"/>
    <n v="21"/>
  </r>
  <r>
    <n v="682"/>
    <m/>
    <m/>
    <d v="2015-07-26T21:26:59"/>
    <d v="2015-07-26T17:27:03"/>
    <n v="1"/>
    <n v="4"/>
    <n v="8"/>
    <n v="5"/>
    <n v="1"/>
    <x v="5"/>
    <x v="98"/>
    <d v="2015-07-26T17:32:54"/>
    <n v="26"/>
    <n v="1"/>
    <n v="17"/>
  </r>
  <r>
    <n v="683"/>
    <s v="California"/>
    <s v="95993"/>
    <d v="2015-01-26T21:08:41"/>
    <d v="2015-01-26T21:08:46"/>
    <n v="1"/>
    <n v="6"/>
    <n v="8"/>
    <n v="7"/>
    <n v="1"/>
    <x v="2"/>
    <x v="2"/>
    <d v="2015-01-26T21:08:44"/>
    <n v="26"/>
    <n v="2"/>
    <n v="21"/>
  </r>
  <r>
    <n v="684"/>
    <s v="Maryland"/>
    <s v="21117"/>
    <d v="2015-08-20T09:08:57"/>
    <d v="2015-08-20T09:09:01"/>
    <n v="1"/>
    <n v="2"/>
    <n v="2"/>
    <n v="2"/>
    <n v="1"/>
    <x v="0"/>
    <x v="6"/>
    <d v="2015-08-20T09:08:57"/>
    <n v="20"/>
    <n v="5"/>
    <n v="9"/>
  </r>
  <r>
    <n v="685"/>
    <s v="North Carolina"/>
    <s v="28560"/>
    <d v="2015-02-03T10:26:16"/>
    <d v="2015-02-03T10:26:21"/>
    <n v="1"/>
    <n v="0"/>
    <n v="12"/>
    <n v="2"/>
    <n v="1"/>
    <x v="2"/>
    <x v="58"/>
    <d v="2015-02-03T10:26:17"/>
    <n v="3"/>
    <n v="3"/>
    <n v="10"/>
  </r>
  <r>
    <n v="686"/>
    <s v="Missouri"/>
    <s v="65203"/>
    <d v="2015-08-31T00:41:57"/>
    <d v="2015-08-30T20:42:01"/>
    <n v="1"/>
    <n v="6"/>
    <n v="10"/>
    <n v="2"/>
    <n v="1"/>
    <x v="2"/>
    <x v="22"/>
    <d v="2015-08-30T20:41:58"/>
    <n v="30"/>
    <n v="1"/>
    <n v="20"/>
  </r>
  <r>
    <n v="687"/>
    <s v="Florida"/>
    <s v="32162"/>
    <d v="2015-02-08T19:12:26"/>
    <d v="2015-02-08T19:12:31"/>
    <n v="1"/>
    <n v="0"/>
    <n v="4"/>
    <n v="1"/>
    <n v="1"/>
    <x v="3"/>
    <x v="5"/>
    <d v="2015-02-08T19:12:27"/>
    <n v="8"/>
    <n v="1"/>
    <n v="19"/>
  </r>
  <r>
    <n v="688"/>
    <m/>
    <m/>
    <d v="2015-07-04T02:26:38"/>
    <d v="2015-07-03T22:26:39"/>
    <n v="1"/>
    <n v="6"/>
    <n v="6"/>
    <n v="4"/>
    <n v="1"/>
    <x v="2"/>
    <x v="2"/>
    <d v="2015-07-03T22:28:28"/>
    <n v="3"/>
    <n v="6"/>
    <n v="22"/>
  </r>
  <r>
    <n v="689"/>
    <s v="Iowa"/>
    <s v="52245"/>
    <d v="2015-04-19T23:17:05"/>
    <d v="2015-04-19T23:17:12"/>
    <n v="1"/>
    <n v="4"/>
    <n v="18"/>
    <n v="1"/>
    <n v="1"/>
    <x v="8"/>
    <x v="99"/>
    <d v="2015-04-19T23:17:07"/>
    <n v="19"/>
    <n v="1"/>
    <n v="23"/>
  </r>
  <r>
    <n v="690"/>
    <s v="Connecticut"/>
    <s v="06824"/>
    <d v="2015-04-04T15:20:07"/>
    <d v="2015-04-04T15:20:11"/>
    <n v="1"/>
    <n v="4"/>
    <n v="2"/>
    <n v="1"/>
    <n v="1"/>
    <x v="0"/>
    <x v="21"/>
    <d v="2015-04-04T15:20:07"/>
    <n v="4"/>
    <n v="7"/>
    <n v="15"/>
  </r>
  <r>
    <n v="691"/>
    <m/>
    <m/>
    <d v="2015-01-28T12:35:23"/>
    <d v="2015-03-05T12:22:18"/>
    <n v="2"/>
    <n v="4"/>
    <n v="43"/>
    <n v="6"/>
    <n v="1"/>
    <x v="8"/>
    <x v="21"/>
    <d v="2015-01-28T12:37:13"/>
    <n v="28"/>
    <n v="4"/>
    <n v="12"/>
  </r>
  <r>
    <n v="692"/>
    <s v="Florida"/>
    <s v="33614"/>
    <d v="2015-07-17T18:06:23"/>
    <d v="2015-07-17T18:06:28"/>
    <n v="1"/>
    <n v="10"/>
    <n v="12"/>
    <n v="8"/>
    <n v="1"/>
    <x v="3"/>
    <x v="51"/>
    <d v="2015-07-17T18:06:24"/>
    <n v="17"/>
    <n v="6"/>
    <n v="18"/>
  </r>
  <r>
    <n v="693"/>
    <s v="New Jersey"/>
    <s v="08520"/>
    <d v="2015-01-27T22:29:04"/>
    <d v="2015-01-27T22:29:07"/>
    <n v="1"/>
    <n v="0"/>
    <n v="4"/>
    <n v="3"/>
    <n v="1"/>
    <x v="0"/>
    <x v="2"/>
    <d v="2015-01-27T22:29:05"/>
    <n v="27"/>
    <n v="3"/>
    <n v="22"/>
  </r>
  <r>
    <n v="695"/>
    <s v="California"/>
    <s v="92240"/>
    <d v="2015-02-13T04:07:36"/>
    <d v="2015-03-07T04:39:18"/>
    <n v="4"/>
    <n v="3"/>
    <n v="8"/>
    <n v="10"/>
    <n v="1"/>
    <x v="2"/>
    <x v="2"/>
    <d v="2015-02-14T04:30:30"/>
    <n v="14"/>
    <n v="7"/>
    <n v="4"/>
  </r>
  <r>
    <n v="696"/>
    <s v="Michigan"/>
    <s v="49085"/>
    <d v="2015-01-17T21:03:28"/>
    <d v="2015-01-17T21:03:32"/>
    <n v="1"/>
    <n v="0"/>
    <n v="4"/>
    <n v="3"/>
    <n v="1"/>
    <x v="6"/>
    <x v="32"/>
    <d v="2015-01-17T21:03:29"/>
    <n v="17"/>
    <n v="7"/>
    <n v="21"/>
  </r>
  <r>
    <n v="697"/>
    <s v="Minnesota"/>
    <s v="55427"/>
    <d v="2015-01-21T17:01:28"/>
    <d v="2015-01-21T17:01:32"/>
    <n v="1"/>
    <n v="4"/>
    <n v="10"/>
    <n v="2"/>
    <n v="1"/>
    <x v="6"/>
    <x v="21"/>
    <d v="2015-01-21T17:01:29"/>
    <n v="21"/>
    <n v="4"/>
    <n v="17"/>
  </r>
  <r>
    <n v="698"/>
    <s v="Texas"/>
    <s v="78729"/>
    <d v="2015-03-28T17:43:12"/>
    <d v="2015-03-28T17:43:18"/>
    <n v="1"/>
    <n v="6"/>
    <n v="10"/>
    <n v="2"/>
    <n v="1"/>
    <x v="6"/>
    <x v="14"/>
    <d v="2015-03-28T17:43:13"/>
    <n v="28"/>
    <n v="7"/>
    <n v="17"/>
  </r>
  <r>
    <n v="699"/>
    <m/>
    <m/>
    <d v="2015-07-11T19:53:53"/>
    <d v="2015-07-11T15:53:54"/>
    <n v="1"/>
    <n v="2"/>
    <n v="5"/>
    <n v="3"/>
    <n v="1"/>
    <x v="2"/>
    <x v="2"/>
    <d v="2015-07-11T15:57:00"/>
    <n v="11"/>
    <n v="7"/>
    <n v="15"/>
  </r>
  <r>
    <n v="700"/>
    <s v="Washington"/>
    <s v="98122"/>
    <d v="2015-03-01T23:53:36"/>
    <d v="2015-03-01T23:53:41"/>
    <n v="1"/>
    <n v="2"/>
    <n v="2"/>
    <n v="1"/>
    <n v="1"/>
    <x v="0"/>
    <x v="2"/>
    <d v="2015-03-01T23:53:37"/>
    <n v="1"/>
    <n v="1"/>
    <n v="23"/>
  </r>
  <r>
    <n v="701"/>
    <s v="Ohio"/>
    <s v="45430"/>
    <d v="2015-04-16T11:50:26"/>
    <d v="2015-04-16T11:50:30"/>
    <n v="1"/>
    <n v="4"/>
    <n v="4"/>
    <n v="1"/>
    <n v="1"/>
    <x v="3"/>
    <x v="13"/>
    <d v="2015-04-16T11:50:27"/>
    <n v="16"/>
    <n v="5"/>
    <n v="11"/>
  </r>
  <r>
    <n v="702"/>
    <s v="Oregon"/>
    <s v="97231"/>
    <d v="2015-07-13T15:51:47"/>
    <d v="2015-07-13T11:51:51"/>
    <n v="1"/>
    <n v="6"/>
    <n v="8"/>
    <n v="4"/>
    <n v="1"/>
    <x v="2"/>
    <x v="2"/>
    <d v="2015-07-13T11:51:48"/>
    <n v="13"/>
    <n v="2"/>
    <n v="11"/>
  </r>
  <r>
    <n v="703"/>
    <s v="New York"/>
    <s v="10065"/>
    <d v="2015-02-18T10:36:23"/>
    <d v="2015-02-18T10:36:27"/>
    <n v="1"/>
    <n v="0"/>
    <n v="10"/>
    <n v="2"/>
    <n v="1"/>
    <x v="2"/>
    <x v="1"/>
    <d v="2015-02-18T10:36:24"/>
    <n v="18"/>
    <n v="4"/>
    <n v="10"/>
  </r>
  <r>
    <n v="704"/>
    <s v="California"/>
    <s v="94041"/>
    <d v="2015-01-21T21:12:40"/>
    <d v="2015-01-21T21:12:44"/>
    <n v="1"/>
    <n v="2"/>
    <n v="10"/>
    <n v="2"/>
    <n v="1"/>
    <x v="6"/>
    <x v="14"/>
    <d v="2015-01-21T21:12:41"/>
    <n v="21"/>
    <n v="4"/>
    <n v="21"/>
  </r>
  <r>
    <n v="705"/>
    <s v="Colorado"/>
    <s v="80424"/>
    <d v="2015-03-10T21:50:53"/>
    <d v="2015-03-10T21:50:58"/>
    <n v="1"/>
    <n v="0"/>
    <n v="2"/>
    <n v="1"/>
    <n v="1"/>
    <x v="0"/>
    <x v="2"/>
    <d v="2015-03-10T21:50:54"/>
    <n v="10"/>
    <n v="3"/>
    <n v="21"/>
  </r>
  <r>
    <n v="706"/>
    <s v="Iowa"/>
    <s v="50658"/>
    <d v="2015-06-25T19:57:29"/>
    <d v="2015-06-25T19:57:34"/>
    <n v="1"/>
    <n v="0"/>
    <n v="6"/>
    <n v="2"/>
    <n v="1"/>
    <x v="1"/>
    <x v="20"/>
    <d v="2015-06-25T19:57:30"/>
    <n v="25"/>
    <n v="5"/>
    <n v="19"/>
  </r>
  <r>
    <n v="707"/>
    <s v="California"/>
    <s v="94114"/>
    <d v="2015-03-24T13:12:51"/>
    <d v="2015-03-24T13:12:55"/>
    <n v="1"/>
    <n v="2"/>
    <n v="6"/>
    <n v="1"/>
    <n v="1"/>
    <x v="2"/>
    <x v="2"/>
    <d v="2015-03-24T13:18:58"/>
    <n v="24"/>
    <n v="3"/>
    <n v="13"/>
  </r>
  <r>
    <n v="708"/>
    <s v="California"/>
    <s v="95123"/>
    <d v="2015-03-24T15:01:03"/>
    <d v="2015-03-24T15:01:09"/>
    <n v="1"/>
    <n v="0"/>
    <n v="10"/>
    <n v="1"/>
    <n v="1"/>
    <x v="2"/>
    <x v="2"/>
    <d v="2015-03-24T15:01:04"/>
    <n v="24"/>
    <n v="3"/>
    <n v="15"/>
  </r>
  <r>
    <n v="709"/>
    <m/>
    <m/>
    <d v="2015-03-01T10:29:04"/>
    <d v="2015-03-01T10:29:07"/>
    <n v="1"/>
    <n v="2"/>
    <n v="2"/>
    <n v="2"/>
    <n v="1"/>
    <x v="0"/>
    <x v="1"/>
    <d v="2015-03-01T10:31:52"/>
    <n v="1"/>
    <n v="1"/>
    <n v="10"/>
  </r>
  <r>
    <n v="710"/>
    <m/>
    <m/>
    <d v="2015-09-06T03:05:28"/>
    <d v="2015-09-06T03:05:29"/>
    <n v="1"/>
    <n v="9"/>
    <n v="9"/>
    <n v="12"/>
    <n v="2"/>
    <x v="2"/>
    <x v="100"/>
    <d v="2015-09-06T03:19:53"/>
    <n v="6"/>
    <n v="1"/>
    <n v="3"/>
  </r>
  <r>
    <n v="711"/>
    <s v="California"/>
    <s v="91320"/>
    <d v="2015-01-19T14:15:15"/>
    <d v="2015-01-20T12:54:03"/>
    <n v="3"/>
    <n v="0"/>
    <n v="2"/>
    <n v="3"/>
    <n v="1"/>
    <x v="0"/>
    <x v="2"/>
    <d v="2015-01-19T14:15:29"/>
    <n v="19"/>
    <n v="2"/>
    <n v="14"/>
  </r>
  <r>
    <n v="712"/>
    <m/>
    <m/>
    <d v="2015-06-30T04:44:55"/>
    <d v="2015-06-30T00:44:56"/>
    <n v="1"/>
    <n v="9"/>
    <n v="9"/>
    <n v="4"/>
    <n v="1"/>
    <x v="3"/>
    <x v="83"/>
    <d v="2015-06-30T00:51:34"/>
    <n v="30"/>
    <n v="3"/>
    <n v="0"/>
  </r>
  <r>
    <n v="713"/>
    <m/>
    <m/>
    <d v="2015-03-04T13:19:24"/>
    <d v="2015-03-04T13:19:32"/>
    <n v="1"/>
    <n v="4"/>
    <n v="10"/>
    <n v="4"/>
    <n v="1"/>
    <x v="2"/>
    <x v="2"/>
    <d v="2015-03-04T13:19:26"/>
    <n v="4"/>
    <n v="4"/>
    <n v="13"/>
  </r>
  <r>
    <n v="714"/>
    <m/>
    <m/>
    <d v="2015-03-21T14:15:09"/>
    <d v="2015-03-21T14:15:14"/>
    <n v="1"/>
    <n v="0"/>
    <n v="4"/>
    <n v="3"/>
    <n v="1"/>
    <x v="3"/>
    <x v="13"/>
    <d v="2015-03-21T14:15:11"/>
    <n v="21"/>
    <n v="7"/>
    <n v="14"/>
  </r>
  <r>
    <n v="715"/>
    <s v="California"/>
    <s v="90746"/>
    <d v="2015-02-22T11:43:06"/>
    <d v="2015-02-22T11:43:12"/>
    <n v="1"/>
    <n v="0"/>
    <n v="12"/>
    <n v="1"/>
    <n v="1"/>
    <x v="5"/>
    <x v="10"/>
    <d v="2015-02-22T11:43:08"/>
    <n v="22"/>
    <n v="1"/>
    <n v="11"/>
  </r>
  <r>
    <n v="716"/>
    <m/>
    <m/>
    <d v="2015-07-09T23:02:37"/>
    <d v="2015-07-09T19:02:39"/>
    <n v="1"/>
    <n v="2"/>
    <n v="6"/>
    <n v="5"/>
    <n v="1"/>
    <x v="3"/>
    <x v="21"/>
    <d v="2015-07-09T19:04:49"/>
    <n v="9"/>
    <n v="5"/>
    <n v="19"/>
  </r>
  <r>
    <n v="717"/>
    <s v="Illinois"/>
    <s v="60613"/>
    <d v="2015-05-21T17:26:13"/>
    <d v="2015-05-21T17:26:16"/>
    <n v="1"/>
    <n v="4"/>
    <n v="2"/>
    <n v="2"/>
    <n v="1"/>
    <x v="0"/>
    <x v="21"/>
    <d v="2015-05-21T17:26:13"/>
    <n v="21"/>
    <n v="5"/>
    <n v="17"/>
  </r>
  <r>
    <n v="718"/>
    <s v="New York"/>
    <s v="11901"/>
    <d v="2015-06-23T22:14:52"/>
    <d v="2015-06-24T10:46:45"/>
    <n v="2"/>
    <n v="2"/>
    <n v="2"/>
    <n v="4"/>
    <n v="1"/>
    <x v="0"/>
    <x v="28"/>
    <d v="2015-06-23T18:18:43"/>
    <n v="23"/>
    <n v="3"/>
    <n v="18"/>
  </r>
  <r>
    <n v="719"/>
    <s v="Texas"/>
    <s v="79705"/>
    <d v="2015-05-07T20:53:45"/>
    <d v="2015-05-07T20:53:49"/>
    <n v="1"/>
    <n v="0"/>
    <n v="4"/>
    <n v="2"/>
    <n v="1"/>
    <x v="3"/>
    <x v="13"/>
    <d v="2015-05-07T20:53:46"/>
    <n v="7"/>
    <n v="5"/>
    <n v="20"/>
  </r>
  <r>
    <n v="720"/>
    <s v="Georgia"/>
    <s v="31411"/>
    <d v="2015-03-04T07:13:53"/>
    <d v="2015-03-10T18:02:43"/>
    <n v="3"/>
    <n v="1"/>
    <n v="1"/>
    <n v="2"/>
    <n v="1"/>
    <x v="0"/>
    <x v="14"/>
    <d v="2015-03-04T07:21:18"/>
    <n v="4"/>
    <n v="4"/>
    <n v="7"/>
  </r>
  <r>
    <n v="721"/>
    <s v="Iowa"/>
    <s v="50201"/>
    <d v="2015-08-01T13:54:06"/>
    <d v="2015-08-03T13:31:33"/>
    <n v="6"/>
    <n v="6"/>
    <n v="2"/>
    <n v="3"/>
    <n v="1"/>
    <x v="0"/>
    <x v="82"/>
    <d v="2015-08-01T13:54:07"/>
    <n v="1"/>
    <n v="7"/>
    <n v="13"/>
  </r>
  <r>
    <n v="722"/>
    <s v="New York"/>
    <s v="11204"/>
    <d v="2015-07-07T02:21:45"/>
    <d v="2015-07-06T22:21:50"/>
    <n v="1"/>
    <n v="2"/>
    <n v="2"/>
    <n v="2"/>
    <n v="1"/>
    <x v="0"/>
    <x v="23"/>
    <d v="2015-07-06T22:21:46"/>
    <n v="6"/>
    <n v="2"/>
    <n v="22"/>
  </r>
  <r>
    <n v="723"/>
    <m/>
    <m/>
    <d v="2015-04-04T10:49:18"/>
    <d v="2015-04-04T10:49:20"/>
    <n v="1"/>
    <n v="1"/>
    <n v="11"/>
    <n v="3"/>
    <n v="1"/>
    <x v="4"/>
    <x v="101"/>
    <d v="2015-04-04T11:04:30"/>
    <n v="4"/>
    <n v="7"/>
    <n v="11"/>
  </r>
  <r>
    <n v="724"/>
    <m/>
    <m/>
    <d v="2015-04-26T01:25:45"/>
    <d v="2015-04-30T08:13:50"/>
    <n v="3"/>
    <n v="5"/>
    <n v="12"/>
    <n v="8"/>
    <n v="1"/>
    <x v="16"/>
    <x v="102"/>
    <d v="2015-04-30T09:22:37"/>
    <n v="30"/>
    <n v="5"/>
    <n v="9"/>
  </r>
  <r>
    <n v="725"/>
    <s v="California"/>
    <s v="93712"/>
    <d v="2015-01-03T03:08:37"/>
    <d v="2015-01-03T03:08:43"/>
    <n v="1"/>
    <n v="6"/>
    <n v="4"/>
    <n v="3"/>
    <n v="1"/>
    <x v="2"/>
    <x v="2"/>
    <d v="2015-01-03T03:08:38"/>
    <n v="3"/>
    <n v="7"/>
    <n v="3"/>
  </r>
  <r>
    <n v="726"/>
    <s v="California"/>
    <s v="94556"/>
    <d v="2015-08-08T21:42:01"/>
    <d v="2015-08-08T17:42:06"/>
    <n v="1"/>
    <n v="2"/>
    <n v="4"/>
    <n v="2"/>
    <n v="1"/>
    <x v="0"/>
    <x v="82"/>
    <d v="2015-08-08T17:42:01"/>
    <n v="8"/>
    <n v="7"/>
    <n v="17"/>
  </r>
  <r>
    <n v="727"/>
    <s v="South Carolina"/>
    <s v="29649"/>
    <d v="2015-03-22T21:06:04"/>
    <d v="2015-03-22T21:06:12"/>
    <n v="1"/>
    <n v="2"/>
    <n v="8"/>
    <n v="1"/>
    <n v="1"/>
    <x v="2"/>
    <x v="14"/>
    <d v="2015-03-22T21:06:06"/>
    <n v="22"/>
    <n v="1"/>
    <n v="21"/>
  </r>
  <r>
    <n v="728"/>
    <s v="Pennsylvania"/>
    <s v="15068"/>
    <d v="2015-01-19T09:59:37"/>
    <d v="2015-01-19T09:59:41"/>
    <n v="1"/>
    <n v="2"/>
    <n v="4"/>
    <n v="6"/>
    <n v="1"/>
    <x v="3"/>
    <x v="4"/>
    <d v="2015-01-19T09:59:38"/>
    <n v="19"/>
    <n v="2"/>
    <n v="9"/>
  </r>
  <r>
    <n v="729"/>
    <s v="California"/>
    <s v="90022"/>
    <d v="2015-07-25T02:53:11"/>
    <d v="2015-07-25T02:53:14"/>
    <n v="1"/>
    <n v="5"/>
    <n v="3"/>
    <n v="3"/>
    <n v="1"/>
    <x v="0"/>
    <x v="36"/>
    <d v="2015-07-25T02:53:11"/>
    <n v="25"/>
    <n v="7"/>
    <n v="2"/>
  </r>
  <r>
    <n v="730"/>
    <s v="Ohio"/>
    <s v="45249"/>
    <d v="2015-05-13T14:19:59"/>
    <d v="2015-05-13T14:20:03"/>
    <n v="1"/>
    <n v="2"/>
    <n v="6"/>
    <n v="2"/>
    <n v="1"/>
    <x v="1"/>
    <x v="5"/>
    <d v="2015-05-13T14:20:00"/>
    <n v="13"/>
    <n v="4"/>
    <n v="14"/>
  </r>
  <r>
    <n v="731"/>
    <s v="Michigan"/>
    <s v="49321"/>
    <d v="2015-06-16T18:14:59"/>
    <d v="2015-06-16T14:15:12"/>
    <n v="1"/>
    <n v="0"/>
    <n v="10"/>
    <n v="7"/>
    <n v="1"/>
    <x v="6"/>
    <x v="14"/>
    <d v="2015-06-16T14:15:06"/>
    <n v="16"/>
    <n v="3"/>
    <n v="14"/>
  </r>
  <r>
    <n v="732"/>
    <s v="California"/>
    <s v="94306"/>
    <d v="2015-07-06T00:54:25"/>
    <d v="2015-07-06T00:54:30"/>
    <n v="1"/>
    <n v="10"/>
    <n v="14"/>
    <n v="3"/>
    <n v="1"/>
    <x v="4"/>
    <x v="103"/>
    <d v="2015-07-06T00:54:25"/>
    <n v="6"/>
    <n v="2"/>
    <n v="0"/>
  </r>
  <r>
    <n v="733"/>
    <s v="California"/>
    <s v="92124"/>
    <d v="2015-03-28T12:55:22"/>
    <d v="2015-03-28T12:55:25"/>
    <n v="1"/>
    <n v="0"/>
    <n v="2"/>
    <n v="3"/>
    <n v="1"/>
    <x v="0"/>
    <x v="4"/>
    <d v="2015-03-28T12:58:34"/>
    <n v="28"/>
    <n v="7"/>
    <n v="12"/>
  </r>
  <r>
    <n v="734"/>
    <s v="Washington"/>
    <s v="98029"/>
    <d v="2015-03-04T00:09:52"/>
    <d v="2015-03-04T00:09:56"/>
    <n v="1"/>
    <n v="2"/>
    <n v="6"/>
    <n v="1"/>
    <n v="1"/>
    <x v="3"/>
    <x v="23"/>
    <d v="2015-03-04T00:09:53"/>
    <n v="4"/>
    <n v="4"/>
    <n v="0"/>
  </r>
  <r>
    <n v="735"/>
    <s v="Texas"/>
    <s v="76903"/>
    <d v="2015-06-05T14:44:28"/>
    <d v="2015-06-05T10:44:30"/>
    <n v="1"/>
    <n v="0"/>
    <n v="2"/>
    <n v="1"/>
    <n v="1"/>
    <x v="0"/>
    <x v="2"/>
    <d v="2015-06-05T10:54:25"/>
    <n v="5"/>
    <n v="6"/>
    <n v="10"/>
  </r>
  <r>
    <n v="736"/>
    <s v="Texas"/>
    <s v="77450"/>
    <d v="2015-09-12T15:51:28"/>
    <d v="2015-09-12T11:51:33"/>
    <n v="1"/>
    <n v="2"/>
    <n v="4"/>
    <n v="2"/>
    <n v="1"/>
    <x v="3"/>
    <x v="51"/>
    <d v="2015-09-12T11:51:29"/>
    <n v="12"/>
    <n v="7"/>
    <n v="11"/>
  </r>
  <r>
    <n v="737"/>
    <s v="California"/>
    <s v="90027"/>
    <d v="2015-05-09T00:01:41"/>
    <d v="2015-05-09T00:01:45"/>
    <n v="1"/>
    <n v="0"/>
    <n v="4"/>
    <n v="2"/>
    <n v="1"/>
    <x v="3"/>
    <x v="21"/>
    <d v="2015-05-09T00:01:42"/>
    <n v="9"/>
    <n v="7"/>
    <n v="0"/>
  </r>
  <r>
    <n v="738"/>
    <s v="California"/>
    <s v="94541"/>
    <d v="2015-07-22T16:09:02"/>
    <d v="2015-07-22T16:09:06"/>
    <n v="1"/>
    <n v="0"/>
    <n v="2"/>
    <n v="3"/>
    <n v="1"/>
    <x v="3"/>
    <x v="104"/>
    <d v="2015-07-22T16:09:03"/>
    <n v="22"/>
    <n v="4"/>
    <n v="16"/>
  </r>
  <r>
    <n v="740"/>
    <s v="New York"/>
    <s v="10022"/>
    <d v="2015-08-18T19:06:45"/>
    <d v="2015-08-18T15:06:49"/>
    <n v="1"/>
    <n v="0"/>
    <n v="8"/>
    <n v="2"/>
    <n v="1"/>
    <x v="2"/>
    <x v="12"/>
    <d v="2015-08-18T15:06:46"/>
    <n v="18"/>
    <n v="3"/>
    <n v="15"/>
  </r>
  <r>
    <n v="741"/>
    <s v="Massachusetts"/>
    <s v="02476"/>
    <d v="2015-07-16T14:04:20"/>
    <d v="2015-07-16T14:04:24"/>
    <n v="1"/>
    <n v="0"/>
    <n v="2"/>
    <n v="2"/>
    <n v="1"/>
    <x v="0"/>
    <x v="6"/>
    <d v="2015-07-16T14:04:20"/>
    <n v="16"/>
    <n v="5"/>
    <n v="14"/>
  </r>
  <r>
    <n v="742"/>
    <s v="Pennsylvania"/>
    <s v="18914"/>
    <d v="2015-06-09T15:29:52"/>
    <d v="2015-06-09T15:30:04"/>
    <n v="1"/>
    <n v="4"/>
    <n v="8"/>
    <n v="9"/>
    <n v="1"/>
    <x v="2"/>
    <x v="105"/>
    <d v="2015-06-09T15:30:01"/>
    <n v="9"/>
    <n v="3"/>
    <n v="15"/>
  </r>
  <r>
    <n v="743"/>
    <s v="Tennessee"/>
    <s v="37877"/>
    <d v="2015-01-05T20:03:13"/>
    <d v="2015-02-10T16:12:51"/>
    <n v="3"/>
    <n v="2"/>
    <n v="14"/>
    <n v="7"/>
    <n v="2"/>
    <x v="5"/>
    <x v="2"/>
    <d v="2015-01-05T20:03:14"/>
    <n v="5"/>
    <n v="2"/>
    <n v="20"/>
  </r>
  <r>
    <n v="744"/>
    <s v="Hawaii"/>
    <s v="96789"/>
    <d v="2015-06-17T17:29:05"/>
    <d v="2015-06-17T13:29:06"/>
    <n v="1"/>
    <n v="0"/>
    <n v="1"/>
    <n v="1"/>
    <n v="1"/>
    <x v="0"/>
    <x v="28"/>
    <d v="2015-06-17T13:34:33"/>
    <n v="17"/>
    <n v="4"/>
    <n v="13"/>
  </r>
  <r>
    <n v="745"/>
    <m/>
    <m/>
    <d v="2014-11-28T23:27:10"/>
    <d v="2015-01-16T18:55:03"/>
    <n v="3"/>
    <n v="1"/>
    <n v="18"/>
    <n v="5"/>
    <n v="1"/>
    <x v="5"/>
    <x v="10"/>
    <d v="2015-01-08T22:04:45"/>
    <n v="8"/>
    <n v="5"/>
    <n v="22"/>
  </r>
  <r>
    <n v="746"/>
    <s v="Ohio"/>
    <s v="45069"/>
    <d v="2015-06-26T20:42:39"/>
    <d v="2015-06-26T16:42:47"/>
    <n v="1"/>
    <n v="14"/>
    <n v="6"/>
    <n v="3"/>
    <n v="1"/>
    <x v="1"/>
    <x v="106"/>
    <d v="2015-06-26T16:42:42"/>
    <n v="26"/>
    <n v="6"/>
    <n v="16"/>
  </r>
  <r>
    <n v="747"/>
    <m/>
    <m/>
    <d v="2015-07-13T15:34:47"/>
    <d v="2015-07-13T11:34:48"/>
    <n v="1"/>
    <n v="2"/>
    <n v="2"/>
    <n v="4"/>
    <n v="1"/>
    <x v="2"/>
    <x v="2"/>
    <d v="2015-07-13T11:35:54"/>
    <n v="13"/>
    <n v="2"/>
    <n v="11"/>
  </r>
  <r>
    <n v="748"/>
    <s v="Indiana"/>
    <s v="46755"/>
    <d v="2015-02-24T21:45:21"/>
    <d v="2015-02-24T21:45:26"/>
    <n v="1"/>
    <n v="0"/>
    <n v="8"/>
    <n v="1"/>
    <n v="1"/>
    <x v="2"/>
    <x v="2"/>
    <d v="2015-02-24T21:45:22"/>
    <n v="24"/>
    <n v="3"/>
    <n v="21"/>
  </r>
  <r>
    <n v="749"/>
    <s v="Rhode Island"/>
    <s v="02889"/>
    <d v="2015-08-28T19:29:09"/>
    <d v="2015-08-28T19:29:11"/>
    <n v="1"/>
    <n v="4"/>
    <n v="4"/>
    <n v="6"/>
    <n v="1"/>
    <x v="0"/>
    <x v="39"/>
    <d v="2015-08-28T19:33:09"/>
    <n v="28"/>
    <n v="6"/>
    <n v="19"/>
  </r>
  <r>
    <n v="750"/>
    <m/>
    <m/>
    <d v="2015-03-03T19:15:28"/>
    <d v="2015-03-03T19:15:33"/>
    <n v="1"/>
    <n v="0"/>
    <n v="2"/>
    <n v="1"/>
    <n v="1"/>
    <x v="1"/>
    <x v="1"/>
    <d v="2015-03-03T19:19:56"/>
    <n v="3"/>
    <n v="3"/>
    <n v="19"/>
  </r>
  <r>
    <n v="751"/>
    <s v="New York"/>
    <s v="13066"/>
    <d v="2015-08-31T16:21:38"/>
    <d v="2015-08-31T12:21:43"/>
    <n v="1"/>
    <n v="4"/>
    <n v="4"/>
    <n v="2"/>
    <n v="1"/>
    <x v="3"/>
    <x v="107"/>
    <d v="2015-08-31T12:21:39"/>
    <n v="31"/>
    <n v="2"/>
    <n v="12"/>
  </r>
  <r>
    <n v="752"/>
    <s v="Pennsylvania"/>
    <s v="19061"/>
    <d v="2015-08-08T23:25:51"/>
    <d v="2015-08-10T20:34:16"/>
    <n v="7"/>
    <n v="5"/>
    <n v="5"/>
    <n v="7"/>
    <n v="1"/>
    <x v="3"/>
    <x v="24"/>
    <d v="2015-08-08T23:25:52"/>
    <n v="8"/>
    <n v="7"/>
    <n v="23"/>
  </r>
  <r>
    <n v="753"/>
    <s v="Illinois"/>
    <s v="60073"/>
    <d v="2015-08-01T04:25:14"/>
    <d v="2015-08-01T00:25:20"/>
    <n v="1"/>
    <n v="6"/>
    <n v="6"/>
    <n v="2"/>
    <n v="1"/>
    <x v="2"/>
    <x v="22"/>
    <d v="2015-08-01T00:25:15"/>
    <n v="1"/>
    <n v="7"/>
    <n v="0"/>
  </r>
  <r>
    <n v="754"/>
    <s v="Indiana"/>
    <s v="47459"/>
    <d v="2015-03-05T16:54:48"/>
    <d v="2015-03-05T16:54:54"/>
    <n v="1"/>
    <n v="0"/>
    <n v="10"/>
    <n v="1"/>
    <n v="1"/>
    <x v="6"/>
    <x v="14"/>
    <d v="2015-03-05T16:54:50"/>
    <n v="5"/>
    <n v="5"/>
    <n v="16"/>
  </r>
  <r>
    <n v="755"/>
    <s v="Illinois"/>
    <s v="60013"/>
    <d v="2015-02-24T23:11:18"/>
    <d v="2015-03-16T20:57:43"/>
    <n v="5"/>
    <n v="4"/>
    <n v="6"/>
    <n v="4"/>
    <n v="1"/>
    <x v="1"/>
    <x v="8"/>
    <d v="2015-02-24T23:11:19"/>
    <n v="24"/>
    <n v="3"/>
    <n v="23"/>
  </r>
  <r>
    <n v="756"/>
    <s v="California"/>
    <s v="94025"/>
    <d v="2015-06-14T23:38:10"/>
    <d v="2015-06-14T23:38:14"/>
    <n v="1"/>
    <n v="0"/>
    <n v="8"/>
    <n v="2"/>
    <n v="1"/>
    <x v="2"/>
    <x v="2"/>
    <d v="2015-06-14T23:38:11"/>
    <n v="14"/>
    <n v="1"/>
    <n v="23"/>
  </r>
  <r>
    <n v="757"/>
    <s v="Virginia"/>
    <s v="22204"/>
    <d v="2015-02-09T21:08:06"/>
    <d v="2015-02-10T06:20:06"/>
    <n v="3"/>
    <n v="0"/>
    <n v="8"/>
    <n v="3"/>
    <n v="1"/>
    <x v="1"/>
    <x v="5"/>
    <d v="2015-02-09T21:08:07"/>
    <n v="9"/>
    <n v="2"/>
    <n v="21"/>
  </r>
  <r>
    <n v="758"/>
    <m/>
    <s v="9030"/>
    <d v="2013-09-20T19:29:40"/>
    <d v="2015-03-25T03:43:45"/>
    <n v="1"/>
    <n v="3"/>
    <n v="8"/>
    <n v="1"/>
    <n v="1"/>
    <x v="2"/>
    <x v="14"/>
    <d v="2015-03-25T03:48:01"/>
    <n v="25"/>
    <n v="4"/>
    <n v="3"/>
  </r>
  <r>
    <n v="759"/>
    <m/>
    <m/>
    <d v="2015-05-20T12:10:55"/>
    <d v="2015-05-20T12:10:59"/>
    <n v="1"/>
    <n v="2"/>
    <n v="4"/>
    <n v="2"/>
    <n v="1"/>
    <x v="3"/>
    <x v="5"/>
    <d v="2015-05-20T12:10:57"/>
    <n v="20"/>
    <n v="4"/>
    <n v="12"/>
  </r>
  <r>
    <n v="761"/>
    <s v="Massachusetts"/>
    <s v="01844"/>
    <d v="2015-04-23T23:16:58"/>
    <d v="2015-04-23T23:17:04"/>
    <n v="1"/>
    <n v="2"/>
    <n v="2"/>
    <n v="1"/>
    <n v="1"/>
    <x v="0"/>
    <x v="14"/>
    <d v="2015-04-23T23:16:59"/>
    <n v="23"/>
    <n v="5"/>
    <n v="23"/>
  </r>
  <r>
    <n v="762"/>
    <s v="Massachusetts"/>
    <s v="02468"/>
    <d v="2015-01-15T15:23:07"/>
    <d v="2015-02-09T14:10:05"/>
    <n v="2"/>
    <n v="0"/>
    <n v="4"/>
    <n v="4"/>
    <n v="2"/>
    <x v="17"/>
    <x v="1"/>
    <d v="2015-01-15T15:23:09"/>
    <n v="15"/>
    <n v="5"/>
    <n v="15"/>
  </r>
  <r>
    <n v="763"/>
    <s v="Ohio"/>
    <s v="44094"/>
    <d v="2015-09-05T23:09:35"/>
    <d v="2015-09-05T23:09:39"/>
    <n v="1"/>
    <n v="2"/>
    <n v="2"/>
    <n v="2"/>
    <n v="1"/>
    <x v="0"/>
    <x v="0"/>
    <d v="2015-09-05T23:09:35"/>
    <n v="5"/>
    <n v="7"/>
    <n v="23"/>
  </r>
  <r>
    <n v="765"/>
    <s v="North Carolina"/>
    <s v="28092"/>
    <d v="2015-09-11T00:03:10"/>
    <d v="2015-09-11T00:03:12"/>
    <n v="1"/>
    <n v="6"/>
    <n v="5"/>
    <n v="4"/>
    <n v="1"/>
    <x v="1"/>
    <x v="108"/>
    <d v="2015-09-11T00:27:16"/>
    <n v="11"/>
    <n v="6"/>
    <n v="0"/>
  </r>
  <r>
    <n v="766"/>
    <s v="Tennessee"/>
    <s v="38018"/>
    <d v="2015-04-05T07:45:32"/>
    <d v="2015-04-05T07:45:39"/>
    <n v="1"/>
    <n v="0"/>
    <n v="4"/>
    <n v="1"/>
    <n v="1"/>
    <x v="2"/>
    <x v="2"/>
    <d v="2015-04-05T07:45:32"/>
    <n v="5"/>
    <n v="1"/>
    <n v="7"/>
  </r>
  <r>
    <n v="767"/>
    <s v="West Virginia"/>
    <s v="25413"/>
    <d v="2015-06-11T15:10:18"/>
    <d v="2015-06-11T11:10:23"/>
    <n v="1"/>
    <n v="4"/>
    <n v="4"/>
    <n v="2"/>
    <n v="1"/>
    <x v="3"/>
    <x v="21"/>
    <d v="2015-06-11T11:10:19"/>
    <n v="11"/>
    <n v="5"/>
    <n v="11"/>
  </r>
  <r>
    <n v="768"/>
    <s v="Georgia"/>
    <s v="30045"/>
    <d v="2015-01-03T17:18:53"/>
    <d v="2015-01-04T13:07:06"/>
    <n v="3"/>
    <n v="0"/>
    <n v="12"/>
    <n v="2"/>
    <n v="1"/>
    <x v="2"/>
    <x v="14"/>
    <d v="2015-01-03T17:18:54"/>
    <n v="3"/>
    <n v="7"/>
    <n v="17"/>
  </r>
  <r>
    <n v="769"/>
    <s v="Florida"/>
    <s v="34608"/>
    <d v="2015-03-07T23:11:35"/>
    <d v="2015-03-07T23:11:39"/>
    <n v="1"/>
    <n v="0"/>
    <n v="8"/>
    <n v="3"/>
    <n v="1"/>
    <x v="3"/>
    <x v="5"/>
    <d v="2015-03-07T23:13:53"/>
    <n v="7"/>
    <n v="7"/>
    <n v="23"/>
  </r>
  <r>
    <n v="771"/>
    <s v="Illinois"/>
    <s v="60618"/>
    <d v="2015-01-12T12:40:54"/>
    <d v="2015-02-10T12:25:02"/>
    <n v="6"/>
    <n v="0"/>
    <n v="11"/>
    <n v="8"/>
    <n v="2"/>
    <x v="8"/>
    <x v="4"/>
    <d v="2015-01-12T12:40:56"/>
    <n v="12"/>
    <n v="2"/>
    <n v="12"/>
  </r>
  <r>
    <n v="772"/>
    <s v="Florida"/>
    <s v="33432"/>
    <d v="2015-03-13T20:00:20"/>
    <d v="2015-03-13T20:00:27"/>
    <n v="1"/>
    <n v="0"/>
    <n v="8"/>
    <n v="1"/>
    <n v="1"/>
    <x v="2"/>
    <x v="2"/>
    <d v="2015-03-13T20:00:22"/>
    <n v="13"/>
    <n v="6"/>
    <n v="20"/>
  </r>
  <r>
    <n v="773"/>
    <m/>
    <m/>
    <d v="2015-02-06T21:59:27"/>
    <d v="2015-02-06T21:59:32"/>
    <n v="1"/>
    <n v="0"/>
    <n v="4"/>
    <n v="2"/>
    <n v="1"/>
    <x v="3"/>
    <x v="109"/>
    <d v="2015-02-06T21:59:29"/>
    <n v="6"/>
    <n v="6"/>
    <n v="21"/>
  </r>
  <r>
    <n v="774"/>
    <s v="California"/>
    <s v="92648"/>
    <d v="2015-07-13T19:23:55"/>
    <d v="2015-07-13T17:43:39"/>
    <n v="3"/>
    <n v="4"/>
    <n v="4"/>
    <n v="2"/>
    <n v="1"/>
    <x v="3"/>
    <x v="23"/>
    <d v="2015-07-13T15:23:56"/>
    <n v="13"/>
    <n v="2"/>
    <n v="15"/>
  </r>
  <r>
    <n v="775"/>
    <s v="Connecticut"/>
    <s v="06437"/>
    <d v="2015-09-25T00:37:14"/>
    <d v="2015-09-24T20:37:18"/>
    <n v="1"/>
    <n v="2"/>
    <n v="2"/>
    <n v="2"/>
    <n v="1"/>
    <x v="0"/>
    <x v="6"/>
    <d v="2015-09-24T20:37:15"/>
    <n v="24"/>
    <n v="5"/>
    <n v="20"/>
  </r>
  <r>
    <n v="777"/>
    <s v="California"/>
    <s v="94110"/>
    <d v="2015-06-01T15:09:41"/>
    <d v="2015-06-01T15:09:46"/>
    <n v="1"/>
    <n v="18"/>
    <n v="10"/>
    <n v="7"/>
    <n v="1"/>
    <x v="5"/>
    <x v="110"/>
    <d v="2015-06-01T15:09:42"/>
    <n v="1"/>
    <n v="2"/>
    <n v="15"/>
  </r>
  <r>
    <n v="778"/>
    <s v="California"/>
    <s v="94501"/>
    <d v="2015-03-18T21:24:56"/>
    <d v="2015-03-18T21:25:00"/>
    <n v="1"/>
    <n v="2"/>
    <n v="4"/>
    <n v="1"/>
    <n v="1"/>
    <x v="2"/>
    <x v="2"/>
    <d v="2015-03-18T21:24:57"/>
    <n v="18"/>
    <n v="4"/>
    <n v="21"/>
  </r>
  <r>
    <n v="779"/>
    <s v="California"/>
    <s v="95835"/>
    <d v="2015-03-24T19:42:27"/>
    <d v="2015-03-24T19:42:30"/>
    <n v="1"/>
    <n v="0"/>
    <n v="2"/>
    <n v="2"/>
    <n v="1"/>
    <x v="0"/>
    <x v="23"/>
    <d v="2015-03-24T19:45:17"/>
    <n v="24"/>
    <n v="3"/>
    <n v="19"/>
  </r>
  <r>
    <n v="780"/>
    <s v="Missouri"/>
    <s v="63025"/>
    <d v="2015-02-20T11:55:20"/>
    <d v="2015-02-20T11:55:24"/>
    <n v="1"/>
    <n v="0"/>
    <n v="2"/>
    <n v="1"/>
    <n v="1"/>
    <x v="2"/>
    <x v="2"/>
    <d v="2015-02-20T11:55:21"/>
    <n v="20"/>
    <n v="6"/>
    <n v="11"/>
  </r>
  <r>
    <n v="781"/>
    <s v="Texas"/>
    <s v="76633"/>
    <d v="2015-02-06T23:39:35"/>
    <d v="2015-02-07T13:37:29"/>
    <n v="2"/>
    <n v="1"/>
    <n v="2"/>
    <n v="2"/>
    <n v="1"/>
    <x v="0"/>
    <x v="58"/>
    <d v="2015-02-06T23:39:36"/>
    <n v="6"/>
    <n v="6"/>
    <n v="23"/>
  </r>
  <r>
    <n v="782"/>
    <m/>
    <m/>
    <d v="2015-06-08T22:31:07"/>
    <d v="2015-06-08T18:31:09"/>
    <n v="1"/>
    <n v="4"/>
    <n v="4"/>
    <n v="2"/>
    <n v="1"/>
    <x v="3"/>
    <x v="28"/>
    <d v="2015-06-08T18:33:40"/>
    <n v="8"/>
    <n v="2"/>
    <n v="18"/>
  </r>
  <r>
    <n v="783"/>
    <s v="District of Columbia"/>
    <s v="20036"/>
    <d v="2015-01-10T15:48:39"/>
    <d v="2015-03-06T21:58:55"/>
    <n v="2"/>
    <n v="5"/>
    <n v="3"/>
    <n v="6"/>
    <n v="2"/>
    <x v="3"/>
    <x v="23"/>
    <d v="2015-01-10T15:48:40"/>
    <n v="10"/>
    <n v="7"/>
    <n v="15"/>
  </r>
  <r>
    <n v="784"/>
    <m/>
    <m/>
    <d v="2015-06-03T18:01:06"/>
    <d v="2015-06-03T14:01:15"/>
    <n v="1"/>
    <n v="2"/>
    <n v="10"/>
    <n v="7"/>
    <n v="1"/>
    <x v="1"/>
    <x v="11"/>
    <d v="2015-06-03T14:18:45"/>
    <n v="3"/>
    <n v="4"/>
    <n v="14"/>
  </r>
  <r>
    <n v="785"/>
    <s v="Colorado"/>
    <s v="80917"/>
    <d v="2015-02-17T15:31:13"/>
    <d v="2015-02-17T15:31:18"/>
    <n v="1"/>
    <n v="0"/>
    <n v="4"/>
    <n v="1"/>
    <n v="1"/>
    <x v="3"/>
    <x v="4"/>
    <d v="2015-02-17T15:31:15"/>
    <n v="17"/>
    <n v="3"/>
    <n v="15"/>
  </r>
  <r>
    <n v="786"/>
    <s v="Texas"/>
    <s v="78665"/>
    <d v="2015-07-29T19:44:10"/>
    <d v="2015-07-29T19:44:14"/>
    <n v="1"/>
    <n v="4"/>
    <n v="10"/>
    <n v="5"/>
    <n v="1"/>
    <x v="6"/>
    <x v="111"/>
    <d v="2015-07-29T19:44:10"/>
    <n v="29"/>
    <n v="4"/>
    <n v="19"/>
  </r>
  <r>
    <n v="787"/>
    <m/>
    <m/>
    <d v="2015-02-04T12:11:31"/>
    <d v="2015-02-04T17:32:11"/>
    <n v="2"/>
    <n v="0"/>
    <n v="9"/>
    <n v="17"/>
    <n v="1"/>
    <x v="2"/>
    <x v="58"/>
    <d v="2015-02-04T17:42:55"/>
    <n v="4"/>
    <n v="4"/>
    <n v="17"/>
  </r>
  <r>
    <n v="788"/>
    <s v="Illinois"/>
    <s v="60559"/>
    <d v="2015-03-02T22:58:26"/>
    <d v="2015-03-02T22:58:28"/>
    <n v="1"/>
    <n v="1"/>
    <n v="2"/>
    <n v="1"/>
    <n v="1"/>
    <x v="3"/>
    <x v="14"/>
    <d v="2015-03-02T23:06:45"/>
    <n v="2"/>
    <n v="2"/>
    <n v="23"/>
  </r>
  <r>
    <n v="789"/>
    <s v="Arkansas"/>
    <s v="72205"/>
    <d v="2015-06-27T19:49:51"/>
    <d v="2015-06-27T19:49:58"/>
    <n v="1"/>
    <n v="10"/>
    <n v="4"/>
    <n v="2"/>
    <n v="1"/>
    <x v="3"/>
    <x v="28"/>
    <d v="2015-06-27T19:49:52"/>
    <n v="27"/>
    <n v="7"/>
    <n v="19"/>
  </r>
  <r>
    <n v="791"/>
    <s v="California"/>
    <s v="95926"/>
    <d v="2015-03-02T21:38:17"/>
    <d v="2015-03-02T21:38:24"/>
    <n v="1"/>
    <n v="0"/>
    <n v="12"/>
    <n v="1"/>
    <n v="1"/>
    <x v="17"/>
    <x v="112"/>
    <d v="2015-03-02T21:38:18"/>
    <n v="2"/>
    <n v="2"/>
    <n v="21"/>
  </r>
  <r>
    <n v="792"/>
    <m/>
    <m/>
    <d v="2015-05-17T18:05:37"/>
    <d v="2015-05-17T14:05:39"/>
    <n v="1"/>
    <n v="3"/>
    <n v="5"/>
    <n v="3"/>
    <n v="1"/>
    <x v="3"/>
    <x v="5"/>
    <d v="2015-05-17T14:13:29"/>
    <n v="17"/>
    <n v="1"/>
    <n v="14"/>
  </r>
  <r>
    <n v="793"/>
    <s v="Virginia"/>
    <s v="23669"/>
    <d v="2014-09-27T22:02:24"/>
    <d v="2015-03-08T00:22:57"/>
    <n v="6"/>
    <n v="7"/>
    <n v="3"/>
    <n v="8"/>
    <n v="2"/>
    <x v="3"/>
    <x v="14"/>
    <d v="2015-02-09T11:32:16"/>
    <n v="9"/>
    <n v="2"/>
    <n v="11"/>
  </r>
  <r>
    <n v="794"/>
    <s v="Tennessee"/>
    <s v="37067"/>
    <d v="2015-07-02T13:39:49"/>
    <d v="2015-07-02T09:39:53"/>
    <n v="1"/>
    <n v="0"/>
    <n v="2"/>
    <n v="2"/>
    <n v="1"/>
    <x v="0"/>
    <x v="28"/>
    <d v="2015-07-02T09:39:50"/>
    <n v="2"/>
    <n v="5"/>
    <n v="9"/>
  </r>
  <r>
    <n v="795"/>
    <s v="Illinois"/>
    <s v="60014"/>
    <d v="2015-05-21T21:08:05"/>
    <d v="2015-05-21T21:08:08"/>
    <n v="1"/>
    <n v="0"/>
    <n v="4"/>
    <n v="5"/>
    <n v="1"/>
    <x v="0"/>
    <x v="2"/>
    <d v="2015-05-21T21:08:06"/>
    <n v="21"/>
    <n v="5"/>
    <n v="21"/>
  </r>
  <r>
    <n v="796"/>
    <s v="Arizona"/>
    <s v="85248"/>
    <d v="2015-03-11T22:51:56"/>
    <d v="2015-03-11T22:52:03"/>
    <n v="1"/>
    <n v="0"/>
    <n v="10"/>
    <n v="1"/>
    <n v="1"/>
    <x v="6"/>
    <x v="14"/>
    <d v="2015-03-11T22:51:57"/>
    <n v="11"/>
    <n v="4"/>
    <n v="22"/>
  </r>
  <r>
    <n v="797"/>
    <s v="Nevada"/>
    <s v="89130"/>
    <d v="2015-01-23T12:26:44"/>
    <d v="2015-01-23T12:26:52"/>
    <n v="1"/>
    <n v="0"/>
    <n v="2"/>
    <n v="2"/>
    <n v="1"/>
    <x v="0"/>
    <x v="16"/>
    <d v="2015-01-23T12:26:50"/>
    <n v="23"/>
    <n v="6"/>
    <n v="12"/>
  </r>
  <r>
    <n v="798"/>
    <s v="Pennsylvania"/>
    <s v="18974"/>
    <d v="2015-07-15T14:16:49"/>
    <d v="2015-07-15T14:16:52"/>
    <n v="1"/>
    <n v="2"/>
    <n v="6"/>
    <n v="2"/>
    <n v="1"/>
    <x v="2"/>
    <x v="113"/>
    <d v="2015-07-15T14:16:49"/>
    <n v="15"/>
    <n v="4"/>
    <n v="14"/>
  </r>
  <r>
    <n v="799"/>
    <s v="Wisconsin"/>
    <s v="54944"/>
    <d v="2015-09-11T08:21:06"/>
    <d v="2015-09-11T08:21:10"/>
    <n v="1"/>
    <n v="2"/>
    <n v="2"/>
    <n v="2"/>
    <n v="1"/>
    <x v="0"/>
    <x v="3"/>
    <d v="2015-09-11T08:21:06"/>
    <n v="11"/>
    <n v="6"/>
    <n v="8"/>
  </r>
  <r>
    <n v="800"/>
    <s v="Connecticut"/>
    <s v="06611"/>
    <d v="2015-03-24T20:53:18"/>
    <d v="2015-03-24T20:53:24"/>
    <n v="1"/>
    <n v="0"/>
    <n v="2"/>
    <n v="1"/>
    <n v="1"/>
    <x v="0"/>
    <x v="21"/>
    <d v="2015-03-24T20:53:20"/>
    <n v="24"/>
    <n v="3"/>
    <n v="20"/>
  </r>
  <r>
    <n v="801"/>
    <s v="Utah"/>
    <s v="84103"/>
    <d v="2015-07-02T09:53:40"/>
    <d v="2015-07-02T09:53:44"/>
    <n v="1"/>
    <n v="0"/>
    <n v="8"/>
    <n v="2"/>
    <n v="1"/>
    <x v="2"/>
    <x v="14"/>
    <d v="2015-07-02T09:53:40"/>
    <n v="2"/>
    <n v="5"/>
    <n v="9"/>
  </r>
  <r>
    <n v="802"/>
    <s v="New Hampshire"/>
    <s v="03301"/>
    <d v="2015-03-04T14:47:26"/>
    <d v="2015-03-04T14:47:31"/>
    <n v="1"/>
    <n v="0"/>
    <n v="16"/>
    <n v="1"/>
    <n v="1"/>
    <x v="2"/>
    <x v="2"/>
    <d v="2015-03-04T14:47:27"/>
    <n v="4"/>
    <n v="4"/>
    <n v="14"/>
  </r>
  <r>
    <n v="803"/>
    <s v="Texas"/>
    <s v="77351"/>
    <d v="2015-01-22T16:01:21"/>
    <d v="2015-01-22T16:01:25"/>
    <n v="1"/>
    <n v="0"/>
    <n v="4"/>
    <n v="3"/>
    <n v="1"/>
    <x v="3"/>
    <x v="4"/>
    <d v="2015-01-22T16:01:22"/>
    <n v="22"/>
    <n v="5"/>
    <n v="16"/>
  </r>
  <r>
    <n v="804"/>
    <s v="Georgia"/>
    <s v="30291"/>
    <d v="2015-08-21T17:44:46"/>
    <d v="2015-08-21T13:44:50"/>
    <n v="1"/>
    <n v="4"/>
    <n v="2"/>
    <n v="2"/>
    <n v="1"/>
    <x v="0"/>
    <x v="6"/>
    <d v="2015-08-21T13:44:47"/>
    <n v="21"/>
    <n v="6"/>
    <n v="13"/>
  </r>
  <r>
    <n v="805"/>
    <s v="Missouri"/>
    <s v="63368"/>
    <d v="2015-02-04T19:23:15"/>
    <d v="2015-02-18T23:14:32"/>
    <n v="5"/>
    <n v="0"/>
    <n v="9"/>
    <n v="6"/>
    <n v="2"/>
    <x v="2"/>
    <x v="4"/>
    <d v="2015-02-04T19:23:17"/>
    <n v="4"/>
    <n v="4"/>
    <n v="19"/>
  </r>
  <r>
    <n v="806"/>
    <s v="California"/>
    <s v="94941"/>
    <d v="2015-03-11T00:40:30"/>
    <d v="2015-03-11T00:40:35"/>
    <n v="1"/>
    <n v="2"/>
    <n v="2"/>
    <n v="1"/>
    <n v="1"/>
    <x v="0"/>
    <x v="16"/>
    <d v="2015-03-11T00:40:31"/>
    <n v="11"/>
    <n v="4"/>
    <n v="0"/>
  </r>
  <r>
    <n v="807"/>
    <s v="Iowa"/>
    <s v="50322"/>
    <d v="2015-01-17T12:24:29"/>
    <d v="2015-01-17T12:24:33"/>
    <n v="1"/>
    <n v="0"/>
    <n v="6"/>
    <n v="2"/>
    <n v="1"/>
    <x v="3"/>
    <x v="4"/>
    <d v="2015-01-17T12:24:30"/>
    <n v="17"/>
    <n v="7"/>
    <n v="12"/>
  </r>
  <r>
    <n v="808"/>
    <s v="Illinois"/>
    <s v="60030"/>
    <d v="2015-06-01T18:09:42"/>
    <d v="2015-06-03T14:53:43"/>
    <n v="5"/>
    <n v="0"/>
    <n v="6"/>
    <n v="8"/>
    <n v="1"/>
    <x v="1"/>
    <x v="8"/>
    <d v="2015-06-01T14:11:14"/>
    <n v="1"/>
    <n v="2"/>
    <n v="14"/>
  </r>
  <r>
    <n v="809"/>
    <s v="Nebraska"/>
    <s v="68059"/>
    <d v="2015-05-25T11:34:44"/>
    <d v="2015-05-25T11:34:48"/>
    <n v="1"/>
    <n v="2"/>
    <n v="2"/>
    <n v="2"/>
    <n v="1"/>
    <x v="0"/>
    <x v="2"/>
    <d v="2015-05-25T11:34:45"/>
    <n v="25"/>
    <n v="2"/>
    <n v="11"/>
  </r>
  <r>
    <n v="810"/>
    <s v="Michigan"/>
    <s v="48307"/>
    <d v="2015-01-18T16:30:29"/>
    <d v="2015-01-19T08:38:16"/>
    <n v="2"/>
    <n v="0"/>
    <n v="2"/>
    <n v="3"/>
    <n v="1"/>
    <x v="2"/>
    <x v="2"/>
    <d v="2015-01-18T16:30:38"/>
    <n v="18"/>
    <n v="1"/>
    <n v="16"/>
  </r>
  <r>
    <n v="811"/>
    <s v="Kentucky"/>
    <s v="41018"/>
    <d v="2015-07-08T12:27:45"/>
    <d v="2015-07-08T08:27:49"/>
    <n v="1"/>
    <n v="4"/>
    <n v="4"/>
    <n v="2"/>
    <n v="1"/>
    <x v="3"/>
    <x v="20"/>
    <d v="2015-07-08T08:27:46"/>
    <n v="8"/>
    <n v="4"/>
    <n v="8"/>
  </r>
  <r>
    <n v="812"/>
    <s v="New York"/>
    <s v="10010"/>
    <d v="2015-07-13T16:01:03"/>
    <d v="2015-07-13T16:01:06"/>
    <n v="1"/>
    <n v="2"/>
    <n v="2"/>
    <n v="2"/>
    <n v="1"/>
    <x v="8"/>
    <x v="23"/>
    <d v="2015-07-13T16:01:03"/>
    <n v="13"/>
    <n v="2"/>
    <n v="16"/>
  </r>
  <r>
    <n v="813"/>
    <m/>
    <m/>
    <d v="2015-07-06T17:44:20"/>
    <d v="2015-07-06T13:44:21"/>
    <n v="1"/>
    <n v="2"/>
    <n v="4"/>
    <n v="4"/>
    <n v="1"/>
    <x v="0"/>
    <x v="2"/>
    <d v="2015-07-06T13:45:55"/>
    <n v="6"/>
    <n v="2"/>
    <n v="13"/>
  </r>
  <r>
    <n v="814"/>
    <s v="Illinois"/>
    <s v="62062"/>
    <d v="2015-01-22T11:53:21"/>
    <d v="2015-01-22T11:53:25"/>
    <n v="1"/>
    <n v="0"/>
    <n v="2"/>
    <n v="2"/>
    <n v="1"/>
    <x v="3"/>
    <x v="4"/>
    <d v="2015-01-22T11:53:22"/>
    <n v="22"/>
    <n v="5"/>
    <n v="11"/>
  </r>
  <r>
    <n v="815"/>
    <m/>
    <m/>
    <d v="2015-09-08T19:53:36"/>
    <d v="2015-09-08T19:53:37"/>
    <n v="1"/>
    <n v="2"/>
    <n v="2"/>
    <n v="2"/>
    <n v="1"/>
    <x v="0"/>
    <x v="6"/>
    <d v="2015-09-08T19:56:34"/>
    <n v="8"/>
    <n v="3"/>
    <n v="19"/>
  </r>
  <r>
    <n v="816"/>
    <s v="Iowa"/>
    <s v="50131"/>
    <d v="2015-07-03T14:22:37"/>
    <d v="2015-07-03T14:22:41"/>
    <n v="1"/>
    <n v="6"/>
    <n v="10"/>
    <n v="2"/>
    <n v="1"/>
    <x v="6"/>
    <x v="14"/>
    <d v="2015-07-03T14:22:37"/>
    <n v="3"/>
    <n v="6"/>
    <n v="14"/>
  </r>
  <r>
    <n v="817"/>
    <s v="Texas"/>
    <s v="75019"/>
    <d v="2015-06-25T06:06:48"/>
    <d v="2015-06-25T06:06:52"/>
    <n v="1"/>
    <n v="2"/>
    <n v="2"/>
    <n v="3"/>
    <n v="1"/>
    <x v="2"/>
    <x v="2"/>
    <d v="2015-06-25T06:06:49"/>
    <n v="25"/>
    <n v="5"/>
    <n v="6"/>
  </r>
  <r>
    <n v="818"/>
    <s v="Washington"/>
    <s v="98550"/>
    <d v="2015-04-08T13:26:01"/>
    <d v="2015-04-08T13:26:03"/>
    <n v="1"/>
    <n v="0"/>
    <n v="2"/>
    <n v="1"/>
    <n v="1"/>
    <x v="0"/>
    <x v="2"/>
    <d v="2015-04-08T13:34:38"/>
    <n v="8"/>
    <n v="4"/>
    <n v="13"/>
  </r>
  <r>
    <n v="819"/>
    <m/>
    <m/>
    <d v="2015-03-07T16:05:26"/>
    <d v="2015-03-07T16:05:31"/>
    <n v="1"/>
    <n v="2"/>
    <n v="2"/>
    <n v="3"/>
    <n v="1"/>
    <x v="0"/>
    <x v="21"/>
    <d v="2015-03-07T16:05:27"/>
    <n v="7"/>
    <n v="7"/>
    <n v="16"/>
  </r>
  <r>
    <n v="820"/>
    <s v="New York"/>
    <s v="14534"/>
    <d v="2015-09-15T21:19:41"/>
    <d v="2015-09-15T21:19:44"/>
    <n v="1"/>
    <n v="4"/>
    <n v="2"/>
    <n v="3"/>
    <n v="1"/>
    <x v="0"/>
    <x v="6"/>
    <d v="2015-09-15T21:19:41"/>
    <n v="15"/>
    <n v="3"/>
    <n v="21"/>
  </r>
  <r>
    <n v="821"/>
    <s v="Connecticut"/>
    <s v="06457"/>
    <d v="2015-01-19T19:04:21"/>
    <d v="2015-01-19T19:04:26"/>
    <n v="1"/>
    <n v="0"/>
    <n v="2"/>
    <n v="2"/>
    <n v="1"/>
    <x v="0"/>
    <x v="21"/>
    <d v="2015-01-19T19:04:23"/>
    <n v="19"/>
    <n v="2"/>
    <n v="19"/>
  </r>
  <r>
    <n v="822"/>
    <s v="Alabama"/>
    <s v="35079"/>
    <d v="2015-02-13T09:56:16"/>
    <d v="2015-02-13T09:56:20"/>
    <n v="1"/>
    <n v="0"/>
    <n v="4"/>
    <n v="3"/>
    <n v="1"/>
    <x v="3"/>
    <x v="13"/>
    <d v="2015-02-13T09:56:17"/>
    <n v="13"/>
    <n v="6"/>
    <n v="9"/>
  </r>
  <r>
    <n v="823"/>
    <s v="North Dakota"/>
    <s v="58701"/>
    <d v="2015-01-30T05:39:04"/>
    <d v="2015-02-04T13:40:47"/>
    <n v="6"/>
    <n v="2"/>
    <n v="2"/>
    <n v="2"/>
    <n v="1"/>
    <x v="0"/>
    <x v="21"/>
    <d v="2015-01-30T05:39:07"/>
    <n v="30"/>
    <n v="6"/>
    <n v="5"/>
  </r>
  <r>
    <n v="824"/>
    <s v="New York"/>
    <s v="10011"/>
    <d v="2015-06-15T12:34:10"/>
    <d v="2015-06-15T17:01:14"/>
    <n v="3"/>
    <n v="2"/>
    <n v="4"/>
    <n v="3"/>
    <n v="1"/>
    <x v="0"/>
    <x v="2"/>
    <d v="2015-06-15T12:34:11"/>
    <n v="15"/>
    <n v="2"/>
    <n v="12"/>
  </r>
  <r>
    <n v="825"/>
    <s v="New York"/>
    <s v="10021"/>
    <d v="2015-04-21T19:31:36"/>
    <d v="2015-04-22T22:51:05"/>
    <n v="3"/>
    <n v="4"/>
    <n v="12"/>
    <n v="3"/>
    <n v="1"/>
    <x v="2"/>
    <x v="2"/>
    <d v="2015-04-21T19:31:37"/>
    <n v="21"/>
    <n v="3"/>
    <n v="19"/>
  </r>
  <r>
    <n v="826"/>
    <s v="Virginia"/>
    <s v="20111"/>
    <d v="2015-08-29T10:45:04"/>
    <d v="2015-08-29T10:45:08"/>
    <n v="1"/>
    <n v="12"/>
    <n v="8"/>
    <n v="2"/>
    <n v="1"/>
    <x v="2"/>
    <x v="114"/>
    <d v="2015-08-29T10:45:04"/>
    <n v="29"/>
    <n v="7"/>
    <n v="10"/>
  </r>
  <r>
    <n v="827"/>
    <s v="California"/>
    <s v="90211"/>
    <d v="2015-06-06T17:42:57"/>
    <d v="2015-06-06T17:43:01"/>
    <n v="1"/>
    <n v="0"/>
    <n v="2"/>
    <n v="2"/>
    <n v="1"/>
    <x v="0"/>
    <x v="2"/>
    <d v="2015-06-06T17:42:58"/>
    <n v="6"/>
    <n v="7"/>
    <n v="17"/>
  </r>
  <r>
    <n v="828"/>
    <m/>
    <m/>
    <d v="2015-04-17T20:42:22"/>
    <d v="2015-04-17T20:42:27"/>
    <n v="1"/>
    <n v="2"/>
    <n v="20"/>
    <n v="4"/>
    <n v="1"/>
    <x v="6"/>
    <x v="14"/>
    <d v="2015-04-17T20:46:08"/>
    <n v="17"/>
    <n v="6"/>
    <n v="20"/>
  </r>
  <r>
    <n v="829"/>
    <s v="Texas"/>
    <s v="78723"/>
    <d v="2015-08-18T01:25:22"/>
    <d v="2015-08-18T01:25:25"/>
    <n v="1"/>
    <n v="8"/>
    <n v="2"/>
    <n v="2"/>
    <n v="1"/>
    <x v="0"/>
    <x v="6"/>
    <d v="2015-08-18T01:25:22"/>
    <n v="18"/>
    <n v="3"/>
    <n v="1"/>
  </r>
  <r>
    <n v="830"/>
    <s v="Virginia"/>
    <s v="22308"/>
    <d v="2015-07-25T18:06:32"/>
    <d v="2015-07-26T12:44:01"/>
    <n v="4"/>
    <n v="14"/>
    <n v="6"/>
    <n v="5"/>
    <n v="1"/>
    <x v="1"/>
    <x v="115"/>
    <d v="2015-07-25T18:06:33"/>
    <n v="25"/>
    <n v="7"/>
    <n v="18"/>
  </r>
  <r>
    <n v="831"/>
    <s v="Massachusetts"/>
    <s v="02184"/>
    <d v="2015-01-17T20:53:40"/>
    <d v="2015-01-30T08:43:44"/>
    <n v="5"/>
    <n v="0"/>
    <n v="14"/>
    <n v="8"/>
    <n v="1"/>
    <x v="4"/>
    <x v="85"/>
    <d v="2015-01-17T20:53:42"/>
    <n v="17"/>
    <n v="7"/>
    <n v="20"/>
  </r>
  <r>
    <n v="832"/>
    <s v="Pennsylvania"/>
    <s v="16229"/>
    <d v="2015-09-05T08:57:01"/>
    <d v="2015-09-05T08:57:02"/>
    <n v="1"/>
    <n v="5"/>
    <n v="7"/>
    <n v="5"/>
    <n v="1"/>
    <x v="0"/>
    <x v="6"/>
    <d v="2015-09-05T09:21:02"/>
    <n v="5"/>
    <n v="7"/>
    <n v="9"/>
  </r>
  <r>
    <n v="833"/>
    <s v="Colorado"/>
    <s v="81621"/>
    <d v="2015-01-18T23:47:31"/>
    <d v="2015-01-18T23:47:36"/>
    <n v="1"/>
    <n v="0"/>
    <n v="8"/>
    <n v="2"/>
    <n v="1"/>
    <x v="2"/>
    <x v="2"/>
    <d v="2015-01-18T23:47:33"/>
    <n v="18"/>
    <n v="1"/>
    <n v="23"/>
  </r>
  <r>
    <n v="834"/>
    <s v="Ohio"/>
    <s v="44118"/>
    <d v="2015-02-07T07:54:29"/>
    <d v="2015-02-08T08:21:35"/>
    <n v="3"/>
    <n v="2"/>
    <n v="10"/>
    <n v="3"/>
    <n v="1"/>
    <x v="2"/>
    <x v="65"/>
    <d v="2015-02-07T07:54:31"/>
    <n v="7"/>
    <n v="7"/>
    <n v="7"/>
  </r>
  <r>
    <n v="835"/>
    <s v="Minnesota"/>
    <s v="55317"/>
    <d v="2015-09-05T16:26:58"/>
    <d v="2015-09-05T16:27:09"/>
    <n v="1"/>
    <n v="2"/>
    <n v="2"/>
    <n v="2"/>
    <n v="1"/>
    <x v="0"/>
    <x v="86"/>
    <d v="2015-09-05T16:26:58"/>
    <n v="5"/>
    <n v="7"/>
    <n v="16"/>
  </r>
  <r>
    <n v="836"/>
    <s v="Ohio"/>
    <s v="44120"/>
    <d v="2015-06-12T12:56:18"/>
    <d v="2015-06-12T12:56:27"/>
    <n v="1"/>
    <n v="0"/>
    <n v="10"/>
    <n v="3"/>
    <n v="1"/>
    <x v="2"/>
    <x v="1"/>
    <d v="2015-06-12T12:56:24"/>
    <n v="12"/>
    <n v="6"/>
    <n v="12"/>
  </r>
  <r>
    <n v="837"/>
    <s v="Minnesota"/>
    <s v="55106"/>
    <d v="2015-03-07T10:38:12"/>
    <d v="2015-03-07T10:38:16"/>
    <n v="1"/>
    <n v="0"/>
    <n v="6"/>
    <n v="1"/>
    <n v="1"/>
    <x v="3"/>
    <x v="4"/>
    <d v="2015-03-07T10:38:13"/>
    <n v="7"/>
    <n v="7"/>
    <n v="10"/>
  </r>
  <r>
    <n v="838"/>
    <m/>
    <m/>
    <d v="2015-03-15T21:27:41"/>
    <d v="2015-05-13T18:32:33"/>
    <n v="2"/>
    <n v="1"/>
    <n v="2"/>
    <n v="2"/>
    <n v="1"/>
    <x v="3"/>
    <x v="5"/>
    <d v="2015-05-13T18:36:31"/>
    <n v="13"/>
    <n v="4"/>
    <n v="18"/>
  </r>
  <r>
    <n v="839"/>
    <s v="Florida"/>
    <s v="32955"/>
    <d v="2015-07-15T01:14:53"/>
    <d v="2015-07-14T21:14:54"/>
    <n v="1"/>
    <n v="0"/>
    <n v="4"/>
    <n v="6"/>
    <n v="1"/>
    <x v="3"/>
    <x v="56"/>
    <d v="2015-07-14T21:19:04"/>
    <n v="14"/>
    <n v="3"/>
    <n v="21"/>
  </r>
  <r>
    <n v="840"/>
    <s v="North Carolina"/>
    <s v="28540"/>
    <d v="2015-03-18T13:28:24"/>
    <d v="2015-03-18T15:38:51"/>
    <n v="3"/>
    <n v="0"/>
    <n v="4"/>
    <n v="2"/>
    <n v="1"/>
    <x v="2"/>
    <x v="2"/>
    <d v="2015-03-18T13:36:04"/>
    <n v="18"/>
    <n v="4"/>
    <n v="13"/>
  </r>
  <r>
    <n v="841"/>
    <s v="Massachusetts"/>
    <s v="02766"/>
    <d v="2015-07-01T13:27:02"/>
    <d v="2015-07-01T13:27:05"/>
    <n v="1"/>
    <n v="0"/>
    <n v="2"/>
    <n v="2"/>
    <n v="1"/>
    <x v="0"/>
    <x v="2"/>
    <d v="2015-07-01T13:27:02"/>
    <n v="1"/>
    <n v="4"/>
    <n v="13"/>
  </r>
  <r>
    <n v="842"/>
    <s v="Colorado"/>
    <s v="81521"/>
    <d v="2015-05-29T13:53:28"/>
    <d v="2015-05-29T13:53:32"/>
    <n v="1"/>
    <n v="0"/>
    <n v="2"/>
    <n v="2"/>
    <n v="1"/>
    <x v="0"/>
    <x v="2"/>
    <d v="2015-05-29T13:53:29"/>
    <n v="29"/>
    <n v="6"/>
    <n v="13"/>
  </r>
  <r>
    <n v="843"/>
    <m/>
    <m/>
    <d v="2015-04-16T18:53:48"/>
    <d v="2015-04-16T18:53:52"/>
    <n v="1"/>
    <n v="0"/>
    <n v="8"/>
    <n v="3"/>
    <n v="1"/>
    <x v="2"/>
    <x v="2"/>
    <d v="2015-04-16T18:56:33"/>
    <n v="16"/>
    <n v="5"/>
    <n v="18"/>
  </r>
  <r>
    <n v="844"/>
    <s v="New York"/>
    <s v="11226"/>
    <d v="2015-01-18T01:06:04"/>
    <d v="2015-01-18T01:06:09"/>
    <n v="1"/>
    <n v="0"/>
    <n v="4"/>
    <n v="2"/>
    <n v="1"/>
    <x v="3"/>
    <x v="4"/>
    <d v="2015-01-18T01:06:06"/>
    <n v="18"/>
    <n v="1"/>
    <n v="1"/>
  </r>
  <r>
    <n v="845"/>
    <m/>
    <m/>
    <d v="2015-01-19T19:16:05"/>
    <d v="2015-01-19T19:16:10"/>
    <n v="1"/>
    <n v="0"/>
    <n v="6"/>
    <n v="5"/>
    <n v="1"/>
    <x v="3"/>
    <x v="13"/>
    <d v="2015-01-19T19:18:19"/>
    <n v="19"/>
    <n v="2"/>
    <n v="19"/>
  </r>
  <r>
    <n v="846"/>
    <s v="Washington"/>
    <s v="98444"/>
    <d v="2015-04-01T18:05:51"/>
    <d v="2015-04-01T18:05:55"/>
    <n v="1"/>
    <n v="0"/>
    <n v="7"/>
    <n v="7"/>
    <n v="1"/>
    <x v="2"/>
    <x v="2"/>
    <d v="2015-04-01T18:27:53"/>
    <n v="1"/>
    <n v="4"/>
    <n v="18"/>
  </r>
  <r>
    <n v="848"/>
    <s v="Wisconsin"/>
    <s v="53114"/>
    <d v="2015-06-03T22:03:06"/>
    <d v="2015-06-03T22:03:09"/>
    <n v="1"/>
    <n v="0"/>
    <n v="2"/>
    <n v="2"/>
    <n v="1"/>
    <x v="2"/>
    <x v="14"/>
    <d v="2015-06-03T22:03:07"/>
    <n v="3"/>
    <n v="4"/>
    <n v="22"/>
  </r>
  <r>
    <n v="849"/>
    <s v="Ohio"/>
    <s v="44805"/>
    <d v="2015-06-15T10:16:24"/>
    <d v="2015-06-15T10:16:29"/>
    <n v="1"/>
    <n v="2"/>
    <n v="8"/>
    <n v="2"/>
    <n v="1"/>
    <x v="4"/>
    <x v="23"/>
    <d v="2015-06-15T10:16:25"/>
    <n v="15"/>
    <n v="2"/>
    <n v="10"/>
  </r>
  <r>
    <n v="850"/>
    <m/>
    <m/>
    <d v="2015-09-11T12:24:41"/>
    <d v="2015-09-11T12:24:41"/>
    <n v="1"/>
    <n v="3"/>
    <n v="2"/>
    <n v="1"/>
    <n v="1"/>
    <x v="2"/>
    <x v="12"/>
    <d v="2015-09-11T12:29:59"/>
    <n v="11"/>
    <n v="6"/>
    <n v="12"/>
  </r>
  <r>
    <n v="851"/>
    <s v="Ohio"/>
    <s v="43206"/>
    <d v="2015-04-06T13:43:58"/>
    <d v="2015-04-06T13:44:04"/>
    <n v="1"/>
    <n v="0"/>
    <n v="14"/>
    <n v="1"/>
    <n v="1"/>
    <x v="2"/>
    <x v="1"/>
    <d v="2015-04-06T13:43:59"/>
    <n v="6"/>
    <n v="2"/>
    <n v="13"/>
  </r>
  <r>
    <n v="852"/>
    <s v="California"/>
    <s v="95683"/>
    <d v="2015-07-20T19:11:34"/>
    <d v="2015-07-20T15:11:41"/>
    <n v="1"/>
    <n v="2"/>
    <n v="2"/>
    <n v="2"/>
    <n v="1"/>
    <x v="3"/>
    <x v="56"/>
    <d v="2015-07-20T15:11:36"/>
    <n v="20"/>
    <n v="2"/>
    <n v="15"/>
  </r>
  <r>
    <n v="854"/>
    <m/>
    <m/>
    <d v="2015-09-13T18:06:37"/>
    <d v="2015-09-13T18:06:38"/>
    <n v="1"/>
    <n v="10"/>
    <n v="4"/>
    <n v="2"/>
    <n v="1"/>
    <x v="3"/>
    <x v="42"/>
    <d v="2015-09-13T18:08:52"/>
    <n v="13"/>
    <n v="1"/>
    <n v="18"/>
  </r>
  <r>
    <n v="855"/>
    <s v="Maryland"/>
    <s v="21771"/>
    <d v="2015-07-08T02:27:41"/>
    <d v="2015-07-07T22:27:47"/>
    <n v="1"/>
    <n v="2"/>
    <n v="2"/>
    <n v="2"/>
    <n v="1"/>
    <x v="0"/>
    <x v="44"/>
    <d v="2015-07-07T22:27:42"/>
    <n v="7"/>
    <n v="3"/>
    <n v="22"/>
  </r>
  <r>
    <n v="856"/>
    <s v="Wisconsin"/>
    <s v="53095"/>
    <d v="2015-08-24T19:55:00"/>
    <d v="2015-08-24T15:55:05"/>
    <n v="1"/>
    <n v="4"/>
    <n v="8"/>
    <n v="2"/>
    <n v="1"/>
    <x v="2"/>
    <x v="22"/>
    <d v="2015-08-24T15:55:00"/>
    <n v="24"/>
    <n v="2"/>
    <n v="15"/>
  </r>
  <r>
    <n v="857"/>
    <s v="New York"/>
    <s v="10509"/>
    <d v="2015-05-09T10:03:09"/>
    <d v="2015-05-09T10:03:13"/>
    <n v="1"/>
    <n v="8"/>
    <n v="8"/>
    <n v="2"/>
    <n v="1"/>
    <x v="2"/>
    <x v="2"/>
    <d v="2015-05-09T10:03:09"/>
    <n v="9"/>
    <n v="7"/>
    <n v="10"/>
  </r>
  <r>
    <n v="858"/>
    <s v="Texas"/>
    <s v="76227"/>
    <d v="2015-02-28T11:50:43"/>
    <d v="2015-02-28T11:50:48"/>
    <n v="1"/>
    <n v="0"/>
    <n v="2"/>
    <n v="1"/>
    <n v="1"/>
    <x v="0"/>
    <x v="21"/>
    <d v="2015-02-28T11:50:44"/>
    <n v="28"/>
    <n v="7"/>
    <n v="11"/>
  </r>
  <r>
    <n v="860"/>
    <s v="New York"/>
    <s v="10028"/>
    <d v="2015-01-21T11:41:19"/>
    <d v="2015-01-21T11:41:22"/>
    <n v="1"/>
    <n v="0"/>
    <n v="4"/>
    <n v="2"/>
    <n v="1"/>
    <x v="3"/>
    <x v="5"/>
    <d v="2015-01-21T11:41:20"/>
    <n v="21"/>
    <n v="4"/>
    <n v="11"/>
  </r>
  <r>
    <n v="861"/>
    <s v="Utah"/>
    <s v="84098"/>
    <d v="2015-07-19T23:50:22"/>
    <d v="2015-07-19T19:50:28"/>
    <n v="1"/>
    <n v="8"/>
    <n v="8"/>
    <n v="3"/>
    <n v="1"/>
    <x v="3"/>
    <x v="51"/>
    <d v="2015-07-19T19:50:23"/>
    <n v="19"/>
    <n v="1"/>
    <n v="19"/>
  </r>
  <r>
    <n v="862"/>
    <s v="Virginia"/>
    <s v="22314"/>
    <d v="2015-07-23T11:24:52"/>
    <d v="2015-07-23T11:24:55"/>
    <n v="1"/>
    <n v="4"/>
    <n v="8"/>
    <n v="4"/>
    <n v="1"/>
    <x v="1"/>
    <x v="61"/>
    <d v="2015-07-23T11:24:52"/>
    <n v="23"/>
    <n v="5"/>
    <n v="11"/>
  </r>
  <r>
    <n v="863"/>
    <s v="Michigan"/>
    <s v="48144"/>
    <d v="2015-04-24T23:40:43"/>
    <d v="2015-04-24T23:40:48"/>
    <n v="1"/>
    <n v="2"/>
    <n v="8"/>
    <n v="1"/>
    <n v="1"/>
    <x v="1"/>
    <x v="1"/>
    <d v="2015-04-24T23:40:44"/>
    <n v="24"/>
    <n v="6"/>
    <n v="23"/>
  </r>
  <r>
    <n v="864"/>
    <s v="Indiana"/>
    <s v="47802"/>
    <d v="2015-04-21T10:02:57"/>
    <d v="2015-04-21T10:03:02"/>
    <n v="1"/>
    <n v="6"/>
    <n v="10"/>
    <n v="1"/>
    <n v="1"/>
    <x v="2"/>
    <x v="65"/>
    <d v="2015-04-21T10:02:58"/>
    <n v="21"/>
    <n v="3"/>
    <n v="10"/>
  </r>
  <r>
    <n v="865"/>
    <s v="New Jersey"/>
    <s v="08051"/>
    <d v="2015-06-04T01:35:16"/>
    <d v="2015-06-03T21:35:19"/>
    <n v="1"/>
    <n v="8"/>
    <n v="22"/>
    <n v="2"/>
    <n v="1"/>
    <x v="11"/>
    <x v="112"/>
    <d v="2015-06-03T21:38:03"/>
    <n v="3"/>
    <n v="4"/>
    <n v="21"/>
  </r>
  <r>
    <n v="866"/>
    <s v="New Jersey"/>
    <s v="08857"/>
    <d v="2015-05-09T11:02:19"/>
    <d v="2015-05-09T11:02:23"/>
    <n v="1"/>
    <n v="0"/>
    <n v="2"/>
    <n v="2"/>
    <n v="1"/>
    <x v="0"/>
    <x v="2"/>
    <d v="2015-05-09T11:02:20"/>
    <n v="9"/>
    <n v="7"/>
    <n v="11"/>
  </r>
  <r>
    <n v="867"/>
    <s v="Idaho"/>
    <s v="83672"/>
    <d v="2015-09-07T11:27:03"/>
    <d v="2015-09-07T22:28:08"/>
    <n v="2"/>
    <n v="8"/>
    <n v="14"/>
    <n v="7"/>
    <n v="1"/>
    <x v="2"/>
    <x v="72"/>
    <d v="2015-09-07T11:30:00"/>
    <n v="7"/>
    <n v="2"/>
    <n v="11"/>
  </r>
  <r>
    <n v="868"/>
    <s v="Texas"/>
    <s v="76107"/>
    <d v="2015-09-24T19:39:51"/>
    <d v="2015-09-24T19:39:54"/>
    <n v="1"/>
    <n v="1"/>
    <n v="4"/>
    <n v="4"/>
    <n v="1"/>
    <x v="3"/>
    <x v="56"/>
    <d v="2015-09-24T19:39:51"/>
    <n v="24"/>
    <n v="5"/>
    <n v="19"/>
  </r>
  <r>
    <n v="869"/>
    <s v="Pennsylvania"/>
    <s v="17109"/>
    <d v="2015-01-15T14:07:32"/>
    <d v="2015-01-15T17:11:40"/>
    <n v="3"/>
    <n v="2"/>
    <n v="4"/>
    <n v="2"/>
    <n v="1"/>
    <x v="3"/>
    <x v="5"/>
    <d v="2015-01-15T14:07:35"/>
    <n v="15"/>
    <n v="5"/>
    <n v="14"/>
  </r>
  <r>
    <n v="870"/>
    <s v="Florida"/>
    <s v="32812"/>
    <d v="2015-09-03T14:23:55"/>
    <d v="2015-09-03T14:23:59"/>
    <n v="1"/>
    <n v="8"/>
    <n v="4"/>
    <n v="2"/>
    <n v="1"/>
    <x v="3"/>
    <x v="116"/>
    <d v="2015-09-03T14:23:56"/>
    <n v="3"/>
    <n v="5"/>
    <n v="14"/>
  </r>
  <r>
    <n v="871"/>
    <s v="Colorado"/>
    <s v="80525"/>
    <d v="2015-03-17T19:56:06"/>
    <d v="2015-03-17T19:56:11"/>
    <n v="1"/>
    <n v="1"/>
    <n v="8"/>
    <n v="1"/>
    <n v="1"/>
    <x v="2"/>
    <x v="2"/>
    <d v="2015-03-17T19:56:07"/>
    <n v="17"/>
    <n v="3"/>
    <n v="19"/>
  </r>
  <r>
    <n v="872"/>
    <s v="California"/>
    <s v="94521"/>
    <d v="2015-06-05T16:34:37"/>
    <d v="2015-06-05T16:34:40"/>
    <n v="1"/>
    <n v="6"/>
    <n v="4"/>
    <n v="2"/>
    <n v="1"/>
    <x v="1"/>
    <x v="8"/>
    <d v="2015-06-05T16:34:37"/>
    <n v="5"/>
    <n v="6"/>
    <n v="16"/>
  </r>
  <r>
    <n v="873"/>
    <s v="New Mexico"/>
    <s v="88201"/>
    <d v="2015-02-25T20:27:13"/>
    <d v="2015-02-25T20:27:20"/>
    <n v="1"/>
    <n v="0"/>
    <n v="2"/>
    <n v="1"/>
    <n v="1"/>
    <x v="0"/>
    <x v="2"/>
    <d v="2015-02-25T20:27:17"/>
    <n v="25"/>
    <n v="4"/>
    <n v="20"/>
  </r>
  <r>
    <n v="874"/>
    <s v="Louisiana"/>
    <s v="70447"/>
    <d v="2015-09-15T19:01:16"/>
    <d v="2015-09-15T19:01:20"/>
    <n v="1"/>
    <n v="2"/>
    <n v="4"/>
    <n v="4"/>
    <n v="1"/>
    <x v="3"/>
    <x v="42"/>
    <d v="2015-09-15T19:01:17"/>
    <n v="15"/>
    <n v="3"/>
    <n v="19"/>
  </r>
  <r>
    <n v="875"/>
    <s v="Ohio"/>
    <s v="44514"/>
    <d v="2015-02-08T11:11:10"/>
    <d v="2015-02-08T11:11:16"/>
    <n v="1"/>
    <n v="0"/>
    <n v="2"/>
    <n v="1"/>
    <n v="1"/>
    <x v="0"/>
    <x v="14"/>
    <d v="2015-02-08T11:11:12"/>
    <n v="8"/>
    <n v="1"/>
    <n v="11"/>
  </r>
  <r>
    <n v="876"/>
    <s v="Rhode Island"/>
    <s v="02904"/>
    <d v="2015-03-09T11:16:45"/>
    <d v="2015-03-09T11:16:50"/>
    <n v="1"/>
    <n v="2"/>
    <n v="8"/>
    <n v="2"/>
    <n v="1"/>
    <x v="2"/>
    <x v="2"/>
    <d v="2015-03-09T11:16:47"/>
    <n v="9"/>
    <n v="2"/>
    <n v="11"/>
  </r>
  <r>
    <n v="877"/>
    <s v="Texas"/>
    <s v="78656"/>
    <d v="2015-05-22T21:48:36"/>
    <d v="2015-05-22T21:48:40"/>
    <n v="1"/>
    <n v="2"/>
    <n v="2"/>
    <n v="2"/>
    <n v="1"/>
    <x v="0"/>
    <x v="2"/>
    <d v="2015-05-22T21:48:37"/>
    <n v="22"/>
    <n v="6"/>
    <n v="21"/>
  </r>
  <r>
    <n v="878"/>
    <s v="Washington"/>
    <s v="98166"/>
    <d v="2015-02-03T15:49:34"/>
    <d v="2015-02-03T15:49:39"/>
    <n v="1"/>
    <n v="0"/>
    <n v="2"/>
    <n v="1"/>
    <n v="1"/>
    <x v="3"/>
    <x v="5"/>
    <d v="2015-02-03T15:49:36"/>
    <n v="3"/>
    <n v="3"/>
    <n v="15"/>
  </r>
  <r>
    <n v="879"/>
    <s v="New York"/>
    <s v="10023"/>
    <d v="2015-01-16T23:27:00"/>
    <d v="2015-01-16T23:27:09"/>
    <n v="1"/>
    <n v="0"/>
    <n v="8"/>
    <n v="2"/>
    <n v="1"/>
    <x v="1"/>
    <x v="117"/>
    <d v="2015-01-16T23:27:02"/>
    <n v="16"/>
    <n v="6"/>
    <n v="23"/>
  </r>
  <r>
    <n v="880"/>
    <s v="Florida"/>
    <s v="33496"/>
    <d v="2015-06-25T08:43:28"/>
    <d v="2015-06-25T08:43:32"/>
    <n v="1"/>
    <n v="4"/>
    <n v="6"/>
    <n v="2"/>
    <n v="1"/>
    <x v="0"/>
    <x v="2"/>
    <d v="2015-06-25T08:43:29"/>
    <n v="25"/>
    <n v="5"/>
    <n v="8"/>
  </r>
  <r>
    <n v="881"/>
    <s v="Texas"/>
    <s v="75007"/>
    <d v="2015-03-17T08:00:39"/>
    <d v="2015-03-17T08:00:45"/>
    <n v="1"/>
    <n v="2"/>
    <n v="6"/>
    <n v="1"/>
    <n v="1"/>
    <x v="6"/>
    <x v="14"/>
    <d v="2015-03-17T08:00:40"/>
    <n v="17"/>
    <n v="3"/>
    <n v="8"/>
  </r>
  <r>
    <n v="882"/>
    <m/>
    <m/>
    <d v="2015-09-22T11:25:46"/>
    <d v="2015-09-22T11:25:47"/>
    <n v="1"/>
    <n v="4"/>
    <n v="4"/>
    <n v="5"/>
    <n v="1"/>
    <x v="0"/>
    <x v="82"/>
    <d v="2015-09-22T11:32:35"/>
    <n v="22"/>
    <n v="3"/>
    <n v="11"/>
  </r>
  <r>
    <n v="883"/>
    <s v="Florida"/>
    <s v="32134"/>
    <d v="2015-06-03T13:54:09"/>
    <d v="2015-06-03T13:54:12"/>
    <n v="1"/>
    <n v="0"/>
    <n v="2"/>
    <n v="2"/>
    <n v="1"/>
    <x v="0"/>
    <x v="2"/>
    <d v="2015-06-03T13:54:10"/>
    <n v="3"/>
    <n v="4"/>
    <n v="13"/>
  </r>
  <r>
    <n v="884"/>
    <m/>
    <m/>
    <d v="2015-05-19T18:23:43"/>
    <d v="2015-05-19T14:23:45"/>
    <n v="1"/>
    <n v="2"/>
    <n v="2"/>
    <n v="2"/>
    <n v="1"/>
    <x v="3"/>
    <x v="5"/>
    <d v="2015-05-19T14:26:49"/>
    <n v="19"/>
    <n v="3"/>
    <n v="14"/>
  </r>
  <r>
    <n v="885"/>
    <s v="Massachusetts"/>
    <s v="02421"/>
    <d v="2015-04-13T23:40:45"/>
    <d v="2015-04-13T23:40:52"/>
    <n v="1"/>
    <n v="4"/>
    <n v="10"/>
    <n v="1"/>
    <n v="1"/>
    <x v="2"/>
    <x v="2"/>
    <d v="2015-04-13T23:40:46"/>
    <n v="13"/>
    <n v="2"/>
    <n v="23"/>
  </r>
  <r>
    <n v="887"/>
    <s v="New York"/>
    <s v="11743"/>
    <d v="2015-08-09T15:06:30"/>
    <d v="2015-08-09T11:06:34"/>
    <n v="1"/>
    <n v="2"/>
    <n v="2"/>
    <n v="2"/>
    <n v="1"/>
    <x v="0"/>
    <x v="36"/>
    <d v="2015-08-09T11:06:30"/>
    <n v="9"/>
    <n v="1"/>
    <n v="11"/>
  </r>
  <r>
    <n v="888"/>
    <s v="Michigan"/>
    <s v="49093"/>
    <d v="2015-04-13T09:07:50"/>
    <d v="2015-04-13T09:07:55"/>
    <n v="1"/>
    <n v="0"/>
    <n v="4"/>
    <n v="1"/>
    <n v="1"/>
    <x v="3"/>
    <x v="5"/>
    <d v="2015-04-13T09:07:51"/>
    <n v="13"/>
    <n v="2"/>
    <n v="9"/>
  </r>
  <r>
    <n v="889"/>
    <s v="Texas"/>
    <s v="78731"/>
    <d v="2015-09-01T22:41:05"/>
    <d v="2015-09-01T22:41:09"/>
    <n v="1"/>
    <n v="2"/>
    <n v="2"/>
    <n v="2"/>
    <n v="1"/>
    <x v="3"/>
    <x v="42"/>
    <d v="2015-09-01T22:41:05"/>
    <n v="1"/>
    <n v="3"/>
    <n v="22"/>
  </r>
  <r>
    <n v="890"/>
    <s v="California"/>
    <s v="92679"/>
    <d v="2015-08-10T20:16:14"/>
    <d v="2015-08-10T16:16:15"/>
    <n v="1"/>
    <n v="2"/>
    <n v="2"/>
    <n v="1"/>
    <n v="1"/>
    <x v="0"/>
    <x v="86"/>
    <d v="2015-08-10T16:32:55"/>
    <n v="10"/>
    <n v="2"/>
    <n v="16"/>
  </r>
  <r>
    <n v="891"/>
    <s v="Connecticut"/>
    <s v="06905"/>
    <d v="2015-03-28T19:12:31"/>
    <d v="2015-03-28T19:12:36"/>
    <n v="1"/>
    <n v="4"/>
    <n v="22"/>
    <n v="6"/>
    <n v="1"/>
    <x v="12"/>
    <x v="9"/>
    <d v="2015-03-28T19:12:32"/>
    <n v="28"/>
    <n v="7"/>
    <n v="19"/>
  </r>
  <r>
    <n v="893"/>
    <s v="Tennessee"/>
    <s v="37343"/>
    <d v="2015-07-15T12:47:36"/>
    <d v="2015-07-15T12:47:43"/>
    <n v="1"/>
    <n v="2"/>
    <n v="4"/>
    <n v="3"/>
    <n v="1"/>
    <x v="3"/>
    <x v="118"/>
    <d v="2015-07-15T12:47:36"/>
    <n v="15"/>
    <n v="4"/>
    <n v="12"/>
  </r>
  <r>
    <n v="894"/>
    <m/>
    <m/>
    <d v="2015-07-26T15:13:13"/>
    <d v="2015-07-27T09:53:35"/>
    <n v="2"/>
    <n v="5"/>
    <n v="6"/>
    <n v="4"/>
    <n v="1"/>
    <x v="3"/>
    <x v="56"/>
    <d v="2015-07-26T11:14:32"/>
    <n v="26"/>
    <n v="1"/>
    <n v="11"/>
  </r>
  <r>
    <n v="895"/>
    <s v="California"/>
    <s v="90025"/>
    <d v="2015-02-23T00:09:58"/>
    <d v="2015-02-23T00:10:03"/>
    <n v="1"/>
    <n v="4"/>
    <n v="2"/>
    <n v="1"/>
    <n v="1"/>
    <x v="0"/>
    <x v="16"/>
    <d v="2015-02-23T00:09:59"/>
    <n v="23"/>
    <n v="2"/>
    <n v="0"/>
  </r>
  <r>
    <n v="896"/>
    <s v="New Jersey"/>
    <s v="08016"/>
    <d v="2015-05-15T00:47:52"/>
    <d v="2015-05-15T00:48:03"/>
    <n v="1"/>
    <n v="6"/>
    <n v="8"/>
    <n v="4"/>
    <n v="1"/>
    <x v="3"/>
    <x v="14"/>
    <d v="2015-05-15T00:47:53"/>
    <n v="15"/>
    <n v="6"/>
    <n v="0"/>
  </r>
  <r>
    <n v="897"/>
    <s v="North Carolina"/>
    <s v="27804"/>
    <d v="2015-07-07T21:31:57"/>
    <d v="2015-07-07T17:32:01"/>
    <n v="1"/>
    <n v="2"/>
    <n v="2"/>
    <n v="3"/>
    <n v="1"/>
    <x v="0"/>
    <x v="59"/>
    <d v="2015-07-07T17:31:58"/>
    <n v="7"/>
    <n v="3"/>
    <n v="17"/>
  </r>
  <r>
    <n v="898"/>
    <s v="California"/>
    <s v="90630"/>
    <d v="2015-08-22T11:12:37"/>
    <d v="2015-08-27T11:23:32"/>
    <n v="3"/>
    <n v="0"/>
    <n v="2"/>
    <n v="4"/>
    <n v="1"/>
    <x v="0"/>
    <x v="6"/>
    <d v="2015-08-22T11:12:37"/>
    <n v="22"/>
    <n v="7"/>
    <n v="11"/>
  </r>
  <r>
    <n v="900"/>
    <s v="New Jersey"/>
    <s v="07030"/>
    <d v="2015-09-01T14:38:39"/>
    <d v="2015-09-01T14:38:43"/>
    <n v="1"/>
    <n v="6"/>
    <n v="8"/>
    <n v="2"/>
    <n v="1"/>
    <x v="2"/>
    <x v="22"/>
    <d v="2015-09-01T14:38:39"/>
    <n v="1"/>
    <n v="3"/>
    <n v="14"/>
  </r>
  <r>
    <n v="901"/>
    <s v="Michigan"/>
    <s v="48103"/>
    <d v="2015-07-29T17:28:57"/>
    <d v="2015-07-29T17:29:01"/>
    <n v="1"/>
    <n v="2"/>
    <n v="6"/>
    <n v="2"/>
    <n v="1"/>
    <x v="1"/>
    <x v="119"/>
    <d v="2015-07-29T17:28:57"/>
    <n v="29"/>
    <n v="4"/>
    <n v="17"/>
  </r>
  <r>
    <n v="902"/>
    <s v="New York"/>
    <s v="10022"/>
    <d v="2015-06-24T23:36:45"/>
    <d v="2015-06-24T23:36:53"/>
    <n v="1"/>
    <n v="2"/>
    <n v="4"/>
    <n v="2"/>
    <n v="1"/>
    <x v="0"/>
    <x v="14"/>
    <d v="2015-06-24T23:36:46"/>
    <n v="24"/>
    <n v="4"/>
    <n v="23"/>
  </r>
  <r>
    <n v="903"/>
    <s v="California"/>
    <s v="90732"/>
    <d v="2015-08-21T05:43:25"/>
    <d v="2015-08-21T01:43:26"/>
    <n v="1"/>
    <n v="1"/>
    <n v="3"/>
    <n v="1"/>
    <n v="1"/>
    <x v="1"/>
    <x v="120"/>
    <d v="2015-08-21T02:00:31"/>
    <n v="21"/>
    <n v="6"/>
    <n v="2"/>
  </r>
  <r>
    <n v="904"/>
    <s v="New York"/>
    <s v="10528"/>
    <d v="2015-07-22T15:15:33"/>
    <d v="2015-07-23T08:52:51"/>
    <n v="2"/>
    <n v="5"/>
    <n v="13"/>
    <n v="8"/>
    <n v="2"/>
    <x v="11"/>
    <x v="121"/>
    <d v="2015-07-22T11:17:33"/>
    <n v="22"/>
    <n v="4"/>
    <n v="11"/>
  </r>
  <r>
    <n v="905"/>
    <s v="Texas"/>
    <s v="78744"/>
    <d v="2015-05-09T22:40:15"/>
    <d v="2015-05-09T22:40:19"/>
    <n v="1"/>
    <n v="4"/>
    <n v="8"/>
    <n v="5"/>
    <n v="1"/>
    <x v="6"/>
    <x v="81"/>
    <d v="2015-05-09T22:40:16"/>
    <n v="9"/>
    <n v="7"/>
    <n v="22"/>
  </r>
  <r>
    <n v="906"/>
    <s v="California"/>
    <s v="90404"/>
    <d v="2015-01-07T03:03:41"/>
    <d v="2015-01-07T03:04:17"/>
    <n v="2"/>
    <n v="2"/>
    <n v="14"/>
    <n v="3"/>
    <n v="1"/>
    <x v="5"/>
    <x v="10"/>
    <d v="2015-01-07T03:03:43"/>
    <n v="7"/>
    <n v="4"/>
    <n v="3"/>
  </r>
  <r>
    <n v="907"/>
    <s v="Georgia"/>
    <s v="30461"/>
    <d v="2015-04-28T11:47:22"/>
    <d v="2015-04-28T11:47:26"/>
    <n v="1"/>
    <n v="4"/>
    <n v="8"/>
    <n v="1"/>
    <n v="1"/>
    <x v="2"/>
    <x v="2"/>
    <d v="2015-04-28T11:47:23"/>
    <n v="28"/>
    <n v="3"/>
    <n v="11"/>
  </r>
  <r>
    <n v="908"/>
    <s v="Minnesota"/>
    <s v="55360"/>
    <d v="2015-09-06T12:26:20"/>
    <d v="2015-09-06T12:26:23"/>
    <n v="1"/>
    <n v="4"/>
    <n v="2"/>
    <n v="2"/>
    <n v="1"/>
    <x v="3"/>
    <x v="56"/>
    <d v="2015-09-06T12:26:20"/>
    <n v="6"/>
    <n v="1"/>
    <n v="12"/>
  </r>
  <r>
    <n v="909"/>
    <m/>
    <m/>
    <d v="2015-04-01T14:04:41"/>
    <d v="2015-04-01T14:04:45"/>
    <n v="1"/>
    <n v="2"/>
    <n v="4"/>
    <n v="2"/>
    <n v="1"/>
    <x v="3"/>
    <x v="32"/>
    <d v="2015-04-01T14:07:26"/>
    <n v="1"/>
    <n v="4"/>
    <n v="14"/>
  </r>
  <r>
    <n v="910"/>
    <s v="California"/>
    <s v="92122"/>
    <d v="2015-03-30T22:15:33"/>
    <d v="2015-03-30T22:15:37"/>
    <n v="1"/>
    <n v="2"/>
    <n v="2"/>
    <n v="1"/>
    <n v="1"/>
    <x v="0"/>
    <x v="16"/>
    <d v="2015-03-30T22:15:33"/>
    <n v="30"/>
    <n v="2"/>
    <n v="22"/>
  </r>
  <r>
    <n v="911"/>
    <s v="New Hampshire"/>
    <s v="03303"/>
    <d v="2015-09-05T15:28:25"/>
    <d v="2015-09-05T11:28:30"/>
    <n v="1"/>
    <n v="0"/>
    <n v="2"/>
    <n v="2"/>
    <n v="1"/>
    <x v="0"/>
    <x v="3"/>
    <d v="2015-09-05T11:28:26"/>
    <n v="5"/>
    <n v="7"/>
    <n v="11"/>
  </r>
  <r>
    <n v="912"/>
    <s v="New York"/>
    <s v="13104"/>
    <d v="2015-09-19T15:18:06"/>
    <d v="2015-09-19T15:18:16"/>
    <n v="1"/>
    <n v="2"/>
    <n v="4"/>
    <n v="2"/>
    <n v="1"/>
    <x v="0"/>
    <x v="35"/>
    <d v="2015-09-19T15:18:06"/>
    <n v="19"/>
    <n v="7"/>
    <n v="15"/>
  </r>
  <r>
    <n v="913"/>
    <s v="Georgia"/>
    <s v="30338"/>
    <d v="2015-09-08T22:56:56"/>
    <d v="2015-09-09T15:52:13"/>
    <n v="5"/>
    <n v="6"/>
    <n v="4"/>
    <n v="2"/>
    <n v="1"/>
    <x v="5"/>
    <x v="39"/>
    <d v="2015-09-08T22:56:56"/>
    <n v="8"/>
    <n v="3"/>
    <n v="22"/>
  </r>
  <r>
    <n v="914"/>
    <s v="Pennsylvania"/>
    <s v="19146"/>
    <d v="2015-06-12T13:47:11"/>
    <d v="2015-06-14T23:05:13"/>
    <n v="3"/>
    <n v="4"/>
    <n v="4"/>
    <n v="3"/>
    <n v="1"/>
    <x v="3"/>
    <x v="40"/>
    <d v="2015-06-12T13:47:12"/>
    <n v="12"/>
    <n v="6"/>
    <n v="13"/>
  </r>
  <r>
    <n v="915"/>
    <s v="Tennessee"/>
    <s v="37932"/>
    <d v="2015-06-10T18:36:05"/>
    <d v="2015-06-10T14:36:11"/>
    <n v="1"/>
    <n v="6"/>
    <n v="8"/>
    <n v="4"/>
    <n v="1"/>
    <x v="2"/>
    <x v="2"/>
    <d v="2015-06-10T14:36:08"/>
    <n v="10"/>
    <n v="4"/>
    <n v="14"/>
  </r>
  <r>
    <n v="916"/>
    <s v="Ohio"/>
    <s v="45213"/>
    <d v="2015-02-04T16:57:27"/>
    <d v="2015-02-04T16:57:34"/>
    <n v="1"/>
    <n v="2"/>
    <n v="2"/>
    <n v="1"/>
    <n v="1"/>
    <x v="0"/>
    <x v="2"/>
    <d v="2015-02-04T16:57:30"/>
    <n v="4"/>
    <n v="4"/>
    <n v="16"/>
  </r>
  <r>
    <n v="917"/>
    <s v="Arizona"/>
    <s v="85226"/>
    <d v="2015-04-12T22:46:52"/>
    <d v="2015-04-12T22:46:58"/>
    <n v="1"/>
    <n v="2"/>
    <n v="4"/>
    <n v="1"/>
    <n v="1"/>
    <x v="2"/>
    <x v="2"/>
    <d v="2015-04-12T22:46:53"/>
    <n v="12"/>
    <n v="1"/>
    <n v="22"/>
  </r>
  <r>
    <n v="918"/>
    <s v="Kentucky"/>
    <s v="42431"/>
    <d v="2015-06-09T12:19:24"/>
    <d v="2015-06-09T12:19:28"/>
    <n v="1"/>
    <n v="0"/>
    <n v="8"/>
    <n v="2"/>
    <n v="1"/>
    <x v="2"/>
    <x v="14"/>
    <d v="2015-06-09T12:19:25"/>
    <n v="9"/>
    <n v="3"/>
    <n v="12"/>
  </r>
  <r>
    <n v="919"/>
    <s v="Iowa"/>
    <s v="51248"/>
    <d v="2015-02-10T01:47:39"/>
    <d v="2015-02-10T01:47:46"/>
    <n v="1"/>
    <n v="2"/>
    <n v="4"/>
    <n v="2"/>
    <n v="1"/>
    <x v="3"/>
    <x v="14"/>
    <d v="2015-02-10T01:47:42"/>
    <n v="10"/>
    <n v="3"/>
    <n v="1"/>
  </r>
  <r>
    <n v="920"/>
    <s v="California"/>
    <s v="94523"/>
    <d v="2015-06-24T12:02:01"/>
    <d v="2015-06-24T12:02:04"/>
    <n v="1"/>
    <n v="0"/>
    <n v="2"/>
    <n v="2"/>
    <n v="1"/>
    <x v="3"/>
    <x v="13"/>
    <d v="2015-06-24T12:02:02"/>
    <n v="24"/>
    <n v="4"/>
    <n v="12"/>
  </r>
  <r>
    <n v="921"/>
    <m/>
    <m/>
    <d v="2015-03-13T11:45:22"/>
    <d v="2015-03-13T11:45:30"/>
    <n v="1"/>
    <n v="2"/>
    <n v="6"/>
    <n v="2"/>
    <n v="1"/>
    <x v="3"/>
    <x v="16"/>
    <d v="2015-03-13T11:48:22"/>
    <n v="13"/>
    <n v="6"/>
    <n v="11"/>
  </r>
  <r>
    <n v="922"/>
    <s v="Washington"/>
    <s v="98264"/>
    <d v="2015-08-09T15:25:53"/>
    <d v="2015-08-10T21:34:33"/>
    <n v="2"/>
    <n v="4"/>
    <n v="3"/>
    <n v="4"/>
    <n v="1"/>
    <x v="0"/>
    <x v="85"/>
    <d v="2015-08-09T15:25:53"/>
    <n v="9"/>
    <n v="1"/>
    <n v="15"/>
  </r>
  <r>
    <n v="923"/>
    <s v="New York"/>
    <s v="10023"/>
    <d v="2015-02-15T13:47:47"/>
    <d v="2015-02-15T13:47:54"/>
    <n v="1"/>
    <n v="0"/>
    <n v="10"/>
    <n v="1"/>
    <n v="1"/>
    <x v="5"/>
    <x v="122"/>
    <d v="2015-02-15T13:47:49"/>
    <n v="15"/>
    <n v="1"/>
    <n v="13"/>
  </r>
  <r>
    <n v="924"/>
    <s v="Wisconsin"/>
    <s v="53048"/>
    <d v="2015-07-20T16:11:40"/>
    <d v="2015-07-20T16:11:45"/>
    <n v="1"/>
    <n v="0"/>
    <n v="2"/>
    <n v="2"/>
    <n v="1"/>
    <x v="0"/>
    <x v="6"/>
    <d v="2015-07-20T16:11:41"/>
    <n v="20"/>
    <n v="2"/>
    <n v="16"/>
  </r>
  <r>
    <n v="926"/>
    <s v="Washington"/>
    <s v="98372"/>
    <d v="2015-07-22T23:36:47"/>
    <d v="2015-07-22T19:36:50"/>
    <n v="1"/>
    <n v="2"/>
    <n v="2"/>
    <n v="2"/>
    <n v="1"/>
    <x v="0"/>
    <x v="6"/>
    <d v="2015-07-22T19:36:48"/>
    <n v="22"/>
    <n v="4"/>
    <n v="19"/>
  </r>
  <r>
    <n v="927"/>
    <s v="Washington"/>
    <s v="98012"/>
    <d v="2015-05-22T11:01:59"/>
    <d v="2015-05-22T11:02:02"/>
    <n v="1"/>
    <n v="0"/>
    <n v="2"/>
    <n v="2"/>
    <n v="1"/>
    <x v="0"/>
    <x v="2"/>
    <d v="2015-05-22T11:02:00"/>
    <n v="22"/>
    <n v="6"/>
    <n v="11"/>
  </r>
  <r>
    <n v="928"/>
    <s v="New Hampshire"/>
    <s v="03054"/>
    <d v="2015-08-31T22:23:13"/>
    <d v="2015-08-31T18:23:17"/>
    <n v="1"/>
    <n v="4"/>
    <n v="2"/>
    <n v="2"/>
    <n v="1"/>
    <x v="3"/>
    <x v="42"/>
    <d v="2015-08-31T18:23:13"/>
    <n v="31"/>
    <n v="2"/>
    <n v="18"/>
  </r>
  <r>
    <n v="929"/>
    <s v="Michigan"/>
    <s v="48073"/>
    <d v="2015-05-29T09:06:47"/>
    <d v="2015-05-29T09:06:51"/>
    <n v="1"/>
    <n v="0"/>
    <n v="8"/>
    <n v="2"/>
    <n v="1"/>
    <x v="2"/>
    <x v="2"/>
    <d v="2015-05-29T09:06:48"/>
    <n v="29"/>
    <n v="6"/>
    <n v="9"/>
  </r>
  <r>
    <n v="930"/>
    <m/>
    <m/>
    <d v="2015-01-13T03:57:13"/>
    <d v="2015-01-13T03:57:24"/>
    <n v="1"/>
    <n v="6"/>
    <n v="6"/>
    <n v="3"/>
    <n v="1"/>
    <x v="2"/>
    <x v="2"/>
    <d v="2015-01-13T04:00:07"/>
    <n v="13"/>
    <n v="3"/>
    <n v="4"/>
  </r>
  <r>
    <n v="931"/>
    <s v="Minnesota"/>
    <s v="55127"/>
    <d v="2015-04-28T14:12:09"/>
    <d v="2015-04-28T14:12:18"/>
    <n v="1"/>
    <n v="3"/>
    <n v="4"/>
    <n v="1"/>
    <n v="1"/>
    <x v="3"/>
    <x v="23"/>
    <d v="2015-04-28T14:22:10"/>
    <n v="28"/>
    <n v="3"/>
    <n v="14"/>
  </r>
  <r>
    <n v="932"/>
    <s v="Texas"/>
    <s v="76426"/>
    <d v="2015-05-26T03:39:10"/>
    <d v="2015-05-27T22:13:21"/>
    <n v="5"/>
    <n v="8"/>
    <n v="6"/>
    <n v="3"/>
    <n v="1"/>
    <x v="3"/>
    <x v="13"/>
    <d v="2015-05-26T03:39:10"/>
    <n v="26"/>
    <n v="3"/>
    <n v="3"/>
  </r>
  <r>
    <n v="933"/>
    <s v="California"/>
    <s v="94107"/>
    <d v="2015-06-21T17:35:39"/>
    <d v="2015-06-21T13:35:44"/>
    <n v="1"/>
    <n v="2"/>
    <n v="4"/>
    <n v="2"/>
    <n v="1"/>
    <x v="3"/>
    <x v="123"/>
    <d v="2015-06-21T13:35:41"/>
    <n v="21"/>
    <n v="1"/>
    <n v="13"/>
  </r>
  <r>
    <n v="934"/>
    <s v="Florida"/>
    <s v="32619"/>
    <d v="2015-06-04T17:56:29"/>
    <d v="2015-06-04T13:56:36"/>
    <n v="1"/>
    <n v="2"/>
    <n v="2"/>
    <n v="2"/>
    <n v="1"/>
    <x v="3"/>
    <x v="5"/>
    <d v="2015-06-04T13:56:31"/>
    <n v="4"/>
    <n v="5"/>
    <n v="13"/>
  </r>
  <r>
    <n v="936"/>
    <m/>
    <m/>
    <d v="2015-03-05T08:19:25"/>
    <d v="2015-03-05T08:19:28"/>
    <n v="1"/>
    <n v="0"/>
    <n v="4"/>
    <n v="2"/>
    <n v="1"/>
    <x v="2"/>
    <x v="2"/>
    <d v="2015-03-05T08:33:52"/>
    <n v="5"/>
    <n v="5"/>
    <n v="8"/>
  </r>
  <r>
    <n v="937"/>
    <s v="Texas"/>
    <s v="77539"/>
    <d v="2015-06-01T21:05:23"/>
    <d v="2015-06-01T21:05:27"/>
    <n v="1"/>
    <n v="2"/>
    <n v="10"/>
    <n v="2"/>
    <n v="1"/>
    <x v="6"/>
    <x v="23"/>
    <d v="2015-06-01T21:05:24"/>
    <n v="1"/>
    <n v="2"/>
    <n v="21"/>
  </r>
  <r>
    <n v="938"/>
    <s v="Virginia"/>
    <s v="24073"/>
    <d v="2015-08-23T11:47:27"/>
    <d v="2015-08-27T05:49:18"/>
    <n v="5"/>
    <n v="8"/>
    <n v="2"/>
    <n v="7"/>
    <n v="1"/>
    <x v="0"/>
    <x v="6"/>
    <d v="2015-08-23T11:47:28"/>
    <n v="23"/>
    <n v="1"/>
    <n v="11"/>
  </r>
  <r>
    <n v="939"/>
    <s v="Ohio"/>
    <s v="44221"/>
    <d v="2015-03-15T12:36:32"/>
    <d v="2015-03-15T12:36:39"/>
    <n v="1"/>
    <n v="0"/>
    <n v="2"/>
    <n v="1"/>
    <n v="1"/>
    <x v="0"/>
    <x v="14"/>
    <d v="2015-03-15T12:36:33"/>
    <n v="15"/>
    <n v="1"/>
    <n v="12"/>
  </r>
  <r>
    <n v="940"/>
    <m/>
    <m/>
    <d v="2015-08-12T17:02:55"/>
    <d v="2015-08-12T13:02:57"/>
    <n v="1"/>
    <n v="2"/>
    <n v="4"/>
    <n v="4"/>
    <n v="1"/>
    <x v="3"/>
    <x v="90"/>
    <d v="2015-08-12T13:11:15"/>
    <n v="12"/>
    <n v="4"/>
    <n v="13"/>
  </r>
  <r>
    <n v="941"/>
    <s v="Massachusetts"/>
    <s v="02129"/>
    <d v="2015-01-27T09:48:32"/>
    <d v="2015-01-27T09:48:36"/>
    <n v="1"/>
    <n v="2"/>
    <n v="12"/>
    <n v="2"/>
    <n v="1"/>
    <x v="5"/>
    <x v="69"/>
    <d v="2015-01-27T09:48:33"/>
    <n v="27"/>
    <n v="3"/>
    <n v="9"/>
  </r>
  <r>
    <n v="942"/>
    <s v="Pennsylvania"/>
    <s v="16046"/>
    <d v="2015-05-21T07:57:08"/>
    <d v="2015-05-21T07:57:11"/>
    <n v="1"/>
    <n v="2"/>
    <n v="4"/>
    <n v="3"/>
    <n v="1"/>
    <x v="3"/>
    <x v="13"/>
    <d v="2015-05-21T07:57:09"/>
    <n v="21"/>
    <n v="5"/>
    <n v="7"/>
  </r>
  <r>
    <n v="943"/>
    <s v="Illinois"/>
    <s v="60645"/>
    <d v="2015-01-02T17:09:53"/>
    <d v="2015-01-03T00:17:56"/>
    <n v="3"/>
    <n v="2"/>
    <n v="8"/>
    <n v="2"/>
    <n v="1"/>
    <x v="2"/>
    <x v="2"/>
    <d v="2015-01-02T17:10:06"/>
    <n v="2"/>
    <n v="6"/>
    <n v="17"/>
  </r>
  <r>
    <n v="944"/>
    <s v="Wyoming"/>
    <s v="82072"/>
    <d v="2015-05-25T10:03:50"/>
    <d v="2015-05-25T10:03:55"/>
    <n v="1"/>
    <n v="2"/>
    <n v="4"/>
    <n v="2"/>
    <n v="1"/>
    <x v="3"/>
    <x v="21"/>
    <d v="2015-05-25T10:03:52"/>
    <n v="25"/>
    <n v="2"/>
    <n v="10"/>
  </r>
  <r>
    <n v="945"/>
    <s v="California"/>
    <s v="94618"/>
    <d v="2015-03-23T00:24:53"/>
    <d v="2015-03-23T00:25:02"/>
    <n v="1"/>
    <n v="0"/>
    <n v="6"/>
    <n v="1"/>
    <n v="1"/>
    <x v="2"/>
    <x v="124"/>
    <d v="2015-03-23T00:24:54"/>
    <n v="23"/>
    <n v="2"/>
    <n v="0"/>
  </r>
  <r>
    <n v="946"/>
    <m/>
    <m/>
    <d v="2015-01-30T20:19:30"/>
    <d v="2015-01-30T20:19:35"/>
    <n v="1"/>
    <n v="2"/>
    <n v="6"/>
    <n v="3"/>
    <n v="1"/>
    <x v="1"/>
    <x v="33"/>
    <d v="2015-01-30T20:19:33"/>
    <n v="30"/>
    <n v="6"/>
    <n v="20"/>
  </r>
  <r>
    <n v="947"/>
    <s v="Iowa"/>
    <s v="52544"/>
    <d v="2015-02-22T22:11:07"/>
    <d v="2015-02-22T22:11:11"/>
    <n v="1"/>
    <n v="2"/>
    <n v="2"/>
    <n v="4"/>
    <n v="1"/>
    <x v="0"/>
    <x v="21"/>
    <d v="2015-02-22T22:11:08"/>
    <n v="22"/>
    <n v="1"/>
    <n v="22"/>
  </r>
  <r>
    <n v="948"/>
    <m/>
    <m/>
    <d v="2015-05-02T16:47:08"/>
    <d v="2015-05-02T16:47:12"/>
    <n v="1"/>
    <n v="0"/>
    <n v="1"/>
    <n v="2"/>
    <n v="1"/>
    <x v="3"/>
    <x v="13"/>
    <d v="2015-05-02T16:51:46"/>
    <n v="2"/>
    <n v="7"/>
    <n v="16"/>
  </r>
  <r>
    <n v="949"/>
    <s v="California"/>
    <s v="94118"/>
    <d v="2015-02-01T19:21:41"/>
    <d v="2015-02-01T19:21:45"/>
    <n v="1"/>
    <n v="2"/>
    <n v="16"/>
    <n v="1"/>
    <n v="1"/>
    <x v="8"/>
    <x v="21"/>
    <d v="2015-02-01T19:21:42"/>
    <n v="1"/>
    <n v="1"/>
    <n v="19"/>
  </r>
  <r>
    <n v="950"/>
    <s v="Wisconsin"/>
    <s v="54021"/>
    <d v="2015-07-12T08:51:25"/>
    <d v="2015-07-12T08:51:29"/>
    <n v="1"/>
    <n v="4"/>
    <n v="2"/>
    <n v="2"/>
    <n v="1"/>
    <x v="0"/>
    <x v="2"/>
    <d v="2015-07-12T08:51:26"/>
    <n v="12"/>
    <n v="1"/>
    <n v="8"/>
  </r>
  <r>
    <n v="951"/>
    <s v="North Carolina"/>
    <s v="27948"/>
    <d v="2015-07-13T14:32:39"/>
    <d v="2015-07-13T14:32:42"/>
    <n v="1"/>
    <n v="6"/>
    <n v="4"/>
    <n v="4"/>
    <n v="1"/>
    <x v="3"/>
    <x v="5"/>
    <d v="2015-07-13T14:32:39"/>
    <n v="13"/>
    <n v="2"/>
    <n v="14"/>
  </r>
  <r>
    <n v="952"/>
    <s v="Florida"/>
    <s v="33618"/>
    <d v="2015-05-30T11:29:37"/>
    <d v="2015-05-31T22:47:00"/>
    <n v="3"/>
    <n v="2"/>
    <n v="2"/>
    <n v="3"/>
    <n v="1"/>
    <x v="0"/>
    <x v="14"/>
    <d v="2015-05-30T11:29:37"/>
    <n v="30"/>
    <n v="7"/>
    <n v="11"/>
  </r>
  <r>
    <n v="953"/>
    <s v="New Jersey"/>
    <s v="08844"/>
    <d v="2015-05-23T10:43:57"/>
    <d v="2015-05-23T10:44:02"/>
    <n v="1"/>
    <n v="4"/>
    <n v="10"/>
    <n v="2"/>
    <n v="1"/>
    <x v="2"/>
    <x v="16"/>
    <d v="2015-05-23T10:44:00"/>
    <n v="23"/>
    <n v="7"/>
    <n v="10"/>
  </r>
  <r>
    <n v="954"/>
    <s v="California"/>
    <s v="93238"/>
    <d v="2015-06-16T10:07:42"/>
    <d v="2015-06-16T10:08:18"/>
    <n v="1"/>
    <n v="2"/>
    <n v="2"/>
    <n v="2"/>
    <n v="1"/>
    <x v="0"/>
    <x v="2"/>
    <d v="2015-06-16T10:07:56"/>
    <n v="16"/>
    <n v="3"/>
    <n v="10"/>
  </r>
  <r>
    <n v="955"/>
    <s v="Michigan"/>
    <s v="48128"/>
    <d v="2015-09-13T20:19:59"/>
    <d v="2015-09-14T08:52:25"/>
    <n v="2"/>
    <n v="9"/>
    <n v="8"/>
    <n v="14"/>
    <n v="2"/>
    <x v="1"/>
    <x v="6"/>
    <d v="2015-09-13T20:21:56"/>
    <n v="13"/>
    <n v="1"/>
    <n v="20"/>
  </r>
  <r>
    <n v="956"/>
    <m/>
    <m/>
    <d v="2015-06-16T14:17:51"/>
    <d v="2015-06-16T15:19:52"/>
    <n v="3"/>
    <n v="2"/>
    <n v="8"/>
    <n v="9"/>
    <n v="1"/>
    <x v="3"/>
    <x v="13"/>
    <d v="2015-06-16T12:04:16"/>
    <n v="16"/>
    <n v="3"/>
    <n v="12"/>
  </r>
  <r>
    <n v="957"/>
    <s v="Texas"/>
    <s v="77082"/>
    <d v="2015-01-16T10:03:21"/>
    <d v="2015-01-21T13:08:23"/>
    <n v="2"/>
    <n v="0"/>
    <n v="4"/>
    <n v="3"/>
    <n v="1"/>
    <x v="2"/>
    <x v="2"/>
    <d v="2015-01-16T10:03:22"/>
    <n v="16"/>
    <n v="6"/>
    <n v="10"/>
  </r>
  <r>
    <n v="958"/>
    <s v="New York"/>
    <s v="12901"/>
    <d v="2015-07-07T02:11:08"/>
    <d v="2015-07-06T22:11:10"/>
    <n v="1"/>
    <n v="6"/>
    <n v="8"/>
    <n v="4"/>
    <n v="2"/>
    <x v="2"/>
    <x v="5"/>
    <d v="2015-07-06T22:15:33"/>
    <n v="6"/>
    <n v="2"/>
    <n v="22"/>
  </r>
  <r>
    <n v="959"/>
    <m/>
    <m/>
    <d v="2015-01-22T23:39:57"/>
    <d v="2015-01-22T23:41:11"/>
    <n v="1"/>
    <n v="0"/>
    <n v="8"/>
    <n v="34"/>
    <n v="1"/>
    <x v="1"/>
    <x v="5"/>
    <d v="2015-01-22T23:46:54"/>
    <n v="22"/>
    <n v="5"/>
    <n v="23"/>
  </r>
  <r>
    <n v="960"/>
    <s v="California"/>
    <s v="93725"/>
    <d v="2015-01-03T18:17:21"/>
    <d v="2015-01-04T17:54:47"/>
    <n v="2"/>
    <n v="4"/>
    <n v="4"/>
    <n v="2"/>
    <n v="1"/>
    <x v="3"/>
    <x v="4"/>
    <d v="2015-01-03T18:17:23"/>
    <n v="3"/>
    <n v="7"/>
    <n v="18"/>
  </r>
  <r>
    <n v="961"/>
    <s v="Illinois"/>
    <s v="60045"/>
    <d v="2015-07-05T14:49:56"/>
    <d v="2015-07-05T14:49:59"/>
    <n v="1"/>
    <n v="4"/>
    <n v="2"/>
    <n v="2"/>
    <n v="1"/>
    <x v="2"/>
    <x v="2"/>
    <d v="2015-07-05T14:49:56"/>
    <n v="5"/>
    <n v="1"/>
    <n v="14"/>
  </r>
  <r>
    <n v="962"/>
    <s v="New York"/>
    <s v="10003"/>
    <d v="2015-06-19T11:16:10"/>
    <d v="2015-06-19T11:16:14"/>
    <n v="1"/>
    <n v="2"/>
    <n v="2"/>
    <n v="2"/>
    <n v="1"/>
    <x v="0"/>
    <x v="125"/>
    <d v="2015-06-19T11:16:11"/>
    <n v="19"/>
    <n v="6"/>
    <n v="11"/>
  </r>
  <r>
    <n v="963"/>
    <s v="Colorado"/>
    <s v="81303"/>
    <d v="2015-03-08T14:14:41"/>
    <d v="2015-03-08T14:14:48"/>
    <n v="1"/>
    <n v="4"/>
    <n v="2"/>
    <n v="1"/>
    <n v="1"/>
    <x v="0"/>
    <x v="2"/>
    <d v="2015-03-08T14:14:42"/>
    <n v="8"/>
    <n v="1"/>
    <n v="14"/>
  </r>
  <r>
    <n v="964"/>
    <s v="Louisiana"/>
    <s v="70808"/>
    <d v="2015-02-05T11:54:48"/>
    <d v="2015-02-05T11:54:53"/>
    <n v="1"/>
    <n v="2"/>
    <n v="18"/>
    <n v="2"/>
    <n v="1"/>
    <x v="2"/>
    <x v="2"/>
    <d v="2015-02-05T11:57:48"/>
    <n v="5"/>
    <n v="5"/>
    <n v="11"/>
  </r>
  <r>
    <n v="966"/>
    <s v="Texas"/>
    <s v="76021"/>
    <d v="2015-05-26T22:47:29"/>
    <d v="2015-05-26T22:47:33"/>
    <n v="1"/>
    <n v="0"/>
    <n v="2"/>
    <n v="2"/>
    <n v="1"/>
    <x v="0"/>
    <x v="2"/>
    <d v="2015-05-26T22:47:29"/>
    <n v="26"/>
    <n v="3"/>
    <n v="22"/>
  </r>
  <r>
    <n v="967"/>
    <m/>
    <m/>
    <d v="2015-06-03T13:08:28"/>
    <d v="2015-06-03T09:08:31"/>
    <n v="1"/>
    <n v="8"/>
    <n v="16"/>
    <n v="6"/>
    <n v="1"/>
    <x v="5"/>
    <x v="10"/>
    <d v="2015-06-03T09:13:59"/>
    <n v="3"/>
    <n v="4"/>
    <n v="9"/>
  </r>
  <r>
    <n v="968"/>
    <s v="California"/>
    <s v="94806"/>
    <d v="2015-06-02T22:47:27"/>
    <d v="2015-06-02T22:47:32"/>
    <n v="1"/>
    <n v="2"/>
    <n v="2"/>
    <n v="2"/>
    <n v="1"/>
    <x v="0"/>
    <x v="2"/>
    <d v="2015-06-02T22:47:28"/>
    <n v="2"/>
    <n v="3"/>
    <n v="22"/>
  </r>
  <r>
    <n v="969"/>
    <s v="Texas"/>
    <s v="77845"/>
    <d v="2015-03-09T16:18:43"/>
    <d v="2015-03-09T16:18:49"/>
    <n v="1"/>
    <n v="0"/>
    <n v="10"/>
    <n v="1"/>
    <n v="1"/>
    <x v="2"/>
    <x v="2"/>
    <d v="2015-03-09T16:18:44"/>
    <n v="9"/>
    <n v="2"/>
    <n v="16"/>
  </r>
  <r>
    <n v="970"/>
    <s v="Colorado"/>
    <s v="80134"/>
    <d v="2015-06-16T15:26:31"/>
    <d v="2015-06-17T15:40:03"/>
    <n v="2"/>
    <n v="10"/>
    <n v="3"/>
    <n v="7"/>
    <n v="1"/>
    <x v="0"/>
    <x v="43"/>
    <d v="2015-06-17T15:42:16"/>
    <n v="17"/>
    <n v="4"/>
    <n v="15"/>
  </r>
  <r>
    <n v="971"/>
    <s v="Texas"/>
    <s v="78729"/>
    <d v="2015-03-10T21:54:12"/>
    <d v="2015-03-10T21:54:17"/>
    <n v="1"/>
    <n v="4"/>
    <n v="6"/>
    <n v="2"/>
    <n v="1"/>
    <x v="1"/>
    <x v="126"/>
    <d v="2015-03-10T21:54:13"/>
    <n v="10"/>
    <n v="3"/>
    <n v="21"/>
  </r>
  <r>
    <n v="972"/>
    <s v="New York"/>
    <s v="13760"/>
    <d v="2015-06-06T16:29:55"/>
    <d v="2015-06-06T12:30:00"/>
    <n v="1"/>
    <n v="0"/>
    <n v="2"/>
    <n v="2"/>
    <n v="1"/>
    <x v="0"/>
    <x v="2"/>
    <d v="2015-06-06T12:29:56"/>
    <n v="6"/>
    <n v="7"/>
    <n v="12"/>
  </r>
  <r>
    <n v="973"/>
    <s v="Texas"/>
    <s v="78681"/>
    <d v="2015-03-01T14:08:33"/>
    <d v="2015-03-01T14:08:38"/>
    <n v="1"/>
    <n v="2"/>
    <n v="2"/>
    <n v="1"/>
    <n v="1"/>
    <x v="2"/>
    <x v="2"/>
    <d v="2015-03-01T14:08:34"/>
    <n v="1"/>
    <n v="1"/>
    <n v="14"/>
  </r>
  <r>
    <n v="974"/>
    <s v="Alabama"/>
    <s v="36301"/>
    <d v="2015-08-09T21:31:13"/>
    <d v="2015-08-10T09:11:39"/>
    <n v="3"/>
    <n v="2"/>
    <n v="2"/>
    <n v="2"/>
    <n v="1"/>
    <x v="0"/>
    <x v="3"/>
    <d v="2015-08-09T21:31:13"/>
    <n v="9"/>
    <n v="1"/>
    <n v="21"/>
  </r>
  <r>
    <n v="975"/>
    <s v="Iowa"/>
    <s v="50035"/>
    <d v="2015-08-23T21:43:07"/>
    <d v="2015-08-23T17:43:08"/>
    <n v="1"/>
    <n v="12"/>
    <n v="2"/>
    <n v="4"/>
    <n v="1"/>
    <x v="0"/>
    <x v="0"/>
    <d v="2015-08-23T17:45:33"/>
    <n v="23"/>
    <n v="1"/>
    <n v="17"/>
  </r>
  <r>
    <n v="976"/>
    <s v="Michigan"/>
    <s v="48890"/>
    <d v="2015-02-10T10:30:32"/>
    <d v="2015-02-10T10:30:37"/>
    <n v="1"/>
    <n v="0"/>
    <n v="8"/>
    <n v="1"/>
    <n v="1"/>
    <x v="2"/>
    <x v="58"/>
    <d v="2015-02-10T10:30:33"/>
    <n v="10"/>
    <n v="3"/>
    <n v="10"/>
  </r>
  <r>
    <n v="977"/>
    <s v="Wisconsin"/>
    <s v="53217"/>
    <d v="2015-03-04T10:18:37"/>
    <d v="2015-03-05T22:19:40"/>
    <n v="5"/>
    <n v="1"/>
    <n v="4"/>
    <n v="5"/>
    <n v="1"/>
    <x v="3"/>
    <x v="4"/>
    <d v="2015-03-04T10:18:38"/>
    <n v="4"/>
    <n v="4"/>
    <n v="10"/>
  </r>
  <r>
    <n v="978"/>
    <s v="California"/>
    <s v="90720"/>
    <d v="2015-01-23T13:42:27"/>
    <d v="2015-01-27T14:39:02"/>
    <n v="6"/>
    <n v="0"/>
    <n v="6"/>
    <n v="6"/>
    <n v="2"/>
    <x v="1"/>
    <x v="2"/>
    <d v="2015-01-23T13:42:29"/>
    <n v="23"/>
    <n v="6"/>
    <n v="13"/>
  </r>
  <r>
    <n v="979"/>
    <s v="Florida"/>
    <s v="32608"/>
    <d v="2015-01-18T09:24:59"/>
    <d v="2015-01-18T09:25:03"/>
    <n v="1"/>
    <n v="0"/>
    <n v="2"/>
    <n v="2"/>
    <n v="1"/>
    <x v="3"/>
    <x v="5"/>
    <d v="2015-01-18T09:25:01"/>
    <n v="18"/>
    <n v="1"/>
    <n v="9"/>
  </r>
  <r>
    <n v="980"/>
    <s v="California"/>
    <s v="92101"/>
    <d v="2015-06-13T00:47:39"/>
    <d v="2015-06-13T00:47:42"/>
    <n v="1"/>
    <n v="6"/>
    <n v="2"/>
    <n v="2"/>
    <n v="1"/>
    <x v="0"/>
    <x v="2"/>
    <d v="2015-06-13T00:47:39"/>
    <n v="13"/>
    <n v="7"/>
    <n v="0"/>
  </r>
  <r>
    <n v="981"/>
    <s v="Texas"/>
    <s v="79407"/>
    <d v="2015-06-30T15:48:58"/>
    <d v="2015-06-30T11:49:04"/>
    <n v="1"/>
    <n v="4"/>
    <n v="4"/>
    <n v="2"/>
    <n v="1"/>
    <x v="3"/>
    <x v="23"/>
    <d v="2015-06-30T11:48:59"/>
    <n v="30"/>
    <n v="3"/>
    <n v="11"/>
  </r>
  <r>
    <n v="982"/>
    <s v="Texas"/>
    <s v="75229"/>
    <d v="2015-07-23T23:24:07"/>
    <d v="2015-07-23T23:24:11"/>
    <n v="1"/>
    <n v="6"/>
    <n v="8"/>
    <n v="2"/>
    <n v="1"/>
    <x v="2"/>
    <x v="32"/>
    <d v="2015-07-23T23:24:07"/>
    <n v="23"/>
    <n v="5"/>
    <n v="23"/>
  </r>
  <r>
    <n v="983"/>
    <s v="Tennessee"/>
    <s v="37206"/>
    <d v="2015-08-10T18:41:55"/>
    <d v="2015-08-10T14:41:57"/>
    <n v="1"/>
    <n v="8"/>
    <n v="2"/>
    <n v="2"/>
    <n v="1"/>
    <x v="0"/>
    <x v="86"/>
    <d v="2015-08-10T15:33:09"/>
    <n v="10"/>
    <n v="2"/>
    <n v="15"/>
  </r>
  <r>
    <n v="984"/>
    <s v="New Jersey"/>
    <s v="08560"/>
    <d v="2015-07-25T20:38:43"/>
    <d v="2015-07-25T20:38:47"/>
    <n v="1"/>
    <n v="0"/>
    <n v="2"/>
    <n v="2"/>
    <n v="1"/>
    <x v="0"/>
    <x v="6"/>
    <d v="2015-07-25T20:38:44"/>
    <n v="25"/>
    <n v="7"/>
    <n v="20"/>
  </r>
  <r>
    <n v="985"/>
    <s v="Georgia"/>
    <s v="31820"/>
    <d v="2015-02-25T19:16:04"/>
    <d v="2015-02-25T23:10:45"/>
    <n v="3"/>
    <n v="0"/>
    <n v="8"/>
    <n v="5"/>
    <n v="1"/>
    <x v="3"/>
    <x v="4"/>
    <d v="2015-02-25T19:17:55"/>
    <n v="25"/>
    <n v="4"/>
    <n v="19"/>
  </r>
  <r>
    <n v="986"/>
    <s v="Kentucky"/>
    <s v="40026"/>
    <d v="2015-02-19T20:34:58"/>
    <d v="2015-03-10T19:46:26"/>
    <n v="10"/>
    <n v="0"/>
    <n v="8"/>
    <n v="8"/>
    <n v="2"/>
    <x v="5"/>
    <x v="5"/>
    <d v="2015-02-19T20:39:04"/>
    <n v="19"/>
    <n v="5"/>
    <n v="20"/>
  </r>
  <r>
    <n v="987"/>
    <s v="Colorado"/>
    <s v="80504"/>
    <d v="2015-02-17T12:31:10"/>
    <d v="2015-02-23T16:22:36"/>
    <n v="6"/>
    <n v="0"/>
    <n v="1"/>
    <n v="3"/>
    <n v="1"/>
    <x v="0"/>
    <x v="2"/>
    <d v="2015-02-18T11:55:53"/>
    <n v="18"/>
    <n v="4"/>
    <n v="11"/>
  </r>
  <r>
    <n v="988"/>
    <s v="Texas"/>
    <s v="75098"/>
    <d v="2015-08-05T18:56:58"/>
    <d v="2015-08-05T14:57:03"/>
    <n v="1"/>
    <n v="6"/>
    <n v="4"/>
    <n v="2"/>
    <n v="1"/>
    <x v="3"/>
    <x v="51"/>
    <d v="2015-08-05T14:56:59"/>
    <n v="5"/>
    <n v="4"/>
    <n v="14"/>
  </r>
  <r>
    <n v="989"/>
    <s v="Georgia"/>
    <s v="30307"/>
    <d v="2015-09-09T16:24:30"/>
    <d v="2015-09-09T16:24:34"/>
    <n v="1"/>
    <n v="0"/>
    <n v="2"/>
    <n v="2"/>
    <n v="1"/>
    <x v="0"/>
    <x v="86"/>
    <d v="2015-09-09T16:24:30"/>
    <n v="9"/>
    <n v="4"/>
    <n v="16"/>
  </r>
  <r>
    <n v="990"/>
    <s v="Missouri"/>
    <s v="63042"/>
    <d v="2013-09-20T19:18:53"/>
    <d v="2015-07-22T09:02:41"/>
    <n v="3"/>
    <n v="0"/>
    <n v="1"/>
    <n v="2"/>
    <n v="1"/>
    <x v="0"/>
    <x v="82"/>
    <d v="2015-07-22T09:06:30"/>
    <n v="22"/>
    <n v="4"/>
    <n v="9"/>
  </r>
  <r>
    <n v="991"/>
    <m/>
    <m/>
    <d v="2015-01-27T12:55:15"/>
    <d v="2015-02-02T10:34:36"/>
    <n v="10"/>
    <n v="2"/>
    <n v="2"/>
    <n v="7"/>
    <n v="1"/>
    <x v="0"/>
    <x v="2"/>
    <d v="2015-01-28T08:11:35"/>
    <n v="28"/>
    <n v="4"/>
    <n v="8"/>
  </r>
  <r>
    <n v="992"/>
    <s v="Pennsylvania"/>
    <s v="19086"/>
    <d v="2015-09-12T11:58:14"/>
    <d v="2015-09-12T11:58:18"/>
    <n v="1"/>
    <n v="2"/>
    <n v="2"/>
    <n v="4"/>
    <n v="1"/>
    <x v="0"/>
    <x v="127"/>
    <d v="2015-09-12T11:58:14"/>
    <n v="12"/>
    <n v="7"/>
    <n v="11"/>
  </r>
  <r>
    <n v="993"/>
    <s v="Massachusetts"/>
    <s v="02184"/>
    <d v="2015-08-16T13:45:01"/>
    <d v="2015-08-16T22:17:30"/>
    <n v="2"/>
    <n v="3"/>
    <n v="3"/>
    <n v="6"/>
    <n v="1"/>
    <x v="0"/>
    <x v="6"/>
    <d v="2015-08-16T13:45:02"/>
    <n v="16"/>
    <n v="1"/>
    <n v="13"/>
  </r>
  <r>
    <n v="994"/>
    <s v="Alaska"/>
    <s v="99901"/>
    <d v="2015-05-28T15:38:34"/>
    <d v="2015-05-28T15:38:38"/>
    <n v="1"/>
    <n v="0"/>
    <n v="2"/>
    <n v="4"/>
    <n v="1"/>
    <x v="3"/>
    <x v="5"/>
    <d v="2015-05-28T15:38:35"/>
    <n v="28"/>
    <n v="5"/>
    <n v="15"/>
  </r>
  <r>
    <n v="995"/>
    <s v="Colorado"/>
    <s v="80816"/>
    <d v="2015-08-06T04:07:51"/>
    <d v="2015-08-06T11:40:52"/>
    <n v="5"/>
    <n v="8"/>
    <n v="4"/>
    <n v="2"/>
    <n v="1"/>
    <x v="3"/>
    <x v="24"/>
    <d v="2015-08-06T00:07:51"/>
    <n v="6"/>
    <n v="5"/>
    <n v="0"/>
  </r>
  <r>
    <n v="996"/>
    <s v="Ohio"/>
    <s v="44321"/>
    <d v="2015-03-25T11:06:08"/>
    <d v="2015-03-25T11:06:13"/>
    <n v="1"/>
    <n v="0"/>
    <n v="2"/>
    <n v="1"/>
    <n v="1"/>
    <x v="2"/>
    <x v="2"/>
    <d v="2015-03-25T11:06:09"/>
    <n v="25"/>
    <n v="4"/>
    <n v="11"/>
  </r>
  <r>
    <n v="997"/>
    <s v="Indiana"/>
    <s v="47720"/>
    <d v="2015-07-07T15:06:05"/>
    <d v="2015-07-07T11:06:10"/>
    <n v="1"/>
    <n v="6"/>
    <n v="6"/>
    <n v="2"/>
    <n v="1"/>
    <x v="0"/>
    <x v="2"/>
    <d v="2015-07-07T11:06:06"/>
    <n v="7"/>
    <n v="3"/>
    <n v="11"/>
  </r>
  <r>
    <n v="998"/>
    <s v="Wisconsin"/>
    <s v="54115"/>
    <d v="2015-03-24T22:24:55"/>
    <d v="2015-03-24T22:24:59"/>
    <n v="1"/>
    <n v="2"/>
    <n v="2"/>
    <n v="1"/>
    <n v="1"/>
    <x v="5"/>
    <x v="10"/>
    <d v="2015-03-24T22:24:56"/>
    <n v="24"/>
    <n v="3"/>
    <n v="22"/>
  </r>
  <r>
    <n v="999"/>
    <s v="Arizona"/>
    <s v="85253"/>
    <d v="2015-01-16T22:27:04"/>
    <d v="2015-01-16T22:27:07"/>
    <n v="1"/>
    <n v="0"/>
    <n v="4"/>
    <n v="2"/>
    <n v="1"/>
    <x v="3"/>
    <x v="23"/>
    <d v="2015-01-16T22:27:05"/>
    <n v="16"/>
    <n v="6"/>
    <n v="22"/>
  </r>
  <r>
    <n v="1000"/>
    <s v="Colorado"/>
    <s v="81242"/>
    <d v="2015-07-26T16:00:46"/>
    <d v="2015-07-26T12:00:47"/>
    <n v="1"/>
    <n v="4"/>
    <n v="8"/>
    <n v="4"/>
    <n v="1"/>
    <x v="3"/>
    <x v="56"/>
    <d v="2015-07-26T12:03:19"/>
    <n v="26"/>
    <n v="1"/>
    <n v="12"/>
  </r>
  <r>
    <n v="1001"/>
    <s v="Texas"/>
    <s v="77346"/>
    <d v="2015-09-04T09:41:04"/>
    <d v="2015-09-10T01:00:03"/>
    <n v="12"/>
    <n v="8"/>
    <n v="2"/>
    <n v="8"/>
    <n v="1"/>
    <x v="0"/>
    <x v="0"/>
    <d v="2015-09-04T05:41:05"/>
    <n v="4"/>
    <n v="6"/>
    <n v="5"/>
  </r>
  <r>
    <n v="1002"/>
    <s v="Florida"/>
    <s v="32708"/>
    <d v="2015-06-16T08:25:25"/>
    <d v="2015-06-16T08:25:32"/>
    <n v="1"/>
    <n v="8"/>
    <n v="8"/>
    <n v="2"/>
    <n v="1"/>
    <x v="2"/>
    <x v="128"/>
    <d v="2015-06-16T08:25:28"/>
    <n v="16"/>
    <n v="3"/>
    <n v="8"/>
  </r>
  <r>
    <n v="1003"/>
    <s v="Wisconsin"/>
    <s v="53562"/>
    <d v="2015-03-02T08:54:28"/>
    <d v="2015-03-02T08:54:32"/>
    <n v="1"/>
    <n v="0"/>
    <n v="2"/>
    <n v="1"/>
    <n v="1"/>
    <x v="0"/>
    <x v="21"/>
    <d v="2015-03-02T08:54:29"/>
    <n v="2"/>
    <n v="2"/>
    <n v="8"/>
  </r>
  <r>
    <n v="1004"/>
    <s v="New York"/>
    <s v="10003"/>
    <d v="2015-03-02T12:55:15"/>
    <d v="2015-03-02T12:55:20"/>
    <n v="1"/>
    <n v="0"/>
    <n v="2"/>
    <n v="2"/>
    <n v="1"/>
    <x v="0"/>
    <x v="129"/>
    <d v="2015-03-02T12:55:16"/>
    <n v="2"/>
    <n v="2"/>
    <n v="12"/>
  </r>
  <r>
    <n v="1005"/>
    <s v="Michigan"/>
    <s v="48642"/>
    <d v="2015-08-30T11:30:00"/>
    <d v="2015-08-30T11:30:03"/>
    <n v="1"/>
    <n v="4"/>
    <n v="4"/>
    <n v="2"/>
    <n v="1"/>
    <x v="2"/>
    <x v="22"/>
    <d v="2015-08-30T11:30:00"/>
    <n v="30"/>
    <n v="1"/>
    <n v="11"/>
  </r>
  <r>
    <n v="1006"/>
    <s v="Tennessee"/>
    <s v="37220"/>
    <d v="2015-03-11T09:53:53"/>
    <d v="2015-03-11T09:53:57"/>
    <n v="1"/>
    <n v="0"/>
    <n v="6"/>
    <n v="1"/>
    <n v="1"/>
    <x v="6"/>
    <x v="39"/>
    <d v="2015-03-11T09:53:54"/>
    <n v="11"/>
    <n v="4"/>
    <n v="9"/>
  </r>
  <r>
    <n v="1007"/>
    <s v="Alabama"/>
    <s v="35242"/>
    <d v="2015-05-06T13:02:51"/>
    <d v="2015-05-06T13:03:04"/>
    <n v="1"/>
    <n v="0"/>
    <n v="2"/>
    <n v="2"/>
    <n v="1"/>
    <x v="0"/>
    <x v="2"/>
    <d v="2015-05-06T13:03:02"/>
    <n v="6"/>
    <n v="4"/>
    <n v="13"/>
  </r>
  <r>
    <n v="1008"/>
    <s v="North Dakota"/>
    <s v="58104"/>
    <d v="2015-07-11T23:34:55"/>
    <d v="2015-07-11T19:34:56"/>
    <n v="1"/>
    <n v="4"/>
    <n v="4"/>
    <n v="2"/>
    <n v="1"/>
    <x v="5"/>
    <x v="10"/>
    <d v="2015-07-11T19:39:43"/>
    <n v="11"/>
    <n v="7"/>
    <n v="19"/>
  </r>
  <r>
    <n v="1009"/>
    <s v="Texas"/>
    <s v="78834"/>
    <d v="2015-06-13T22:11:37"/>
    <d v="2015-06-13T18:11:46"/>
    <n v="1"/>
    <n v="8"/>
    <n v="8"/>
    <n v="2"/>
    <n v="1"/>
    <x v="2"/>
    <x v="130"/>
    <d v="2015-06-13T18:11:41"/>
    <n v="13"/>
    <n v="7"/>
    <n v="18"/>
  </r>
  <r>
    <n v="1010"/>
    <s v="Pennsylvania"/>
    <s v="19146"/>
    <d v="2015-01-22T10:00:55"/>
    <d v="2015-02-04T17:39:09"/>
    <n v="2"/>
    <n v="2"/>
    <n v="6"/>
    <n v="5"/>
    <n v="2"/>
    <x v="2"/>
    <x v="4"/>
    <d v="2015-01-22T10:00:56"/>
    <n v="22"/>
    <n v="5"/>
    <n v="10"/>
  </r>
  <r>
    <n v="1011"/>
    <s v="Ohio"/>
    <s v="45230"/>
    <d v="2015-09-13T11:46:44"/>
    <d v="2015-09-13T11:46:48"/>
    <n v="1"/>
    <n v="2"/>
    <n v="2"/>
    <n v="2"/>
    <n v="1"/>
    <x v="0"/>
    <x v="0"/>
    <d v="2015-09-13T11:46:44"/>
    <n v="13"/>
    <n v="1"/>
    <n v="11"/>
  </r>
  <r>
    <n v="1012"/>
    <s v="Ohio"/>
    <s v="45429"/>
    <d v="2015-02-08T20:07:53"/>
    <d v="2015-02-08T20:07:58"/>
    <n v="1"/>
    <n v="0"/>
    <n v="4"/>
    <n v="1"/>
    <n v="1"/>
    <x v="3"/>
    <x v="5"/>
    <d v="2015-02-08T20:07:54"/>
    <n v="8"/>
    <n v="1"/>
    <n v="20"/>
  </r>
  <r>
    <n v="1013"/>
    <s v="Florida"/>
    <s v="34108"/>
    <d v="2015-06-26T16:54:52"/>
    <d v="2015-06-26T16:54:56"/>
    <n v="1"/>
    <n v="2"/>
    <n v="6"/>
    <n v="2"/>
    <n v="1"/>
    <x v="1"/>
    <x v="131"/>
    <d v="2015-06-26T16:54:53"/>
    <n v="26"/>
    <n v="6"/>
    <n v="16"/>
  </r>
  <r>
    <n v="1014"/>
    <s v="Ohio"/>
    <s v="45208"/>
    <d v="2015-01-31T20:21:25"/>
    <d v="2015-01-31T20:21:31"/>
    <n v="1"/>
    <n v="0"/>
    <n v="4"/>
    <n v="2"/>
    <n v="1"/>
    <x v="3"/>
    <x v="5"/>
    <d v="2015-01-31T20:21:26"/>
    <n v="31"/>
    <n v="7"/>
    <n v="20"/>
  </r>
  <r>
    <n v="1015"/>
    <s v="New York"/>
    <s v="10014"/>
    <d v="2015-02-25T09:34:35"/>
    <d v="2015-02-25T09:34:39"/>
    <n v="1"/>
    <n v="0"/>
    <n v="2"/>
    <n v="1"/>
    <n v="1"/>
    <x v="3"/>
    <x v="21"/>
    <d v="2015-02-25T09:34:36"/>
    <n v="25"/>
    <n v="4"/>
    <n v="9"/>
  </r>
  <r>
    <n v="1016"/>
    <s v="Virginia"/>
    <s v="22947"/>
    <d v="2015-05-20T10:24:04"/>
    <d v="2015-05-20T10:24:07"/>
    <n v="1"/>
    <n v="0"/>
    <n v="2"/>
    <n v="2"/>
    <n v="1"/>
    <x v="0"/>
    <x v="1"/>
    <d v="2015-05-20T10:24:05"/>
    <n v="20"/>
    <n v="4"/>
    <n v="10"/>
  </r>
  <r>
    <n v="1017"/>
    <s v="California"/>
    <s v="90404"/>
    <d v="2015-08-12T12:36:05"/>
    <d v="2015-08-12T12:36:08"/>
    <n v="1"/>
    <n v="2"/>
    <n v="6"/>
    <n v="2"/>
    <n v="1"/>
    <x v="3"/>
    <x v="132"/>
    <d v="2015-08-12T12:36:05"/>
    <n v="12"/>
    <n v="4"/>
    <n v="12"/>
  </r>
  <r>
    <n v="1018"/>
    <s v="California"/>
    <s v="91711"/>
    <d v="2015-09-17T17:16:43"/>
    <d v="2015-09-17T13:16:52"/>
    <n v="1"/>
    <n v="2"/>
    <n v="4"/>
    <n v="2"/>
    <n v="1"/>
    <x v="2"/>
    <x v="0"/>
    <d v="2015-09-17T13:16:44"/>
    <n v="17"/>
    <n v="5"/>
    <n v="13"/>
  </r>
  <r>
    <n v="1019"/>
    <s v="Oregon"/>
    <s v="97034"/>
    <d v="2015-08-02T01:47:10"/>
    <d v="2015-08-01T21:47:15"/>
    <n v="1"/>
    <n v="2"/>
    <n v="2"/>
    <n v="2"/>
    <n v="1"/>
    <x v="0"/>
    <x v="6"/>
    <d v="2015-08-01T21:47:11"/>
    <n v="1"/>
    <n v="7"/>
    <n v="21"/>
  </r>
  <r>
    <n v="1020"/>
    <m/>
    <m/>
    <d v="2015-08-24T23:43:34"/>
    <d v="2015-08-24T19:43:37"/>
    <n v="1"/>
    <n v="20"/>
    <n v="13"/>
    <n v="5"/>
    <n v="1"/>
    <x v="1"/>
    <x v="133"/>
    <d v="2015-08-24T20:02:17"/>
    <n v="24"/>
    <n v="2"/>
    <n v="20"/>
  </r>
  <r>
    <n v="1021"/>
    <s v="Minnesota"/>
    <s v="55904"/>
    <d v="2015-01-02T19:17:17"/>
    <d v="2015-01-22T23:57:10"/>
    <n v="8"/>
    <n v="2"/>
    <n v="10"/>
    <n v="6"/>
    <n v="1"/>
    <x v="2"/>
    <x v="2"/>
    <d v="2015-01-02T19:22:59"/>
    <n v="2"/>
    <n v="6"/>
    <n v="19"/>
  </r>
  <r>
    <n v="1022"/>
    <s v="New York"/>
    <s v="12203"/>
    <d v="2015-01-18T11:12:33"/>
    <d v="2015-01-18T11:12:37"/>
    <n v="1"/>
    <n v="0"/>
    <n v="10"/>
    <n v="4"/>
    <n v="1"/>
    <x v="2"/>
    <x v="2"/>
    <d v="2015-01-18T11:12:34"/>
    <n v="18"/>
    <n v="1"/>
    <n v="11"/>
  </r>
  <r>
    <n v="1023"/>
    <s v="Minnesota"/>
    <s v="55318"/>
    <d v="2015-01-30T15:02:49"/>
    <d v="2015-02-03T23:54:37"/>
    <n v="6"/>
    <n v="2"/>
    <n v="12"/>
    <n v="7"/>
    <n v="1"/>
    <x v="6"/>
    <x v="21"/>
    <d v="2015-01-30T15:02:50"/>
    <n v="30"/>
    <n v="6"/>
    <n v="15"/>
  </r>
  <r>
    <n v="1024"/>
    <s v="California"/>
    <s v="94941"/>
    <d v="2015-06-04T15:41:27"/>
    <d v="2015-06-04T11:41:33"/>
    <n v="1"/>
    <n v="0"/>
    <n v="2"/>
    <n v="2"/>
    <n v="1"/>
    <x v="0"/>
    <x v="1"/>
    <d v="2015-06-04T11:41:28"/>
    <n v="4"/>
    <n v="5"/>
    <n v="11"/>
  </r>
  <r>
    <n v="1025"/>
    <s v="California"/>
    <s v="94401"/>
    <d v="2015-08-02T19:22:48"/>
    <d v="2015-08-02T19:22:53"/>
    <n v="1"/>
    <n v="2"/>
    <n v="8"/>
    <n v="2"/>
    <n v="1"/>
    <x v="2"/>
    <x v="22"/>
    <d v="2015-08-02T19:22:49"/>
    <n v="2"/>
    <n v="1"/>
    <n v="19"/>
  </r>
  <r>
    <n v="1026"/>
    <s v="Nevada"/>
    <s v="89149"/>
    <d v="2015-06-29T19:34:06"/>
    <d v="2015-06-29T15:34:11"/>
    <n v="1"/>
    <n v="6"/>
    <n v="12"/>
    <n v="4"/>
    <n v="1"/>
    <x v="2"/>
    <x v="2"/>
    <d v="2015-06-29T15:34:07"/>
    <n v="29"/>
    <n v="2"/>
    <n v="15"/>
  </r>
  <r>
    <n v="1027"/>
    <s v="New York"/>
    <s v="12944"/>
    <d v="2015-06-27T12:07:04"/>
    <d v="2015-06-27T12:07:08"/>
    <n v="1"/>
    <n v="10"/>
    <n v="8"/>
    <n v="4"/>
    <n v="1"/>
    <x v="3"/>
    <x v="21"/>
    <d v="2015-06-27T12:07:04"/>
    <n v="27"/>
    <n v="7"/>
    <n v="12"/>
  </r>
  <r>
    <n v="1028"/>
    <m/>
    <m/>
    <d v="2015-03-14T19:54:25"/>
    <d v="2015-03-14T19:54:30"/>
    <n v="1"/>
    <n v="4"/>
    <n v="6"/>
    <n v="6"/>
    <n v="1"/>
    <x v="3"/>
    <x v="5"/>
    <d v="2015-03-14T20:37:32"/>
    <n v="14"/>
    <n v="7"/>
    <n v="20"/>
  </r>
  <r>
    <n v="1029"/>
    <s v="Florida"/>
    <s v="33510"/>
    <d v="2015-09-03T15:21:54"/>
    <d v="2015-09-03T11:21:58"/>
    <n v="1"/>
    <n v="16"/>
    <n v="6"/>
    <n v="2"/>
    <n v="1"/>
    <x v="0"/>
    <x v="65"/>
    <d v="2015-09-03T11:21:54"/>
    <n v="3"/>
    <n v="5"/>
    <n v="11"/>
  </r>
  <r>
    <n v="1030"/>
    <s v="Texas"/>
    <s v="75248"/>
    <d v="2015-01-20T21:35:25"/>
    <d v="2015-01-20T21:35:28"/>
    <n v="1"/>
    <n v="0"/>
    <n v="8"/>
    <n v="2"/>
    <n v="1"/>
    <x v="2"/>
    <x v="2"/>
    <d v="2015-01-20T21:35:26"/>
    <n v="20"/>
    <n v="3"/>
    <n v="21"/>
  </r>
  <r>
    <n v="1031"/>
    <s v="Virginia"/>
    <s v="23322"/>
    <d v="2015-06-23T08:56:31"/>
    <d v="2015-06-23T08:56:34"/>
    <n v="1"/>
    <n v="4"/>
    <n v="2"/>
    <n v="2"/>
    <n v="1"/>
    <x v="0"/>
    <x v="2"/>
    <d v="2015-06-23T08:56:31"/>
    <n v="23"/>
    <n v="3"/>
    <n v="8"/>
  </r>
  <r>
    <n v="1032"/>
    <s v="North Carolina"/>
    <s v="27713"/>
    <d v="2015-06-06T13:29:08"/>
    <d v="2015-06-06T09:29:14"/>
    <n v="1"/>
    <n v="0"/>
    <n v="2"/>
    <n v="2"/>
    <n v="1"/>
    <x v="0"/>
    <x v="2"/>
    <d v="2015-06-06T09:29:09"/>
    <n v="6"/>
    <n v="7"/>
    <n v="9"/>
  </r>
  <r>
    <n v="1033"/>
    <s v="Michigan"/>
    <s v="49417"/>
    <d v="2015-08-26T13:22:20"/>
    <d v="2015-08-26T13:22:23"/>
    <n v="1"/>
    <n v="2"/>
    <n v="2"/>
    <n v="4"/>
    <n v="1"/>
    <x v="0"/>
    <x v="6"/>
    <d v="2015-08-26T13:22:20"/>
    <n v="26"/>
    <n v="4"/>
    <n v="13"/>
  </r>
  <r>
    <n v="1035"/>
    <s v="California"/>
    <s v="92625"/>
    <d v="2015-05-23T19:31:48"/>
    <d v="2015-05-23T19:31:51"/>
    <n v="1"/>
    <n v="2"/>
    <n v="2"/>
    <n v="2"/>
    <n v="1"/>
    <x v="3"/>
    <x v="5"/>
    <d v="2015-05-23T19:31:49"/>
    <n v="23"/>
    <n v="7"/>
    <n v="19"/>
  </r>
  <r>
    <n v="1036"/>
    <s v="Pennsylvania"/>
    <s v="15905"/>
    <d v="2015-02-18T11:11:45"/>
    <d v="2015-02-18T11:11:50"/>
    <n v="1"/>
    <n v="2"/>
    <n v="10"/>
    <n v="1"/>
    <n v="1"/>
    <x v="2"/>
    <x v="2"/>
    <d v="2015-02-18T11:11:46"/>
    <n v="18"/>
    <n v="4"/>
    <n v="11"/>
  </r>
  <r>
    <n v="1037"/>
    <s v="Washington"/>
    <s v="98802"/>
    <d v="2015-03-25T17:45:36"/>
    <d v="2015-03-25T17:45:40"/>
    <n v="1"/>
    <n v="2"/>
    <n v="20"/>
    <n v="3"/>
    <n v="1"/>
    <x v="5"/>
    <x v="10"/>
    <d v="2015-03-25T17:48:06"/>
    <n v="25"/>
    <n v="4"/>
    <n v="17"/>
  </r>
  <r>
    <n v="1038"/>
    <s v="Alaska"/>
    <s v="99518"/>
    <d v="2015-01-20T11:34:08"/>
    <d v="2015-01-20T11:34:14"/>
    <n v="1"/>
    <n v="2"/>
    <n v="10"/>
    <n v="2"/>
    <n v="1"/>
    <x v="6"/>
    <x v="14"/>
    <d v="2015-01-20T11:34:11"/>
    <n v="20"/>
    <n v="3"/>
    <n v="11"/>
  </r>
  <r>
    <n v="1039"/>
    <m/>
    <m/>
    <d v="2014-12-12T16:51:30"/>
    <d v="2015-06-15T09:34:13"/>
    <n v="3"/>
    <n v="1"/>
    <n v="3"/>
    <n v="3"/>
    <n v="1"/>
    <x v="3"/>
    <x v="4"/>
    <d v="2015-06-15T09:36:10"/>
    <n v="15"/>
    <n v="2"/>
    <n v="9"/>
  </r>
  <r>
    <n v="1040"/>
    <m/>
    <m/>
    <d v="2015-03-10T14:29:53"/>
    <d v="2015-03-10T14:30:11"/>
    <n v="1"/>
    <n v="0"/>
    <n v="6"/>
    <n v="1"/>
    <n v="1"/>
    <x v="1"/>
    <x v="8"/>
    <d v="2015-03-10T14:29:55"/>
    <n v="10"/>
    <n v="3"/>
    <n v="14"/>
  </r>
  <r>
    <n v="1041"/>
    <s v="California"/>
    <s v="92705"/>
    <d v="2015-07-27T16:43:25"/>
    <d v="2015-07-27T16:43:29"/>
    <n v="1"/>
    <n v="6"/>
    <n v="8"/>
    <n v="5"/>
    <n v="1"/>
    <x v="1"/>
    <x v="134"/>
    <d v="2015-07-27T16:43:25"/>
    <n v="27"/>
    <n v="2"/>
    <n v="16"/>
  </r>
  <r>
    <n v="1042"/>
    <s v="Oklahoma"/>
    <s v="73008"/>
    <d v="2015-07-13T13:06:18"/>
    <d v="2015-07-13T09:06:23"/>
    <n v="1"/>
    <n v="4"/>
    <n v="4"/>
    <n v="2"/>
    <n v="1"/>
    <x v="3"/>
    <x v="21"/>
    <d v="2015-07-13T09:06:19"/>
    <n v="13"/>
    <n v="2"/>
    <n v="9"/>
  </r>
  <r>
    <n v="1043"/>
    <s v="Vermont"/>
    <s v="05655"/>
    <d v="2015-04-01T14:23:29"/>
    <d v="2015-04-01T14:23:35"/>
    <n v="1"/>
    <n v="2"/>
    <n v="6"/>
    <n v="1"/>
    <n v="1"/>
    <x v="1"/>
    <x v="1"/>
    <d v="2015-04-01T14:23:30"/>
    <n v="1"/>
    <n v="4"/>
    <n v="14"/>
  </r>
  <r>
    <n v="1044"/>
    <s v="Virginia"/>
    <s v="22611"/>
    <d v="2015-03-19T20:34:18"/>
    <d v="2015-03-19T20:34:30"/>
    <n v="1"/>
    <n v="0"/>
    <n v="6"/>
    <n v="1"/>
    <n v="1"/>
    <x v="1"/>
    <x v="8"/>
    <d v="2015-03-19T20:34:19"/>
    <n v="19"/>
    <n v="5"/>
    <n v="20"/>
  </r>
  <r>
    <n v="1045"/>
    <s v="California"/>
    <s v="91502"/>
    <d v="2015-08-21T00:23:47"/>
    <d v="2015-08-20T20:23:51"/>
    <n v="1"/>
    <n v="2"/>
    <n v="2"/>
    <n v="2"/>
    <n v="1"/>
    <x v="0"/>
    <x v="0"/>
    <d v="2015-08-20T20:23:48"/>
    <n v="20"/>
    <n v="5"/>
    <n v="20"/>
  </r>
  <r>
    <n v="1047"/>
    <m/>
    <m/>
    <d v="2015-04-21T15:59:43"/>
    <d v="2015-04-22T20:32:39"/>
    <n v="2"/>
    <n v="0"/>
    <n v="10"/>
    <n v="2"/>
    <n v="1"/>
    <x v="1"/>
    <x v="10"/>
    <d v="2015-04-21T16:00:05"/>
    <n v="21"/>
    <n v="3"/>
    <n v="16"/>
  </r>
  <r>
    <n v="1048"/>
    <s v="Kentucky"/>
    <s v="40353"/>
    <d v="2015-03-19T15:49:57"/>
    <d v="2015-03-19T15:50:00"/>
    <n v="1"/>
    <n v="0"/>
    <n v="2"/>
    <n v="2"/>
    <n v="1"/>
    <x v="0"/>
    <x v="14"/>
    <d v="2015-03-19T15:53:02"/>
    <n v="19"/>
    <n v="5"/>
    <n v="15"/>
  </r>
  <r>
    <n v="1049"/>
    <s v="Missouri"/>
    <s v="63130"/>
    <d v="2015-04-01T09:27:06"/>
    <d v="2015-04-01T09:27:10"/>
    <n v="1"/>
    <n v="2"/>
    <n v="2"/>
    <n v="2"/>
    <n v="1"/>
    <x v="0"/>
    <x v="2"/>
    <d v="2015-04-01T09:27:07"/>
    <n v="1"/>
    <n v="4"/>
    <n v="9"/>
  </r>
  <r>
    <n v="1051"/>
    <m/>
    <m/>
    <d v="2015-01-11T13:49:31"/>
    <d v="2015-01-26T10:35:09"/>
    <n v="4"/>
    <n v="4"/>
    <n v="11"/>
    <n v="3"/>
    <n v="1"/>
    <x v="3"/>
    <x v="23"/>
    <d v="2015-01-26T10:39:59"/>
    <n v="26"/>
    <n v="2"/>
    <n v="10"/>
  </r>
  <r>
    <n v="1052"/>
    <s v="North Carolina"/>
    <s v="27517"/>
    <d v="2015-09-02T12:27:53"/>
    <d v="2015-09-02T12:27:57"/>
    <n v="1"/>
    <n v="2"/>
    <n v="2"/>
    <n v="4"/>
    <n v="1"/>
    <x v="0"/>
    <x v="6"/>
    <d v="2015-09-02T12:27:53"/>
    <n v="2"/>
    <n v="4"/>
    <n v="12"/>
  </r>
  <r>
    <n v="1053"/>
    <s v="Kansas"/>
    <s v="66604"/>
    <d v="2015-03-17T13:51:24"/>
    <d v="2015-03-17T13:51:27"/>
    <n v="1"/>
    <n v="4"/>
    <n v="2"/>
    <n v="2"/>
    <n v="1"/>
    <x v="0"/>
    <x v="14"/>
    <d v="2015-03-17T13:57:15"/>
    <n v="17"/>
    <n v="3"/>
    <n v="13"/>
  </r>
  <r>
    <n v="1054"/>
    <s v="New York"/>
    <s v="10301"/>
    <d v="2015-06-08T00:14:55"/>
    <d v="2015-06-07T20:15:00"/>
    <n v="1"/>
    <n v="0"/>
    <n v="2"/>
    <n v="2"/>
    <n v="1"/>
    <x v="0"/>
    <x v="1"/>
    <d v="2015-06-07T20:14:56"/>
    <n v="7"/>
    <n v="1"/>
    <n v="20"/>
  </r>
  <r>
    <n v="1055"/>
    <s v="Iowa"/>
    <s v="52658"/>
    <d v="2015-05-29T20:58:10"/>
    <d v="2015-05-29T20:58:13"/>
    <n v="1"/>
    <n v="0"/>
    <n v="4"/>
    <n v="2"/>
    <n v="1"/>
    <x v="3"/>
    <x v="13"/>
    <d v="2015-05-29T20:58:10"/>
    <n v="29"/>
    <n v="6"/>
    <n v="20"/>
  </r>
  <r>
    <n v="1056"/>
    <s v="Minnesota"/>
    <s v="55807"/>
    <d v="2015-05-04T16:22:34"/>
    <d v="2015-05-04T19:23:14"/>
    <n v="3"/>
    <n v="0"/>
    <n v="6"/>
    <n v="2"/>
    <n v="1"/>
    <x v="1"/>
    <x v="1"/>
    <d v="2015-05-04T16:22:35"/>
    <n v="4"/>
    <n v="2"/>
    <n v="16"/>
  </r>
  <r>
    <n v="1057"/>
    <s v="Maryland"/>
    <s v="21042"/>
    <d v="2015-05-21T14:00:56"/>
    <d v="2015-05-21T14:00:58"/>
    <n v="1"/>
    <n v="2"/>
    <n v="6"/>
    <n v="2"/>
    <n v="1"/>
    <x v="1"/>
    <x v="8"/>
    <d v="2015-05-21T14:00:56"/>
    <n v="21"/>
    <n v="5"/>
    <n v="14"/>
  </r>
  <r>
    <n v="1058"/>
    <s v="Virginia"/>
    <s v="24018"/>
    <d v="2015-02-16T18:23:39"/>
    <d v="2015-02-16T18:23:47"/>
    <n v="1"/>
    <n v="0"/>
    <n v="16"/>
    <n v="1"/>
    <n v="1"/>
    <x v="4"/>
    <x v="135"/>
    <d v="2015-02-16T18:23:42"/>
    <n v="16"/>
    <n v="2"/>
    <n v="18"/>
  </r>
  <r>
    <n v="1059"/>
    <m/>
    <m/>
    <d v="2015-01-29T11:10:47"/>
    <d v="2015-01-29T11:14:37"/>
    <n v="2"/>
    <n v="2"/>
    <n v="2"/>
    <n v="2"/>
    <n v="1"/>
    <x v="3"/>
    <x v="4"/>
    <d v="2015-01-29T12:14:25"/>
    <n v="29"/>
    <n v="5"/>
    <n v="12"/>
  </r>
  <r>
    <n v="1060"/>
    <s v="Nebraska"/>
    <s v="68022"/>
    <d v="2015-08-27T08:19:09"/>
    <d v="2015-08-27T08:19:13"/>
    <n v="1"/>
    <n v="2"/>
    <n v="8"/>
    <n v="2"/>
    <n v="1"/>
    <x v="2"/>
    <x v="12"/>
    <d v="2015-08-27T08:19:10"/>
    <n v="27"/>
    <n v="5"/>
    <n v="8"/>
  </r>
  <r>
    <n v="1061"/>
    <s v="Wisconsin"/>
    <s v="53042"/>
    <d v="2015-08-11T15:35:37"/>
    <d v="2015-08-11T11:35:38"/>
    <n v="1"/>
    <n v="6"/>
    <n v="18"/>
    <n v="7"/>
    <n v="2"/>
    <x v="5"/>
    <x v="61"/>
    <d v="2015-08-11T11:48:10"/>
    <n v="11"/>
    <n v="3"/>
    <n v="11"/>
  </r>
  <r>
    <n v="1062"/>
    <s v="Maryland"/>
    <s v="20817"/>
    <d v="2015-02-04T18:24:48"/>
    <d v="2015-02-05T22:49:00"/>
    <n v="3"/>
    <n v="8"/>
    <n v="12"/>
    <n v="2"/>
    <n v="1"/>
    <x v="2"/>
    <x v="58"/>
    <d v="2015-02-04T18:24:49"/>
    <n v="4"/>
    <n v="4"/>
    <n v="18"/>
  </r>
  <r>
    <n v="1063"/>
    <s v="Florida"/>
    <s v="34711"/>
    <d v="2015-03-20T20:43:34"/>
    <d v="2015-03-20T20:43:41"/>
    <n v="1"/>
    <n v="0"/>
    <n v="22"/>
    <n v="1"/>
    <n v="1"/>
    <x v="5"/>
    <x v="10"/>
    <d v="2015-03-20T20:43:35"/>
    <n v="20"/>
    <n v="6"/>
    <n v="20"/>
  </r>
  <r>
    <n v="1064"/>
    <s v="Pennsylvania"/>
    <s v="17777"/>
    <d v="2015-06-11T07:56:27"/>
    <d v="2015-06-11T07:56:30"/>
    <n v="1"/>
    <n v="2"/>
    <n v="4"/>
    <n v="2"/>
    <n v="1"/>
    <x v="2"/>
    <x v="2"/>
    <d v="2015-06-11T07:56:27"/>
    <n v="11"/>
    <n v="5"/>
    <n v="7"/>
  </r>
  <r>
    <n v="1066"/>
    <s v="Oregon"/>
    <s v="97305"/>
    <d v="2015-03-22T23:02:41"/>
    <d v="2015-03-22T23:02:47"/>
    <n v="1"/>
    <n v="0"/>
    <n v="6"/>
    <n v="1"/>
    <n v="1"/>
    <x v="1"/>
    <x v="1"/>
    <d v="2015-03-22T23:02:42"/>
    <n v="22"/>
    <n v="1"/>
    <n v="23"/>
  </r>
  <r>
    <n v="1067"/>
    <s v="Florida"/>
    <s v="32439"/>
    <d v="2015-01-12T07:49:36"/>
    <d v="2015-01-12T07:49:41"/>
    <n v="1"/>
    <n v="6"/>
    <n v="2"/>
    <n v="2"/>
    <n v="1"/>
    <x v="0"/>
    <x v="21"/>
    <d v="2015-01-12T07:49:38"/>
    <n v="12"/>
    <n v="2"/>
    <n v="7"/>
  </r>
  <r>
    <n v="1068"/>
    <s v="New Jersey"/>
    <s v="07853"/>
    <d v="2015-02-08T10:51:23"/>
    <d v="2015-02-08T10:51:28"/>
    <n v="1"/>
    <n v="0"/>
    <n v="2"/>
    <n v="1"/>
    <n v="1"/>
    <x v="2"/>
    <x v="58"/>
    <d v="2015-02-08T10:51:24"/>
    <n v="8"/>
    <n v="1"/>
    <n v="10"/>
  </r>
  <r>
    <n v="1069"/>
    <s v="New York"/>
    <s v="10018"/>
    <d v="2015-05-22T16:52:52"/>
    <d v="2015-05-22T16:52:56"/>
    <n v="1"/>
    <n v="2"/>
    <n v="4"/>
    <n v="4"/>
    <n v="1"/>
    <x v="3"/>
    <x v="21"/>
    <d v="2015-05-22T16:52:53"/>
    <n v="22"/>
    <n v="6"/>
    <n v="16"/>
  </r>
  <r>
    <n v="1070"/>
    <s v="Tennessee"/>
    <s v="37716"/>
    <d v="2015-07-24T18:29:37"/>
    <d v="2015-07-24T14:29:41"/>
    <n v="1"/>
    <n v="2"/>
    <n v="2"/>
    <n v="2"/>
    <n v="1"/>
    <x v="0"/>
    <x v="86"/>
    <d v="2015-07-24T14:29:37"/>
    <n v="24"/>
    <n v="6"/>
    <n v="14"/>
  </r>
  <r>
    <n v="1071"/>
    <m/>
    <m/>
    <d v="2015-06-08T14:56:46"/>
    <d v="2015-06-08T10:56:48"/>
    <n v="1"/>
    <n v="2"/>
    <n v="2"/>
    <n v="2"/>
    <n v="1"/>
    <x v="3"/>
    <x v="5"/>
    <d v="2015-06-08T11:00:44"/>
    <n v="8"/>
    <n v="2"/>
    <n v="11"/>
  </r>
  <r>
    <n v="1072"/>
    <s v="California"/>
    <s v="94568"/>
    <d v="2015-04-07T17:22:58"/>
    <d v="2015-04-07T17:23:03"/>
    <n v="1"/>
    <n v="0"/>
    <n v="2"/>
    <n v="1"/>
    <n v="1"/>
    <x v="3"/>
    <x v="4"/>
    <d v="2015-04-07T17:22:59"/>
    <n v="7"/>
    <n v="3"/>
    <n v="17"/>
  </r>
  <r>
    <n v="1073"/>
    <m/>
    <m/>
    <d v="2014-12-15T23:51:36"/>
    <d v="2015-04-07T16:30:14"/>
    <n v="3"/>
    <n v="2"/>
    <n v="11"/>
    <n v="13"/>
    <n v="1"/>
    <x v="5"/>
    <x v="10"/>
    <d v="2015-04-07T16:33:26"/>
    <n v="7"/>
    <n v="3"/>
    <n v="16"/>
  </r>
  <r>
    <n v="1074"/>
    <s v="District of Columbia"/>
    <s v="20016"/>
    <d v="2015-01-03T07:46:27"/>
    <d v="2015-01-03T07:46:32"/>
    <n v="1"/>
    <n v="0"/>
    <n v="4"/>
    <n v="2"/>
    <n v="1"/>
    <x v="3"/>
    <x v="68"/>
    <d v="2015-01-03T07:46:28"/>
    <n v="3"/>
    <n v="7"/>
    <n v="7"/>
  </r>
  <r>
    <n v="1075"/>
    <m/>
    <m/>
    <d v="2015-01-12T15:27:01"/>
    <d v="2015-01-12T17:27:12"/>
    <n v="2"/>
    <n v="0"/>
    <n v="15"/>
    <n v="8"/>
    <n v="1"/>
    <x v="6"/>
    <x v="14"/>
    <d v="2015-01-12T17:39:18"/>
    <n v="12"/>
    <n v="2"/>
    <n v="17"/>
  </r>
  <r>
    <n v="1076"/>
    <s v="Minnesota"/>
    <s v="55317"/>
    <d v="2015-06-26T16:16:53"/>
    <d v="2015-06-26T16:16:58"/>
    <n v="1"/>
    <n v="14"/>
    <n v="12"/>
    <n v="2"/>
    <n v="1"/>
    <x v="14"/>
    <x v="136"/>
    <d v="2015-06-26T16:16:54"/>
    <n v="26"/>
    <n v="6"/>
    <n v="16"/>
  </r>
  <r>
    <n v="1077"/>
    <s v="Washington"/>
    <s v="98837"/>
    <d v="2015-02-09T20:19:40"/>
    <d v="2015-02-09T20:19:46"/>
    <n v="1"/>
    <n v="4"/>
    <n v="10"/>
    <n v="1"/>
    <n v="1"/>
    <x v="2"/>
    <x v="58"/>
    <d v="2015-02-09T20:19:41"/>
    <n v="9"/>
    <n v="2"/>
    <n v="20"/>
  </r>
  <r>
    <n v="1078"/>
    <s v="Maine"/>
    <s v="04011"/>
    <d v="2015-07-22T07:54:30"/>
    <d v="2015-07-22T07:54:39"/>
    <n v="1"/>
    <n v="4"/>
    <n v="2"/>
    <n v="2"/>
    <n v="1"/>
    <x v="0"/>
    <x v="3"/>
    <d v="2015-07-22T07:54:31"/>
    <n v="22"/>
    <n v="4"/>
    <n v="7"/>
  </r>
  <r>
    <n v="1079"/>
    <m/>
    <m/>
    <d v="2015-06-10T15:22:38"/>
    <d v="2015-06-10T11:22:40"/>
    <n v="1"/>
    <n v="0"/>
    <n v="2"/>
    <n v="1"/>
    <n v="1"/>
    <x v="3"/>
    <x v="5"/>
    <d v="2015-06-10T11:28:01"/>
    <n v="10"/>
    <n v="4"/>
    <n v="11"/>
  </r>
  <r>
    <n v="1080"/>
    <s v="Minnesota"/>
    <s v="56554"/>
    <d v="2015-07-14T21:25:38"/>
    <d v="2015-07-15T12:00:47"/>
    <n v="3"/>
    <n v="4"/>
    <n v="4"/>
    <n v="7"/>
    <n v="1"/>
    <x v="0"/>
    <x v="0"/>
    <d v="2015-07-14T17:28:13"/>
    <n v="14"/>
    <n v="3"/>
    <n v="17"/>
  </r>
  <r>
    <n v="1081"/>
    <s v="Washington"/>
    <s v="98321"/>
    <d v="2015-06-08T14:00:20"/>
    <d v="2015-06-08T14:00:50"/>
    <n v="1"/>
    <n v="0"/>
    <n v="2"/>
    <n v="2"/>
    <n v="1"/>
    <x v="0"/>
    <x v="4"/>
    <d v="2015-06-08T14:00:44"/>
    <n v="8"/>
    <n v="2"/>
    <n v="14"/>
  </r>
  <r>
    <n v="1082"/>
    <s v="New York"/>
    <s v="14845"/>
    <d v="2015-05-21T10:16:59"/>
    <d v="2015-05-21T10:17:02"/>
    <n v="1"/>
    <n v="2"/>
    <n v="8"/>
    <n v="3"/>
    <n v="1"/>
    <x v="2"/>
    <x v="2"/>
    <d v="2015-05-21T10:17:00"/>
    <n v="21"/>
    <n v="5"/>
    <n v="10"/>
  </r>
  <r>
    <n v="1083"/>
    <s v="Michigan"/>
    <s v="48867"/>
    <d v="2015-07-28T15:12:13"/>
    <d v="2015-07-28T15:12:16"/>
    <n v="1"/>
    <n v="8"/>
    <n v="4"/>
    <n v="2"/>
    <n v="1"/>
    <x v="3"/>
    <x v="137"/>
    <d v="2015-07-28T15:12:13"/>
    <n v="28"/>
    <n v="3"/>
    <n v="15"/>
  </r>
  <r>
    <n v="1084"/>
    <s v="New York"/>
    <s v="14216"/>
    <d v="2015-03-16T09:04:32"/>
    <d v="2015-03-16T09:04:36"/>
    <n v="1"/>
    <n v="4"/>
    <n v="2"/>
    <n v="1"/>
    <n v="1"/>
    <x v="3"/>
    <x v="5"/>
    <d v="2015-03-16T09:04:33"/>
    <n v="16"/>
    <n v="2"/>
    <n v="9"/>
  </r>
  <r>
    <n v="1085"/>
    <s v="Maryland"/>
    <s v="21773"/>
    <d v="2015-01-10T17:27:04"/>
    <d v="2015-01-10T17:27:07"/>
    <n v="1"/>
    <n v="2"/>
    <n v="8"/>
    <n v="2"/>
    <n v="1"/>
    <x v="2"/>
    <x v="14"/>
    <d v="2015-01-10T17:31:31"/>
    <n v="10"/>
    <n v="7"/>
    <n v="17"/>
  </r>
  <r>
    <n v="1086"/>
    <s v="Texas"/>
    <s v="77578"/>
    <d v="2015-07-16T21:33:35"/>
    <d v="2015-07-16T17:33:41"/>
    <n v="1"/>
    <n v="10"/>
    <n v="10"/>
    <n v="2"/>
    <n v="1"/>
    <x v="6"/>
    <x v="138"/>
    <d v="2015-07-16T17:33:37"/>
    <n v="16"/>
    <n v="5"/>
    <n v="17"/>
  </r>
  <r>
    <n v="1087"/>
    <s v="Kentucky"/>
    <s v="40057"/>
    <d v="2015-09-02T11:36:31"/>
    <d v="2015-09-02T07:36:37"/>
    <n v="1"/>
    <n v="2"/>
    <n v="2"/>
    <n v="2"/>
    <n v="1"/>
    <x v="0"/>
    <x v="6"/>
    <d v="2015-09-02T07:36:32"/>
    <n v="2"/>
    <n v="4"/>
    <n v="7"/>
  </r>
  <r>
    <n v="1088"/>
    <s v="Iowa"/>
    <s v="51334"/>
    <d v="2015-07-13T21:54:03"/>
    <d v="2015-07-13T21:54:07"/>
    <n v="1"/>
    <n v="2"/>
    <n v="8"/>
    <n v="4"/>
    <n v="1"/>
    <x v="2"/>
    <x v="14"/>
    <d v="2015-07-13T21:54:03"/>
    <n v="13"/>
    <n v="2"/>
    <n v="21"/>
  </r>
  <r>
    <n v="1089"/>
    <s v="Massachusetts"/>
    <s v="02190"/>
    <d v="2015-09-01T20:40:03"/>
    <d v="2015-09-01T20:40:06"/>
    <n v="1"/>
    <n v="2"/>
    <n v="4"/>
    <n v="2"/>
    <n v="1"/>
    <x v="3"/>
    <x v="42"/>
    <d v="2015-09-01T20:40:03"/>
    <n v="1"/>
    <n v="3"/>
    <n v="20"/>
  </r>
  <r>
    <n v="1090"/>
    <s v="Alabama"/>
    <s v="35756"/>
    <d v="2015-06-08T13:11:34"/>
    <d v="2015-06-08T13:11:38"/>
    <n v="1"/>
    <n v="0"/>
    <n v="2"/>
    <n v="2"/>
    <n v="1"/>
    <x v="0"/>
    <x v="14"/>
    <d v="2015-06-08T13:11:35"/>
    <n v="8"/>
    <n v="2"/>
    <n v="13"/>
  </r>
  <r>
    <n v="1091"/>
    <s v="New Jersey"/>
    <s v="07481"/>
    <d v="2015-03-14T08:50:56"/>
    <d v="2015-03-14T08:51:00"/>
    <n v="1"/>
    <n v="0"/>
    <n v="2"/>
    <n v="1"/>
    <n v="1"/>
    <x v="2"/>
    <x v="2"/>
    <d v="2015-03-14T08:50:57"/>
    <n v="14"/>
    <n v="7"/>
    <n v="8"/>
  </r>
  <r>
    <n v="1092"/>
    <s v="New York"/>
    <s v="10511"/>
    <d v="2015-03-21T16:15:31"/>
    <d v="2015-03-21T16:15:36"/>
    <n v="1"/>
    <n v="4"/>
    <n v="2"/>
    <n v="1"/>
    <n v="1"/>
    <x v="0"/>
    <x v="21"/>
    <d v="2015-03-21T16:15:32"/>
    <n v="21"/>
    <n v="7"/>
    <n v="16"/>
  </r>
  <r>
    <n v="1093"/>
    <s v="Minnesota"/>
    <s v="55369"/>
    <d v="2015-08-15T18:07:20"/>
    <d v="2015-08-18T12:21:39"/>
    <n v="3"/>
    <n v="2"/>
    <n v="3"/>
    <n v="8"/>
    <n v="1"/>
    <x v="0"/>
    <x v="82"/>
    <d v="2015-08-18T12:26:33"/>
    <n v="18"/>
    <n v="3"/>
    <n v="12"/>
  </r>
  <r>
    <n v="1094"/>
    <s v="Massachusetts"/>
    <s v="02081"/>
    <d v="2015-06-10T13:58:42"/>
    <d v="2015-06-10T13:58:48"/>
    <n v="1"/>
    <n v="12"/>
    <n v="20"/>
    <n v="7"/>
    <n v="1"/>
    <x v="2"/>
    <x v="2"/>
    <d v="2015-06-10T13:58:44"/>
    <n v="10"/>
    <n v="4"/>
    <n v="13"/>
  </r>
  <r>
    <n v="1095"/>
    <s v="Virginia"/>
    <s v="24018"/>
    <d v="2015-03-15T17:55:15"/>
    <d v="2015-03-15T17:55:20"/>
    <n v="1"/>
    <n v="2"/>
    <n v="6"/>
    <n v="1"/>
    <n v="1"/>
    <x v="3"/>
    <x v="13"/>
    <d v="2015-03-15T17:55:16"/>
    <n v="15"/>
    <n v="1"/>
    <n v="17"/>
  </r>
  <r>
    <n v="1096"/>
    <s v="California"/>
    <s v="90046"/>
    <d v="2015-01-14T17:59:42"/>
    <d v="2015-01-14T17:59:46"/>
    <n v="1"/>
    <n v="0"/>
    <n v="4"/>
    <n v="3"/>
    <n v="1"/>
    <x v="0"/>
    <x v="139"/>
    <d v="2015-01-14T17:59:44"/>
    <n v="14"/>
    <n v="4"/>
    <n v="17"/>
  </r>
  <r>
    <n v="1097"/>
    <s v="Alabama"/>
    <s v="35126"/>
    <d v="2015-09-05T04:35:33"/>
    <d v="2015-09-05T00:35:38"/>
    <n v="1"/>
    <n v="2"/>
    <n v="4"/>
    <n v="5"/>
    <n v="1"/>
    <x v="3"/>
    <x v="42"/>
    <d v="2015-09-05T00:35:34"/>
    <n v="5"/>
    <n v="7"/>
    <n v="0"/>
  </r>
  <r>
    <n v="1098"/>
    <s v="California"/>
    <s v="93555"/>
    <d v="2015-08-15T20:44:04"/>
    <d v="2015-08-15T20:44:07"/>
    <n v="1"/>
    <n v="2"/>
    <n v="2"/>
    <n v="2"/>
    <n v="1"/>
    <x v="0"/>
    <x v="3"/>
    <d v="2015-08-15T20:44:04"/>
    <n v="15"/>
    <n v="7"/>
    <n v="20"/>
  </r>
  <r>
    <n v="1099"/>
    <m/>
    <m/>
    <d v="2015-07-20T23:10:10"/>
    <d v="2015-07-20T19:10:12"/>
    <n v="1"/>
    <n v="0"/>
    <n v="2"/>
    <n v="2"/>
    <n v="1"/>
    <x v="0"/>
    <x v="6"/>
    <d v="2015-07-20T19:13:28"/>
    <n v="20"/>
    <n v="2"/>
    <n v="19"/>
  </r>
  <r>
    <n v="1100"/>
    <s v="New York"/>
    <s v="14617"/>
    <d v="2015-05-29T05:02:58"/>
    <d v="2015-05-29T05:03:02"/>
    <n v="1"/>
    <n v="2"/>
    <n v="2"/>
    <n v="3"/>
    <n v="1"/>
    <x v="0"/>
    <x v="2"/>
    <d v="2015-05-29T05:02:59"/>
    <n v="29"/>
    <n v="6"/>
    <n v="5"/>
  </r>
  <r>
    <m/>
    <m/>
    <m/>
    <m/>
    <m/>
    <m/>
    <m/>
    <m/>
    <m/>
    <m/>
    <x v="18"/>
    <x v="14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9">
  <r>
    <n v="1"/>
    <m/>
    <m/>
    <d v="2015-08-16T03:05:28"/>
    <d v="2015-08-15T23:05:30"/>
    <n v="1"/>
    <n v="2"/>
    <n v="4"/>
    <n v="6"/>
    <n v="1"/>
    <n v="1"/>
    <n v="56.32"/>
    <d v="2015-08-15T23:07:22"/>
    <n v="15"/>
    <x v="0"/>
    <x v="0"/>
  </r>
  <r>
    <n v="2"/>
    <s v="Georgia"/>
    <s v="30345"/>
    <d v="2015-01-22T22:28:27"/>
    <d v="2015-01-22T22:28:32"/>
    <n v="1"/>
    <n v="0"/>
    <n v="6"/>
    <n v="2"/>
    <n v="1"/>
    <n v="3"/>
    <n v="27"/>
    <d v="2015-01-22T22:28:29"/>
    <n v="22"/>
    <x v="1"/>
    <x v="1"/>
  </r>
  <r>
    <n v="3"/>
    <s v="Arkansas"/>
    <s v="72401"/>
    <d v="2015-07-06T01:39:49"/>
    <d v="2015-07-05T21:39:56"/>
    <n v="2"/>
    <n v="1"/>
    <n v="8"/>
    <n v="2"/>
    <n v="1"/>
    <n v="4"/>
    <n v="28.8"/>
    <d v="2015-07-05T21:39:50"/>
    <n v="5"/>
    <x v="2"/>
    <x v="2"/>
  </r>
  <r>
    <n v="4"/>
    <s v="Iowa"/>
    <s v="52172"/>
    <d v="2015-07-25T11:12:07"/>
    <d v="2015-07-25T11:12:10"/>
    <n v="1"/>
    <n v="4"/>
    <n v="6"/>
    <n v="15"/>
    <n v="1"/>
    <n v="1"/>
    <n v="28.05"/>
    <d v="2015-07-25T11:12:07"/>
    <n v="25"/>
    <x v="0"/>
    <x v="3"/>
  </r>
  <r>
    <n v="5"/>
    <s v="Iowa"/>
    <s v="50025"/>
    <d v="2015-02-28T16:58:43"/>
    <d v="2015-02-28T16:58:49"/>
    <n v="1"/>
    <n v="0"/>
    <n v="4"/>
    <n v="1"/>
    <n v="1"/>
    <n v="2"/>
    <n v="9"/>
    <d v="2015-02-28T16:58:44"/>
    <n v="28"/>
    <x v="0"/>
    <x v="4"/>
  </r>
  <r>
    <n v="6"/>
    <m/>
    <m/>
    <d v="2015-01-12T20:38:22"/>
    <d v="2015-01-12T20:38:27"/>
    <n v="1"/>
    <n v="0"/>
    <n v="4"/>
    <n v="3"/>
    <n v="1"/>
    <n v="2"/>
    <n v="9"/>
    <d v="2015-01-12T20:38:24"/>
    <n v="12"/>
    <x v="3"/>
    <x v="5"/>
  </r>
  <r>
    <n v="7"/>
    <s v="Virginia"/>
    <s v="24445"/>
    <d v="2015-05-01T21:52:09"/>
    <d v="2015-05-01T21:52:14"/>
    <n v="1"/>
    <n v="0"/>
    <n v="4"/>
    <n v="1"/>
    <n v="1"/>
    <n v="2"/>
    <n v="18"/>
    <d v="2015-05-01T21:52:10"/>
    <n v="1"/>
    <x v="4"/>
    <x v="2"/>
  </r>
  <r>
    <n v="8"/>
    <s v="Florida"/>
    <s v="33472"/>
    <d v="2015-09-01T18:10:32"/>
    <d v="2015-09-01T18:10:36"/>
    <n v="1"/>
    <n v="0"/>
    <n v="2"/>
    <n v="2"/>
    <n v="1"/>
    <n v="1"/>
    <n v="29.92"/>
    <d v="2015-09-01T18:10:32"/>
    <n v="1"/>
    <x v="5"/>
    <x v="6"/>
  </r>
  <r>
    <n v="9"/>
    <s v="District of Columbia"/>
    <s v="20009"/>
    <d v="2015-06-11T02:23:21"/>
    <d v="2015-06-10T22:23:27"/>
    <n v="1"/>
    <n v="2"/>
    <n v="14"/>
    <n v="2"/>
    <n v="1"/>
    <n v="7"/>
    <n v="51.75"/>
    <d v="2015-06-10T22:23:23"/>
    <n v="10"/>
    <x v="6"/>
    <x v="1"/>
  </r>
  <r>
    <n v="10"/>
    <s v="Michigan"/>
    <s v="48301"/>
    <d v="2015-06-17T12:50:10"/>
    <d v="2015-06-17T15:13:58"/>
    <n v="2"/>
    <n v="2"/>
    <n v="2"/>
    <n v="3"/>
    <n v="1"/>
    <n v="1"/>
    <n v="28.8"/>
    <d v="2015-06-17T12:50:11"/>
    <n v="17"/>
    <x v="6"/>
    <x v="7"/>
  </r>
  <r>
    <n v="11"/>
    <s v="Massachusetts"/>
    <s v="02476"/>
    <d v="2015-04-18T11:17:58"/>
    <d v="2015-04-18T11:18:21"/>
    <n v="1"/>
    <n v="2"/>
    <n v="8"/>
    <n v="3"/>
    <n v="1"/>
    <n v="3"/>
    <n v="21.6"/>
    <d v="2015-04-18T11:18:17"/>
    <n v="18"/>
    <x v="0"/>
    <x v="3"/>
  </r>
  <r>
    <n v="12"/>
    <s v="Georgia"/>
    <s v="30329"/>
    <d v="2015-06-23T21:10:53"/>
    <d v="2015-06-23T17:10:58"/>
    <n v="1"/>
    <n v="4"/>
    <n v="4"/>
    <n v="2"/>
    <n v="1"/>
    <n v="4"/>
    <n v="27"/>
    <d v="2015-06-23T17:10:55"/>
    <n v="23"/>
    <x v="5"/>
    <x v="8"/>
  </r>
  <r>
    <n v="13"/>
    <s v="Minnesota"/>
    <s v="55431"/>
    <d v="2015-03-24T16:28:12"/>
    <d v="2015-03-24T16:28:18"/>
    <n v="1"/>
    <n v="2"/>
    <n v="2"/>
    <n v="2"/>
    <n v="1"/>
    <n v="1"/>
    <n v="64.8"/>
    <d v="2015-03-24T16:33:18"/>
    <n v="24"/>
    <x v="5"/>
    <x v="4"/>
  </r>
  <r>
    <n v="15"/>
    <s v="New York"/>
    <s v="10007"/>
    <d v="2015-05-11T18:39:47"/>
    <d v="2015-05-12T13:13:45"/>
    <n v="5"/>
    <n v="4"/>
    <n v="6"/>
    <n v="2"/>
    <n v="1"/>
    <n v="3"/>
    <n v="27"/>
    <d v="2015-05-11T18:39:47"/>
    <n v="11"/>
    <x v="3"/>
    <x v="6"/>
  </r>
  <r>
    <n v="16"/>
    <s v="Nebraska"/>
    <s v="68128"/>
    <d v="2015-03-15T14:49:39"/>
    <d v="2015-03-15T14:49:44"/>
    <n v="1"/>
    <n v="1"/>
    <n v="8"/>
    <n v="1"/>
    <n v="1"/>
    <n v="6"/>
    <n v="43.2"/>
    <d v="2015-03-15T14:49:40"/>
    <n v="15"/>
    <x v="2"/>
    <x v="9"/>
  </r>
  <r>
    <n v="17"/>
    <s v="California"/>
    <s v="93460"/>
    <d v="2015-07-16T01:10:06"/>
    <d v="2015-07-15T21:10:14"/>
    <n v="1"/>
    <n v="2"/>
    <n v="8"/>
    <n v="2"/>
    <n v="1"/>
    <n v="3"/>
    <n v="81.599999999999994"/>
    <d v="2015-07-15T21:10:08"/>
    <n v="15"/>
    <x v="6"/>
    <x v="2"/>
  </r>
  <r>
    <n v="18"/>
    <s v="California"/>
    <s v="94061"/>
    <d v="2015-06-30T15:28:02"/>
    <d v="2015-06-30T15:28:05"/>
    <n v="1"/>
    <n v="0"/>
    <n v="2"/>
    <n v="2"/>
    <n v="1"/>
    <n v="1"/>
    <n v="28.8"/>
    <d v="2015-06-30T15:28:02"/>
    <n v="30"/>
    <x v="5"/>
    <x v="10"/>
  </r>
  <r>
    <n v="19"/>
    <s v="Pennsylvania"/>
    <s v="17821"/>
    <d v="2015-05-10T06:42:19"/>
    <d v="2015-05-10T06:42:22"/>
    <n v="1"/>
    <n v="2"/>
    <n v="2"/>
    <n v="2"/>
    <n v="1"/>
    <n v="1"/>
    <n v="28.8"/>
    <d v="2015-05-10T06:42:19"/>
    <n v="10"/>
    <x v="2"/>
    <x v="11"/>
  </r>
  <r>
    <n v="20"/>
    <s v="Pennsylvania"/>
    <s v="16033"/>
    <d v="2015-07-31T16:11:59"/>
    <d v="2015-07-31T16:12:02"/>
    <n v="1"/>
    <n v="2"/>
    <n v="4"/>
    <n v="6"/>
    <n v="1"/>
    <n v="1"/>
    <n v="29.92"/>
    <d v="2015-07-31T16:11:59"/>
    <n v="31"/>
    <x v="4"/>
    <x v="4"/>
  </r>
  <r>
    <n v="21"/>
    <m/>
    <m/>
    <d v="2015-07-20T23:21:04"/>
    <d v="2015-07-20T19:21:06"/>
    <n v="1"/>
    <n v="4"/>
    <n v="4"/>
    <n v="4"/>
    <n v="1"/>
    <n v="1"/>
    <n v="56.32"/>
    <d v="2015-07-20T19:28:59"/>
    <n v="20"/>
    <x v="3"/>
    <x v="12"/>
  </r>
  <r>
    <n v="22"/>
    <s v="Michigan"/>
    <s v="49201"/>
    <d v="2015-08-08T03:46:38"/>
    <d v="2015-08-07T23:46:41"/>
    <n v="1"/>
    <n v="2"/>
    <n v="2"/>
    <n v="3"/>
    <n v="1"/>
    <n v="5"/>
    <n v="44"/>
    <d v="2015-08-07T23:46:38"/>
    <n v="7"/>
    <x v="4"/>
    <x v="0"/>
  </r>
  <r>
    <n v="23"/>
    <s v="Indiana"/>
    <s v="46601"/>
    <d v="2015-07-06T10:05:55"/>
    <d v="2015-07-06T10:05:58"/>
    <n v="1"/>
    <n v="2"/>
    <n v="8"/>
    <n v="4"/>
    <n v="1"/>
    <n v="4"/>
    <n v="28.8"/>
    <d v="2015-07-06T10:05:55"/>
    <n v="6"/>
    <x v="3"/>
    <x v="13"/>
  </r>
  <r>
    <n v="24"/>
    <m/>
    <m/>
    <d v="2015-02-17T11:45:53"/>
    <d v="2015-02-21T20:00:13"/>
    <n v="2"/>
    <n v="2"/>
    <n v="14"/>
    <n v="6"/>
    <n v="1"/>
    <n v="4"/>
    <n v="27"/>
    <d v="2015-02-21T20:04:10"/>
    <n v="21"/>
    <x v="0"/>
    <x v="5"/>
  </r>
  <r>
    <n v="25"/>
    <s v="North Carolina"/>
    <s v="28759"/>
    <d v="2015-01-20T21:39:14"/>
    <d v="2015-01-20T21:39:22"/>
    <n v="1"/>
    <n v="2"/>
    <n v="6"/>
    <n v="2"/>
    <n v="1"/>
    <n v="2"/>
    <n v="14.4"/>
    <d v="2015-01-20T21:39:15"/>
    <n v="20"/>
    <x v="5"/>
    <x v="2"/>
  </r>
  <r>
    <n v="26"/>
    <s v="Massachusetts"/>
    <s v="02072"/>
    <d v="2015-03-11T22:30:27"/>
    <d v="2015-03-11T22:30:33"/>
    <n v="1"/>
    <n v="0"/>
    <n v="8"/>
    <n v="4"/>
    <n v="1"/>
    <n v="4"/>
    <n v="28.8"/>
    <d v="2015-03-11T22:30:28"/>
    <n v="11"/>
    <x v="6"/>
    <x v="1"/>
  </r>
  <r>
    <n v="27"/>
    <s v="Ohio"/>
    <s v="43402"/>
    <d v="2015-07-01T15:47:19"/>
    <d v="2015-07-13T16:51:51"/>
    <n v="19"/>
    <n v="10"/>
    <n v="13"/>
    <n v="14"/>
    <n v="1"/>
    <n v="5"/>
    <n v="36"/>
    <d v="2015-07-11T00:41:44"/>
    <n v="11"/>
    <x v="0"/>
    <x v="14"/>
  </r>
  <r>
    <n v="28"/>
    <s v="California"/>
    <s v="93901"/>
    <d v="2015-09-19T21:32:07"/>
    <d v="2015-09-19T21:32:12"/>
    <n v="1"/>
    <n v="4"/>
    <n v="2"/>
    <n v="3"/>
    <n v="1"/>
    <n v="1"/>
    <n v="8.8000000000000007"/>
    <d v="2015-09-19T21:32:07"/>
    <n v="19"/>
    <x v="0"/>
    <x v="2"/>
  </r>
  <r>
    <n v="29"/>
    <s v="Florida"/>
    <s v="33510"/>
    <d v="2015-05-23T13:45:30"/>
    <d v="2015-05-23T17:55:43"/>
    <n v="3"/>
    <n v="2"/>
    <n v="2"/>
    <n v="4"/>
    <n v="1"/>
    <n v="2"/>
    <n v="115.2"/>
    <d v="2015-05-23T09:47:36"/>
    <n v="23"/>
    <x v="0"/>
    <x v="15"/>
  </r>
  <r>
    <n v="30"/>
    <s v="Colorado"/>
    <s v="81007"/>
    <d v="2015-01-13T12:18:26"/>
    <d v="2015-03-08T16:53:14"/>
    <n v="2"/>
    <n v="0"/>
    <n v="17"/>
    <n v="8"/>
    <n v="2"/>
    <n v="13"/>
    <n v="27"/>
    <d v="2015-01-13T12:18:27"/>
    <n v="13"/>
    <x v="5"/>
    <x v="7"/>
  </r>
  <r>
    <n v="32"/>
    <s v="Florida"/>
    <s v="32832"/>
    <d v="2015-02-20T20:32:16"/>
    <d v="2015-02-20T20:32:21"/>
    <n v="1"/>
    <n v="0"/>
    <n v="4"/>
    <n v="1"/>
    <n v="1"/>
    <n v="2"/>
    <n v="36"/>
    <d v="2015-02-20T20:32:17"/>
    <n v="20"/>
    <x v="4"/>
    <x v="5"/>
  </r>
  <r>
    <n v="33"/>
    <s v="Washington"/>
    <s v="98324"/>
    <d v="2015-07-11T18:02:08"/>
    <d v="2015-07-11T18:02:12"/>
    <n v="1"/>
    <n v="8"/>
    <n v="8"/>
    <n v="2"/>
    <n v="1"/>
    <n v="4"/>
    <n v="28.8"/>
    <d v="2015-07-11T18:02:08"/>
    <n v="11"/>
    <x v="0"/>
    <x v="6"/>
  </r>
  <r>
    <n v="34"/>
    <s v="Massachusetts"/>
    <s v="01247"/>
    <d v="2015-04-05T07:05:58"/>
    <d v="2015-04-05T07:06:03"/>
    <n v="1"/>
    <n v="0"/>
    <n v="8"/>
    <n v="1"/>
    <n v="1"/>
    <n v="4"/>
    <n v="36"/>
    <d v="2015-04-05T07:05:59"/>
    <n v="5"/>
    <x v="2"/>
    <x v="16"/>
  </r>
  <r>
    <n v="35"/>
    <s v="Arkansas"/>
    <s v="72211"/>
    <d v="2015-02-09T19:49:40"/>
    <d v="2015-02-09T19:49:46"/>
    <n v="1"/>
    <n v="0"/>
    <n v="2"/>
    <n v="1"/>
    <n v="1"/>
    <n v="1"/>
    <n v="36"/>
    <d v="2015-02-09T19:49:42"/>
    <n v="9"/>
    <x v="3"/>
    <x v="12"/>
  </r>
  <r>
    <n v="36"/>
    <s v="Texas"/>
    <s v="78228"/>
    <d v="2015-06-22T16:46:47"/>
    <d v="2015-06-22T12:46:52"/>
    <n v="1"/>
    <n v="4"/>
    <n v="4"/>
    <n v="2"/>
    <n v="1"/>
    <n v="1"/>
    <n v="28.8"/>
    <d v="2015-06-22T12:46:49"/>
    <n v="22"/>
    <x v="3"/>
    <x v="7"/>
  </r>
  <r>
    <n v="37"/>
    <s v="Washington"/>
    <s v="98541"/>
    <d v="2015-01-19T13:03:58"/>
    <d v="2015-01-19T13:04:05"/>
    <n v="1"/>
    <n v="3"/>
    <n v="1"/>
    <n v="1"/>
    <n v="1"/>
    <n v="1"/>
    <n v="27"/>
    <d v="2015-01-19T13:11:50"/>
    <n v="19"/>
    <x v="3"/>
    <x v="17"/>
  </r>
  <r>
    <n v="38"/>
    <s v="New York"/>
    <s v="10038"/>
    <d v="2015-09-17T00:14:10"/>
    <d v="2015-09-16T20:14:15"/>
    <n v="1"/>
    <n v="2"/>
    <n v="2"/>
    <n v="2"/>
    <n v="1"/>
    <n v="2"/>
    <n v="20"/>
    <d v="2015-09-16T20:14:11"/>
    <n v="16"/>
    <x v="6"/>
    <x v="5"/>
  </r>
  <r>
    <n v="39"/>
    <s v="Florida"/>
    <s v="34450"/>
    <d v="2015-01-10T11:02:58"/>
    <d v="2015-01-10T11:03:03"/>
    <n v="1"/>
    <n v="0"/>
    <n v="4"/>
    <n v="3"/>
    <n v="1"/>
    <n v="2"/>
    <n v="9"/>
    <d v="2015-01-10T11:03:00"/>
    <n v="10"/>
    <x v="0"/>
    <x v="3"/>
  </r>
  <r>
    <n v="40"/>
    <s v="California"/>
    <s v="90025"/>
    <d v="2014-12-26T10:39:13"/>
    <d v="2015-01-03T12:49:34"/>
    <n v="2"/>
    <n v="1"/>
    <n v="3"/>
    <n v="2"/>
    <n v="1"/>
    <n v="3"/>
    <n v="27"/>
    <d v="2015-01-03T12:59:06"/>
    <n v="3"/>
    <x v="0"/>
    <x v="7"/>
  </r>
  <r>
    <n v="41"/>
    <m/>
    <m/>
    <d v="2015-08-13T18:47:13"/>
    <d v="2015-08-13T14:47:14"/>
    <n v="1"/>
    <n v="4"/>
    <n v="8"/>
    <n v="7"/>
    <n v="1"/>
    <n v="4"/>
    <n v="32.799999999999997"/>
    <d v="2015-08-13T14:49:06"/>
    <n v="13"/>
    <x v="1"/>
    <x v="9"/>
  </r>
  <r>
    <n v="42"/>
    <s v="Texas"/>
    <s v="75904"/>
    <d v="2015-03-10T13:47:35"/>
    <d v="2015-03-10T13:47:40"/>
    <n v="1"/>
    <n v="0"/>
    <n v="10"/>
    <n v="1"/>
    <n v="1"/>
    <n v="4"/>
    <n v="28.8"/>
    <d v="2015-03-10T13:47:36"/>
    <n v="10"/>
    <x v="5"/>
    <x v="17"/>
  </r>
  <r>
    <n v="43"/>
    <s v="Washington"/>
    <s v="98110"/>
    <d v="2015-05-22T14:06:37"/>
    <d v="2015-05-25T23:26:05"/>
    <n v="2"/>
    <n v="0"/>
    <n v="1"/>
    <n v="2"/>
    <n v="1"/>
    <n v="1"/>
    <n v="28.8"/>
    <d v="2015-05-22T10:10:11"/>
    <n v="22"/>
    <x v="4"/>
    <x v="13"/>
  </r>
  <r>
    <n v="44"/>
    <s v="New Jersey"/>
    <s v="07631"/>
    <d v="2015-01-24T09:18:17"/>
    <d v="2015-01-24T09:18:24"/>
    <n v="1"/>
    <n v="0"/>
    <n v="4"/>
    <n v="2"/>
    <n v="1"/>
    <n v="2"/>
    <n v="9"/>
    <d v="2015-01-24T09:18:20"/>
    <n v="24"/>
    <x v="0"/>
    <x v="15"/>
  </r>
  <r>
    <n v="45"/>
    <s v="New York"/>
    <s v="10024"/>
    <d v="2015-07-03T18:46:56"/>
    <d v="2015-07-11T14:47:05"/>
    <n v="3"/>
    <n v="9"/>
    <n v="24"/>
    <n v="9"/>
    <n v="1"/>
    <n v="6"/>
    <n v="48"/>
    <d v="2015-07-11T14:51:45"/>
    <n v="11"/>
    <x v="0"/>
    <x v="9"/>
  </r>
  <r>
    <n v="46"/>
    <s v="Illinois"/>
    <s v="60618"/>
    <d v="2015-07-06T20:06:27"/>
    <d v="2015-07-06T20:06:32"/>
    <n v="1"/>
    <n v="8"/>
    <n v="12"/>
    <n v="2"/>
    <n v="1"/>
    <n v="6"/>
    <n v="86.4"/>
    <d v="2015-07-06T20:06:27"/>
    <n v="6"/>
    <x v="3"/>
    <x v="5"/>
  </r>
  <r>
    <n v="47"/>
    <s v="California"/>
    <s v="95818"/>
    <d v="2015-01-22T18:41:51"/>
    <d v="2015-01-22T18:41:58"/>
    <n v="1"/>
    <n v="0"/>
    <n v="2"/>
    <n v="3"/>
    <n v="1"/>
    <n v="1"/>
    <n v="28.8"/>
    <d v="2015-01-22T18:41:53"/>
    <n v="22"/>
    <x v="1"/>
    <x v="6"/>
  </r>
  <r>
    <n v="48"/>
    <s v="Oklahoma"/>
    <s v="74137"/>
    <d v="2015-06-03T08:11:54"/>
    <d v="2015-06-03T08:11:58"/>
    <n v="1"/>
    <n v="0"/>
    <n v="4"/>
    <n v="3"/>
    <n v="1"/>
    <n v="4"/>
    <n v="36"/>
    <d v="2015-06-03T08:11:55"/>
    <n v="3"/>
    <x v="6"/>
    <x v="18"/>
  </r>
  <r>
    <n v="49"/>
    <s v="Massachusetts"/>
    <s v="01960"/>
    <d v="2015-07-12T14:09:05"/>
    <d v="2015-07-12T14:09:09"/>
    <n v="1"/>
    <n v="4"/>
    <n v="6"/>
    <n v="4"/>
    <n v="1"/>
    <n v="2"/>
    <n v="36"/>
    <d v="2015-07-12T14:09:05"/>
    <n v="12"/>
    <x v="2"/>
    <x v="9"/>
  </r>
  <r>
    <n v="50"/>
    <s v="North Carolina"/>
    <s v="28582"/>
    <d v="2015-07-03T07:31:47"/>
    <d v="2015-07-03T03:31:51"/>
    <n v="1"/>
    <n v="2"/>
    <n v="4"/>
    <n v="2"/>
    <n v="1"/>
    <n v="2"/>
    <n v="18"/>
    <d v="2015-07-03T03:31:47"/>
    <n v="3"/>
    <x v="4"/>
    <x v="19"/>
  </r>
  <r>
    <n v="51"/>
    <s v="California"/>
    <s v="92067"/>
    <d v="2015-04-04T16:11:26"/>
    <d v="2015-04-04T16:11:29"/>
    <n v="1"/>
    <n v="0"/>
    <n v="6"/>
    <n v="4"/>
    <n v="1"/>
    <n v="1"/>
    <n v="28.8"/>
    <d v="2015-04-04T16:16:39"/>
    <n v="4"/>
    <x v="0"/>
    <x v="4"/>
  </r>
  <r>
    <n v="52"/>
    <s v="Illinois"/>
    <s v="60025"/>
    <d v="2015-03-20T12:39:05"/>
    <d v="2015-03-20T12:39:10"/>
    <n v="1"/>
    <n v="0"/>
    <n v="10"/>
    <n v="1"/>
    <n v="1"/>
    <n v="1"/>
    <n v="57.6"/>
    <d v="2015-03-20T12:39:06"/>
    <n v="20"/>
    <x v="4"/>
    <x v="7"/>
  </r>
  <r>
    <n v="53"/>
    <m/>
    <m/>
    <d v="2015-02-18T01:48:07"/>
    <d v="2015-02-18T01:48:10"/>
    <n v="1"/>
    <n v="2"/>
    <n v="2"/>
    <n v="4"/>
    <n v="1"/>
    <n v="1"/>
    <n v="28.8"/>
    <d v="2015-02-18T01:52:02"/>
    <n v="18"/>
    <x v="6"/>
    <x v="20"/>
  </r>
  <r>
    <n v="54"/>
    <m/>
    <m/>
    <d v="2015-05-23T01:16:39"/>
    <d v="2015-05-22T21:16:42"/>
    <n v="1"/>
    <n v="6"/>
    <n v="16"/>
    <n v="4"/>
    <n v="1"/>
    <n v="4"/>
    <n v="28.8"/>
    <d v="2015-05-22T21:18:50"/>
    <n v="22"/>
    <x v="4"/>
    <x v="2"/>
  </r>
  <r>
    <n v="55"/>
    <m/>
    <m/>
    <d v="2015-03-04T03:53:54"/>
    <d v="2015-03-04T03:53:56"/>
    <n v="1"/>
    <n v="10"/>
    <n v="12"/>
    <n v="4"/>
    <n v="1"/>
    <n v="1"/>
    <n v="57.6"/>
    <d v="2015-03-04T03:56:26"/>
    <n v="4"/>
    <x v="6"/>
    <x v="19"/>
  </r>
  <r>
    <n v="56"/>
    <s v="Indiana"/>
    <s v="46250"/>
    <d v="2015-07-20T20:24:23"/>
    <d v="2015-07-21T10:39:08"/>
    <n v="5"/>
    <n v="6"/>
    <n v="8"/>
    <n v="5"/>
    <n v="1"/>
    <n v="4"/>
    <n v="35.200000000000003"/>
    <d v="2015-07-21T11:51:14"/>
    <n v="21"/>
    <x v="5"/>
    <x v="3"/>
  </r>
  <r>
    <n v="57"/>
    <s v="Virginia"/>
    <s v="22205"/>
    <d v="2015-02-23T22:03:19"/>
    <d v="2015-02-24T00:27:04"/>
    <n v="3"/>
    <n v="0"/>
    <n v="4"/>
    <n v="1"/>
    <n v="1"/>
    <n v="2"/>
    <n v="9"/>
    <d v="2015-02-23T22:03:20"/>
    <n v="23"/>
    <x v="3"/>
    <x v="1"/>
  </r>
  <r>
    <n v="58"/>
    <s v="District of Columbia"/>
    <s v="20009"/>
    <d v="2015-01-17T00:22:29"/>
    <d v="2015-01-17T20:10:08"/>
    <n v="2"/>
    <n v="2"/>
    <n v="9"/>
    <n v="5"/>
    <n v="2"/>
    <n v="5"/>
    <n v="18"/>
    <d v="2015-01-17T00:22:32"/>
    <n v="17"/>
    <x v="0"/>
    <x v="14"/>
  </r>
  <r>
    <n v="59"/>
    <s v="Washington"/>
    <s v="98146"/>
    <d v="2015-06-14T23:58:02"/>
    <d v="2015-06-14T23:58:06"/>
    <n v="1"/>
    <n v="6"/>
    <n v="6"/>
    <n v="3"/>
    <n v="1"/>
    <n v="1"/>
    <n v="27"/>
    <d v="2015-06-14T23:58:03"/>
    <n v="14"/>
    <x v="2"/>
    <x v="0"/>
  </r>
  <r>
    <n v="60"/>
    <s v="New Jersey"/>
    <s v="08108"/>
    <d v="2015-06-03T08:55:10"/>
    <d v="2015-06-03T08:55:14"/>
    <n v="1"/>
    <n v="4"/>
    <n v="10"/>
    <n v="2"/>
    <n v="1"/>
    <n v="5"/>
    <n v="36"/>
    <d v="2015-06-03T08:55:11"/>
    <n v="3"/>
    <x v="6"/>
    <x v="18"/>
  </r>
  <r>
    <n v="61"/>
    <s v="Maryland"/>
    <s v="21122"/>
    <d v="2014-12-21T23:36:40"/>
    <d v="2015-01-15T22:32:28"/>
    <n v="3"/>
    <n v="1"/>
    <n v="1"/>
    <n v="2"/>
    <n v="1"/>
    <n v="1"/>
    <n v="72"/>
    <d v="2015-01-15T22:43:21"/>
    <n v="15"/>
    <x v="1"/>
    <x v="1"/>
  </r>
  <r>
    <n v="62"/>
    <s v="Michigan"/>
    <s v="48092"/>
    <d v="2015-05-29T08:59:13"/>
    <d v="2015-05-29T08:59:17"/>
    <n v="1"/>
    <n v="0"/>
    <n v="4"/>
    <n v="2"/>
    <n v="1"/>
    <n v="2"/>
    <n v="36"/>
    <d v="2015-05-29T08:59:14"/>
    <n v="29"/>
    <x v="4"/>
    <x v="18"/>
  </r>
  <r>
    <n v="63"/>
    <m/>
    <m/>
    <d v="2015-09-18T03:01:51"/>
    <d v="2015-09-20T00:25:06"/>
    <n v="2"/>
    <n v="6"/>
    <n v="8"/>
    <n v="12"/>
    <n v="1"/>
    <n v="2"/>
    <n v="17.600000000000001"/>
    <d v="2015-09-20T01:01:56"/>
    <n v="20"/>
    <x v="2"/>
    <x v="20"/>
  </r>
  <r>
    <n v="64"/>
    <s v="New Jersey"/>
    <s v="07960"/>
    <d v="2015-02-26T16:58:33"/>
    <d v="2015-02-26T16:58:37"/>
    <n v="1"/>
    <n v="0"/>
    <n v="4"/>
    <n v="1"/>
    <n v="1"/>
    <n v="1"/>
    <n v="27"/>
    <d v="2015-02-26T16:58:34"/>
    <n v="26"/>
    <x v="1"/>
    <x v="4"/>
  </r>
  <r>
    <n v="65"/>
    <s v="New York"/>
    <s v="11217"/>
    <d v="2015-07-16T18:05:27"/>
    <d v="2015-07-16T14:05:33"/>
    <n v="1"/>
    <n v="10"/>
    <n v="6"/>
    <n v="2"/>
    <n v="1"/>
    <n v="2"/>
    <n v="51.8"/>
    <d v="2015-07-16T14:05:28"/>
    <n v="16"/>
    <x v="1"/>
    <x v="9"/>
  </r>
  <r>
    <n v="66"/>
    <s v="Maryland"/>
    <s v="21286"/>
    <d v="2015-05-27T11:42:24"/>
    <d v="2015-05-27T11:42:28"/>
    <n v="1"/>
    <n v="2"/>
    <n v="4"/>
    <n v="2"/>
    <n v="1"/>
    <n v="2"/>
    <n v="18"/>
    <d v="2015-05-27T11:42:25"/>
    <n v="27"/>
    <x v="6"/>
    <x v="3"/>
  </r>
  <r>
    <n v="67"/>
    <s v="California"/>
    <s v="95949"/>
    <d v="2015-03-22T17:16:32"/>
    <d v="2015-03-22T17:16:37"/>
    <n v="1"/>
    <n v="2"/>
    <n v="2"/>
    <n v="1"/>
    <n v="1"/>
    <n v="1"/>
    <n v="28.8"/>
    <d v="2015-03-22T17:16:33"/>
    <n v="22"/>
    <x v="2"/>
    <x v="8"/>
  </r>
  <r>
    <n v="68"/>
    <s v="Massachusetts"/>
    <s v="01843"/>
    <d v="2015-01-28T21:09:55"/>
    <d v="2015-02-05T10:12:40"/>
    <n v="3"/>
    <n v="2"/>
    <n v="5"/>
    <n v="4"/>
    <n v="1"/>
    <n v="1"/>
    <n v="28.8"/>
    <d v="2015-01-28T21:09:56"/>
    <n v="28"/>
    <x v="6"/>
    <x v="2"/>
  </r>
  <r>
    <n v="69"/>
    <s v="Georgia"/>
    <s v="30308"/>
    <d v="2015-06-08T13:58:33"/>
    <d v="2015-06-08T13:58:38"/>
    <n v="1"/>
    <n v="2"/>
    <n v="8"/>
    <n v="4"/>
    <n v="1"/>
    <n v="6"/>
    <n v="86.4"/>
    <d v="2015-06-08T13:58:36"/>
    <n v="8"/>
    <x v="3"/>
    <x v="17"/>
  </r>
  <r>
    <n v="70"/>
    <m/>
    <m/>
    <d v="2015-01-25T19:00:57"/>
    <d v="2015-02-05T13:34:48"/>
    <n v="20"/>
    <n v="0"/>
    <n v="6"/>
    <n v="5"/>
    <n v="1"/>
    <n v="5"/>
    <n v="36"/>
    <d v="2015-01-25T19:01:00"/>
    <n v="25"/>
    <x v="2"/>
    <x v="12"/>
  </r>
  <r>
    <n v="71"/>
    <s v="New York"/>
    <s v="10022"/>
    <d v="2015-06-30T15:18:01"/>
    <d v="2015-06-30T15:18:05"/>
    <n v="1"/>
    <n v="0"/>
    <n v="2"/>
    <n v="2"/>
    <n v="1"/>
    <n v="1"/>
    <n v="28.8"/>
    <d v="2015-06-30T15:18:02"/>
    <n v="30"/>
    <x v="5"/>
    <x v="10"/>
  </r>
  <r>
    <n v="72"/>
    <s v="New York"/>
    <s v="10028"/>
    <d v="2015-03-07T11:26:42"/>
    <d v="2015-03-07T11:26:50"/>
    <n v="1"/>
    <n v="2"/>
    <n v="8"/>
    <n v="1"/>
    <n v="1"/>
    <n v="4"/>
    <n v="45.6"/>
    <d v="2015-03-07T11:26:43"/>
    <n v="7"/>
    <x v="0"/>
    <x v="3"/>
  </r>
  <r>
    <n v="73"/>
    <m/>
    <m/>
    <d v="2015-02-19T16:27:59"/>
    <d v="2015-02-19T22:59:48"/>
    <n v="3"/>
    <n v="1"/>
    <n v="8"/>
    <n v="3"/>
    <n v="1"/>
    <n v="4"/>
    <n v="28.8"/>
    <d v="2015-02-19T16:32:27"/>
    <n v="19"/>
    <x v="1"/>
    <x v="4"/>
  </r>
  <r>
    <n v="74"/>
    <s v="California"/>
    <s v="94596"/>
    <d v="2015-01-22T19:11:13"/>
    <d v="2015-01-22T19:11:17"/>
    <n v="1"/>
    <n v="2"/>
    <n v="6"/>
    <n v="3"/>
    <n v="1"/>
    <n v="5"/>
    <n v="36"/>
    <d v="2015-01-22T19:11:14"/>
    <n v="22"/>
    <x v="1"/>
    <x v="12"/>
  </r>
  <r>
    <n v="76"/>
    <s v="Florida"/>
    <s v="33066"/>
    <d v="2015-03-12T10:30:16"/>
    <d v="2015-03-12T10:30:22"/>
    <n v="1"/>
    <n v="2"/>
    <n v="12"/>
    <n v="1"/>
    <n v="1"/>
    <n v="4"/>
    <n v="28.8"/>
    <d v="2015-03-12T10:30:18"/>
    <n v="12"/>
    <x v="1"/>
    <x v="13"/>
  </r>
  <r>
    <n v="77"/>
    <s v="California"/>
    <s v="95747"/>
    <d v="2015-06-06T19:40:36"/>
    <d v="2015-06-06T15:40:41"/>
    <n v="1"/>
    <n v="5"/>
    <n v="11"/>
    <n v="3"/>
    <n v="2"/>
    <n v="8"/>
    <n v="36"/>
    <d v="2015-06-06T15:40:38"/>
    <n v="6"/>
    <x v="0"/>
    <x v="10"/>
  </r>
  <r>
    <n v="78"/>
    <s v="Virginia"/>
    <s v="23455"/>
    <d v="2015-04-08T09:18:02"/>
    <d v="2015-04-08T09:18:06"/>
    <n v="1"/>
    <n v="0"/>
    <n v="8"/>
    <n v="3"/>
    <n v="1"/>
    <n v="3"/>
    <n v="27"/>
    <d v="2015-04-08T09:20:36"/>
    <n v="8"/>
    <x v="6"/>
    <x v="15"/>
  </r>
  <r>
    <n v="79"/>
    <s v="Ohio"/>
    <s v="44333"/>
    <d v="2015-03-10T16:55:59"/>
    <d v="2015-03-10T16:56:46"/>
    <n v="1"/>
    <n v="0"/>
    <n v="2"/>
    <n v="1"/>
    <n v="1"/>
    <n v="1"/>
    <n v="30"/>
    <d v="2015-03-10T16:56:43"/>
    <n v="10"/>
    <x v="5"/>
    <x v="4"/>
  </r>
  <r>
    <n v="80"/>
    <m/>
    <m/>
    <d v="2015-07-09T18:52:36"/>
    <d v="2015-07-09T14:52:38"/>
    <n v="1"/>
    <n v="6"/>
    <n v="4"/>
    <n v="5"/>
    <n v="1"/>
    <n v="1"/>
    <n v="36"/>
    <d v="2015-07-09T14:59:12"/>
    <n v="9"/>
    <x v="1"/>
    <x v="9"/>
  </r>
  <r>
    <n v="82"/>
    <s v="North Carolina"/>
    <s v="27526"/>
    <d v="2015-06-12T17:38:12"/>
    <d v="2015-06-12T13:38:17"/>
    <n v="1"/>
    <n v="2"/>
    <n v="8"/>
    <n v="2"/>
    <n v="1"/>
    <n v="4"/>
    <n v="28.8"/>
    <d v="2015-06-12T13:38:13"/>
    <n v="12"/>
    <x v="4"/>
    <x v="17"/>
  </r>
  <r>
    <n v="83"/>
    <s v="Massachusetts"/>
    <s v="02038"/>
    <d v="2015-06-10T16:06:30"/>
    <d v="2015-06-10T12:06:35"/>
    <n v="1"/>
    <n v="2"/>
    <n v="4"/>
    <n v="2"/>
    <n v="1"/>
    <n v="4"/>
    <n v="38.4"/>
    <d v="2015-06-10T12:06:31"/>
    <n v="10"/>
    <x v="6"/>
    <x v="7"/>
  </r>
  <r>
    <n v="84"/>
    <s v="New Jersey"/>
    <s v="08807"/>
    <d v="2015-08-29T13:34:41"/>
    <d v="2015-08-30T13:12:11"/>
    <n v="4"/>
    <n v="6"/>
    <n v="11"/>
    <n v="10"/>
    <n v="2"/>
    <n v="8"/>
    <n v="35.200000000000003"/>
    <d v="2015-08-29T13:47:49"/>
    <n v="29"/>
    <x v="0"/>
    <x v="17"/>
  </r>
  <r>
    <n v="85"/>
    <s v="Massachusetts"/>
    <s v="01824"/>
    <d v="2015-05-22T21:25:23"/>
    <d v="2015-05-22T21:25:26"/>
    <n v="1"/>
    <n v="0"/>
    <n v="2"/>
    <n v="2"/>
    <n v="1"/>
    <n v="1"/>
    <n v="28.8"/>
    <d v="2015-05-22T21:25:24"/>
    <n v="22"/>
    <x v="4"/>
    <x v="2"/>
  </r>
  <r>
    <n v="86"/>
    <s v="Illinois"/>
    <s v="60559"/>
    <d v="2015-03-12T09:20:01"/>
    <d v="2015-03-12T09:20:10"/>
    <n v="1"/>
    <n v="4"/>
    <n v="2"/>
    <n v="1"/>
    <n v="1"/>
    <n v="1"/>
    <n v="28.8"/>
    <d v="2015-03-12T09:20:02"/>
    <n v="12"/>
    <x v="1"/>
    <x v="15"/>
  </r>
  <r>
    <n v="87"/>
    <s v="District of Columbia"/>
    <s v="20016"/>
    <d v="2015-08-26T13:49:13"/>
    <d v="2015-08-26T22:23:41"/>
    <n v="2"/>
    <n v="6"/>
    <n v="6"/>
    <n v="4"/>
    <n v="1"/>
    <n v="4"/>
    <n v="30.4"/>
    <d v="2015-08-26T13:49:13"/>
    <n v="26"/>
    <x v="6"/>
    <x v="17"/>
  </r>
  <r>
    <n v="88"/>
    <m/>
    <m/>
    <d v="2015-02-06T12:07:09"/>
    <d v="2015-02-06T12:07:15"/>
    <n v="1"/>
    <n v="6"/>
    <n v="6"/>
    <n v="2"/>
    <n v="1"/>
    <n v="2"/>
    <n v="127"/>
    <d v="2015-02-06T12:07:10"/>
    <n v="6"/>
    <x v="4"/>
    <x v="7"/>
  </r>
  <r>
    <n v="89"/>
    <s v="Pennsylvania"/>
    <s v="17545"/>
    <d v="2015-06-29T21:06:14"/>
    <d v="2015-06-30T16:26:02"/>
    <n v="3"/>
    <n v="4"/>
    <n v="6"/>
    <n v="5"/>
    <n v="1"/>
    <n v="2"/>
    <n v="15"/>
    <d v="2015-06-29T21:06:14"/>
    <n v="29"/>
    <x v="3"/>
    <x v="2"/>
  </r>
  <r>
    <n v="90"/>
    <s v="Texas"/>
    <s v="78739"/>
    <d v="2015-03-18T12:27:52"/>
    <d v="2015-03-18T12:28:02"/>
    <n v="1"/>
    <n v="0"/>
    <n v="4"/>
    <n v="1"/>
    <n v="1"/>
    <n v="6"/>
    <n v="86.4"/>
    <d v="2015-03-18T12:27:53"/>
    <n v="18"/>
    <x v="6"/>
    <x v="7"/>
  </r>
  <r>
    <n v="91"/>
    <s v="North Carolina"/>
    <s v="27104"/>
    <d v="2015-03-24T19:58:36"/>
    <d v="2015-03-24T19:58:42"/>
    <n v="1"/>
    <n v="2"/>
    <n v="3"/>
    <n v="3"/>
    <n v="2"/>
    <n v="2"/>
    <n v="57.6"/>
    <d v="2015-03-24T19:58:37"/>
    <n v="24"/>
    <x v="5"/>
    <x v="12"/>
  </r>
  <r>
    <n v="92"/>
    <s v="New York"/>
    <s v="14150"/>
    <d v="2015-02-10T20:10:44"/>
    <d v="2015-02-10T20:10:51"/>
    <n v="1"/>
    <n v="2"/>
    <n v="6"/>
    <n v="1"/>
    <n v="1"/>
    <n v="4"/>
    <n v="28.8"/>
    <d v="2015-02-10T20:10:46"/>
    <n v="10"/>
    <x v="5"/>
    <x v="5"/>
  </r>
  <r>
    <n v="93"/>
    <s v="Pennsylvania"/>
    <s v="17313"/>
    <d v="2015-03-03T15:15:27"/>
    <d v="2015-03-03T15:15:33"/>
    <n v="1"/>
    <n v="2"/>
    <n v="4"/>
    <n v="1"/>
    <n v="1"/>
    <n v="2"/>
    <n v="9"/>
    <d v="2015-03-03T15:15:28"/>
    <n v="3"/>
    <x v="5"/>
    <x v="10"/>
  </r>
  <r>
    <n v="96"/>
    <s v="New York"/>
    <s v="14580"/>
    <d v="2015-05-20T14:34:36"/>
    <d v="2015-05-20T14:34:44"/>
    <n v="1"/>
    <n v="2"/>
    <n v="2"/>
    <n v="2"/>
    <n v="1"/>
    <n v="1"/>
    <n v="36"/>
    <d v="2015-05-20T14:34:41"/>
    <n v="20"/>
    <x v="6"/>
    <x v="9"/>
  </r>
  <r>
    <n v="97"/>
    <m/>
    <m/>
    <d v="2015-02-11T18:27:37"/>
    <d v="2015-02-11T18:27:48"/>
    <n v="1"/>
    <n v="1"/>
    <n v="2"/>
    <n v="4"/>
    <n v="1"/>
    <n v="2"/>
    <n v="9"/>
    <d v="2015-02-11T18:33:06"/>
    <n v="11"/>
    <x v="6"/>
    <x v="6"/>
  </r>
  <r>
    <n v="98"/>
    <s v="California"/>
    <s v="90403"/>
    <d v="2015-01-26T09:28:06"/>
    <d v="2015-02-01T23:05:39"/>
    <n v="6"/>
    <n v="3"/>
    <n v="4"/>
    <n v="10"/>
    <n v="1"/>
    <n v="5"/>
    <n v="45"/>
    <d v="2015-01-26T09:28:07"/>
    <n v="26"/>
    <x v="3"/>
    <x v="15"/>
  </r>
  <r>
    <n v="99"/>
    <m/>
    <m/>
    <d v="2015-03-17T00:49:52"/>
    <d v="2015-03-17T00:49:57"/>
    <n v="1"/>
    <n v="0"/>
    <n v="8"/>
    <n v="4"/>
    <n v="1"/>
    <n v="4"/>
    <n v="28.8"/>
    <d v="2015-03-17T00:55:52"/>
    <n v="17"/>
    <x v="5"/>
    <x v="14"/>
  </r>
  <r>
    <n v="100"/>
    <s v="Maryland"/>
    <s v="21001"/>
    <d v="2015-04-03T20:52:08"/>
    <d v="2015-04-03T20:52:15"/>
    <n v="1"/>
    <n v="2"/>
    <n v="10"/>
    <n v="2"/>
    <n v="1"/>
    <n v="4"/>
    <n v="28.8"/>
    <d v="2015-04-03T20:52:09"/>
    <n v="3"/>
    <x v="4"/>
    <x v="5"/>
  </r>
  <r>
    <n v="101"/>
    <s v="Illinois"/>
    <s v="60654"/>
    <d v="2015-04-15T21:58:01"/>
    <d v="2015-04-16T06:16:45"/>
    <n v="3"/>
    <n v="0"/>
    <n v="6"/>
    <n v="2"/>
    <n v="1"/>
    <n v="4"/>
    <n v="28.8"/>
    <d v="2015-04-15T21:58:01"/>
    <n v="15"/>
    <x v="6"/>
    <x v="2"/>
  </r>
  <r>
    <n v="102"/>
    <m/>
    <m/>
    <d v="2015-09-04T10:37:22"/>
    <d v="2015-09-04T10:37:24"/>
    <n v="1"/>
    <n v="10"/>
    <n v="4"/>
    <n v="4"/>
    <n v="1"/>
    <n v="1"/>
    <n v="29.92"/>
    <d v="2015-09-04T10:40:08"/>
    <n v="4"/>
    <x v="4"/>
    <x v="13"/>
  </r>
  <r>
    <n v="103"/>
    <s v="Florida"/>
    <s v="33139"/>
    <d v="2015-07-01T15:46:10"/>
    <d v="2015-07-01T11:46:11"/>
    <n v="1"/>
    <n v="2"/>
    <n v="5"/>
    <n v="5"/>
    <n v="1"/>
    <n v="1"/>
    <n v="38.4"/>
    <d v="2015-07-01T11:57:50"/>
    <n v="1"/>
    <x v="6"/>
    <x v="3"/>
  </r>
  <r>
    <n v="104"/>
    <s v="California"/>
    <s v="94109"/>
    <d v="2015-05-12T15:53:57"/>
    <d v="2015-05-12T15:54:01"/>
    <n v="1"/>
    <n v="4"/>
    <n v="10"/>
    <n v="2"/>
    <n v="1"/>
    <n v="4"/>
    <n v="28.8"/>
    <d v="2015-05-12T15:53:58"/>
    <n v="12"/>
    <x v="5"/>
    <x v="10"/>
  </r>
  <r>
    <n v="105"/>
    <s v="California"/>
    <s v="94089"/>
    <d v="2015-05-23T12:31:17"/>
    <d v="2015-05-23T12:31:21"/>
    <n v="1"/>
    <n v="6"/>
    <n v="8"/>
    <n v="4"/>
    <n v="1"/>
    <n v="4"/>
    <n v="28.8"/>
    <d v="2015-05-23T12:31:19"/>
    <n v="23"/>
    <x v="0"/>
    <x v="7"/>
  </r>
  <r>
    <n v="106"/>
    <s v="Florida"/>
    <s v="32210"/>
    <d v="2015-04-06T15:12:34"/>
    <d v="2015-04-06T15:12:37"/>
    <n v="1"/>
    <n v="4"/>
    <n v="4"/>
    <n v="1"/>
    <n v="1"/>
    <n v="4"/>
    <n v="28.8"/>
    <d v="2015-04-06T15:15:45"/>
    <n v="6"/>
    <x v="3"/>
    <x v="10"/>
  </r>
  <r>
    <n v="107"/>
    <m/>
    <m/>
    <d v="2015-02-14T06:26:41"/>
    <d v="2015-02-14T06:26:45"/>
    <n v="1"/>
    <n v="0"/>
    <n v="6"/>
    <n v="6"/>
    <n v="1"/>
    <n v="5"/>
    <n v="36"/>
    <d v="2015-02-14T06:30:03"/>
    <n v="14"/>
    <x v="0"/>
    <x v="11"/>
  </r>
  <r>
    <n v="108"/>
    <s v="Utah"/>
    <s v="84108"/>
    <d v="2015-01-22T18:49:02"/>
    <d v="2015-01-22T18:49:08"/>
    <n v="1"/>
    <n v="2"/>
    <n v="8"/>
    <n v="2"/>
    <n v="1"/>
    <n v="4"/>
    <n v="28.8"/>
    <d v="2015-01-22T18:49:05"/>
    <n v="22"/>
    <x v="1"/>
    <x v="6"/>
  </r>
  <r>
    <n v="109"/>
    <s v="Nebraska"/>
    <s v="68333"/>
    <d v="2015-05-20T13:49:15"/>
    <d v="2015-05-20T13:49:20"/>
    <n v="1"/>
    <n v="0"/>
    <n v="2"/>
    <n v="3"/>
    <n v="1"/>
    <n v="2"/>
    <n v="14.4"/>
    <d v="2015-05-20T13:49:17"/>
    <n v="20"/>
    <x v="6"/>
    <x v="17"/>
  </r>
  <r>
    <n v="110"/>
    <s v="Texas"/>
    <s v="77385"/>
    <d v="2015-06-24T16:10:03"/>
    <d v="2015-06-24T16:10:08"/>
    <n v="1"/>
    <n v="8"/>
    <n v="10"/>
    <n v="3"/>
    <n v="1"/>
    <n v="4"/>
    <n v="72"/>
    <d v="2015-06-24T16:10:04"/>
    <n v="24"/>
    <x v="6"/>
    <x v="4"/>
  </r>
  <r>
    <n v="111"/>
    <s v="Ohio"/>
    <s v="43035"/>
    <d v="2015-08-11T19:02:37"/>
    <d v="2015-08-11T15:02:41"/>
    <n v="1"/>
    <n v="2"/>
    <n v="2"/>
    <n v="2"/>
    <n v="1"/>
    <n v="1"/>
    <n v="29.92"/>
    <d v="2015-08-11T15:02:38"/>
    <n v="11"/>
    <x v="5"/>
    <x v="10"/>
  </r>
  <r>
    <n v="112"/>
    <s v="New York"/>
    <s v="10704"/>
    <d v="2015-02-07T09:46:18"/>
    <d v="2015-02-07T09:46:23"/>
    <n v="1"/>
    <n v="0"/>
    <n v="6"/>
    <n v="1"/>
    <n v="1"/>
    <n v="4"/>
    <n v="28.8"/>
    <d v="2015-02-07T09:46:19"/>
    <n v="7"/>
    <x v="0"/>
    <x v="15"/>
  </r>
  <r>
    <n v="113"/>
    <s v="Texas"/>
    <s v="77845"/>
    <d v="2015-01-04T19:04:10"/>
    <d v="2015-01-04T19:04:15"/>
    <n v="1"/>
    <n v="0"/>
    <n v="8"/>
    <n v="2"/>
    <n v="1"/>
    <n v="4"/>
    <n v="28.8"/>
    <d v="2015-01-04T19:04:11"/>
    <n v="4"/>
    <x v="2"/>
    <x v="12"/>
  </r>
  <r>
    <n v="114"/>
    <s v="Minnesota"/>
    <s v="55125"/>
    <d v="2015-04-15T17:29:43"/>
    <d v="2015-04-15T17:29:56"/>
    <n v="1"/>
    <n v="2"/>
    <n v="12"/>
    <n v="2"/>
    <n v="1"/>
    <n v="6"/>
    <n v="42.4"/>
    <d v="2015-04-15T17:29:44"/>
    <n v="15"/>
    <x v="6"/>
    <x v="8"/>
  </r>
  <r>
    <n v="115"/>
    <s v="Massachusetts"/>
    <s v="02641"/>
    <d v="2015-02-08T08:30:24"/>
    <d v="2015-03-08T20:04:39"/>
    <n v="2"/>
    <n v="2"/>
    <n v="17"/>
    <n v="4"/>
    <n v="2"/>
    <n v="14"/>
    <n v="36"/>
    <d v="2015-02-08T08:30:25"/>
    <n v="8"/>
    <x v="2"/>
    <x v="18"/>
  </r>
  <r>
    <n v="118"/>
    <s v="New York"/>
    <s v="10463"/>
    <d v="2015-06-15T15:39:42"/>
    <d v="2015-06-17T12:38:58"/>
    <n v="3"/>
    <n v="0"/>
    <n v="2"/>
    <n v="3"/>
    <n v="1"/>
    <n v="1"/>
    <n v="38.4"/>
    <d v="2015-06-15T15:39:43"/>
    <n v="15"/>
    <x v="3"/>
    <x v="10"/>
  </r>
  <r>
    <n v="119"/>
    <s v="Pennsylvania"/>
    <s v="15120"/>
    <d v="2015-02-07T22:55:06"/>
    <d v="2015-02-07T22:55:11"/>
    <n v="1"/>
    <n v="0"/>
    <n v="4"/>
    <n v="1"/>
    <n v="1"/>
    <n v="2"/>
    <n v="81"/>
    <d v="2015-02-07T23:04:44"/>
    <n v="7"/>
    <x v="0"/>
    <x v="0"/>
  </r>
  <r>
    <n v="120"/>
    <s v="New York"/>
    <s v="14011"/>
    <d v="2015-05-25T09:37:28"/>
    <d v="2015-05-25T09:37:32"/>
    <n v="1"/>
    <n v="4"/>
    <n v="2"/>
    <n v="2"/>
    <n v="1"/>
    <n v="1"/>
    <n v="28.8"/>
    <d v="2015-05-25T09:37:29"/>
    <n v="25"/>
    <x v="3"/>
    <x v="15"/>
  </r>
  <r>
    <n v="121"/>
    <s v="Oklahoma"/>
    <s v="74129"/>
    <d v="2015-06-08T14:19:34"/>
    <d v="2015-06-08T10:19:41"/>
    <n v="1"/>
    <n v="2"/>
    <n v="8"/>
    <n v="2"/>
    <n v="1"/>
    <n v="4"/>
    <n v="28.8"/>
    <d v="2015-06-08T10:19:36"/>
    <n v="8"/>
    <x v="3"/>
    <x v="13"/>
  </r>
  <r>
    <n v="122"/>
    <s v="Kentucky"/>
    <s v="42420"/>
    <d v="2015-05-12T14:52:07"/>
    <d v="2015-05-12T14:52:11"/>
    <n v="1"/>
    <n v="2"/>
    <n v="2"/>
    <n v="2"/>
    <n v="1"/>
    <n v="1"/>
    <n v="28.8"/>
    <d v="2015-05-12T14:52:08"/>
    <n v="12"/>
    <x v="5"/>
    <x v="9"/>
  </r>
  <r>
    <n v="123"/>
    <s v="Georgia"/>
    <s v="31411"/>
    <d v="2015-07-13T17:29:09"/>
    <d v="2015-07-13T17:29:12"/>
    <n v="1"/>
    <n v="8"/>
    <n v="4"/>
    <n v="5"/>
    <n v="1"/>
    <n v="2"/>
    <n v="14.4"/>
    <d v="2015-07-13T17:29:10"/>
    <n v="13"/>
    <x v="3"/>
    <x v="8"/>
  </r>
  <r>
    <n v="124"/>
    <s v="Louisiana"/>
    <s v="70433"/>
    <d v="2015-05-28T16:37:43"/>
    <d v="2015-05-28T12:37:45"/>
    <n v="1"/>
    <n v="0"/>
    <n v="2"/>
    <n v="2"/>
    <n v="1"/>
    <n v="1"/>
    <n v="28.8"/>
    <d v="2015-05-28T12:41:10"/>
    <n v="28"/>
    <x v="1"/>
    <x v="7"/>
  </r>
  <r>
    <n v="125"/>
    <s v="Texas"/>
    <s v="75067"/>
    <d v="2015-09-13T16:00:00"/>
    <d v="2015-09-13T12:00:05"/>
    <n v="1"/>
    <n v="2"/>
    <n v="2"/>
    <n v="2"/>
    <n v="1"/>
    <n v="4"/>
    <n v="35.200000000000003"/>
    <d v="2015-09-13T12:00:01"/>
    <n v="13"/>
    <x v="2"/>
    <x v="7"/>
  </r>
  <r>
    <n v="127"/>
    <s v="Pennsylvania"/>
    <s v="19422"/>
    <d v="2015-05-12T01:55:58"/>
    <d v="2015-05-11T21:56:00"/>
    <n v="1"/>
    <n v="14"/>
    <n v="14"/>
    <n v="5"/>
    <n v="1"/>
    <n v="4"/>
    <n v="28.8"/>
    <d v="2015-05-11T21:58:27"/>
    <n v="11"/>
    <x v="3"/>
    <x v="2"/>
  </r>
  <r>
    <n v="128"/>
    <s v="Kentucky"/>
    <s v="40324"/>
    <d v="2015-05-20T16:57:40"/>
    <d v="2015-05-20T16:57:46"/>
    <n v="1"/>
    <n v="2"/>
    <n v="6"/>
    <n v="6"/>
    <n v="1"/>
    <n v="4"/>
    <n v="28.8"/>
    <d v="2015-05-20T16:57:41"/>
    <n v="20"/>
    <x v="6"/>
    <x v="4"/>
  </r>
  <r>
    <n v="129"/>
    <s v="Washington"/>
    <s v="98239"/>
    <d v="2015-03-15T16:35:29"/>
    <d v="2015-03-15T16:35:34"/>
    <n v="1"/>
    <n v="0"/>
    <n v="4"/>
    <n v="1"/>
    <n v="1"/>
    <n v="2"/>
    <n v="9"/>
    <d v="2015-03-15T16:35:30"/>
    <n v="15"/>
    <x v="2"/>
    <x v="4"/>
  </r>
  <r>
    <n v="130"/>
    <s v="Illinois"/>
    <s v="60178"/>
    <d v="2015-02-10T21:28:36"/>
    <d v="2015-02-10T21:28:44"/>
    <n v="1"/>
    <n v="6"/>
    <n v="4"/>
    <n v="2"/>
    <n v="1"/>
    <n v="2"/>
    <n v="18"/>
    <d v="2015-02-10T21:28:37"/>
    <n v="10"/>
    <x v="5"/>
    <x v="2"/>
  </r>
  <r>
    <n v="131"/>
    <s v="North Carolina"/>
    <s v="28277"/>
    <d v="2015-03-16T09:48:31"/>
    <d v="2015-03-16T09:48:34"/>
    <n v="1"/>
    <n v="0"/>
    <n v="4"/>
    <n v="7"/>
    <n v="1"/>
    <n v="4"/>
    <n v="28.8"/>
    <d v="2015-03-16T10:09:56"/>
    <n v="16"/>
    <x v="3"/>
    <x v="13"/>
  </r>
  <r>
    <n v="132"/>
    <s v="New York"/>
    <s v="14127"/>
    <d v="2015-07-09T11:32:43"/>
    <d v="2015-07-09T11:32:47"/>
    <n v="1"/>
    <n v="2"/>
    <n v="6"/>
    <n v="2"/>
    <n v="1"/>
    <n v="4"/>
    <n v="28.8"/>
    <d v="2015-07-09T11:32:44"/>
    <n v="9"/>
    <x v="1"/>
    <x v="3"/>
  </r>
  <r>
    <n v="133"/>
    <s v="Nebraska"/>
    <s v="68818"/>
    <d v="2015-05-28T11:12:52"/>
    <d v="2015-05-28T11:12:56"/>
    <n v="1"/>
    <n v="4"/>
    <n v="2"/>
    <n v="2"/>
    <n v="1"/>
    <n v="1"/>
    <n v="36"/>
    <d v="2015-05-28T11:12:52"/>
    <n v="28"/>
    <x v="1"/>
    <x v="3"/>
  </r>
  <r>
    <n v="134"/>
    <s v="New Hampshire"/>
    <s v="03874"/>
    <d v="2015-09-17T12:28:15"/>
    <d v="2015-09-17T12:28:23"/>
    <n v="1"/>
    <n v="2"/>
    <n v="2"/>
    <n v="2"/>
    <n v="1"/>
    <n v="1"/>
    <n v="70.400000000000006"/>
    <d v="2015-09-17T12:28:15"/>
    <n v="17"/>
    <x v="1"/>
    <x v="7"/>
  </r>
  <r>
    <n v="135"/>
    <s v="Arizona"/>
    <s v="85367"/>
    <d v="2015-01-17T09:58:41"/>
    <d v="2015-01-17T09:58:44"/>
    <n v="1"/>
    <n v="0"/>
    <n v="4"/>
    <n v="4"/>
    <n v="1"/>
    <n v="2"/>
    <n v="18"/>
    <d v="2015-01-17T10:00:31"/>
    <n v="17"/>
    <x v="0"/>
    <x v="13"/>
  </r>
  <r>
    <n v="136"/>
    <s v="Alabama"/>
    <s v="36093"/>
    <d v="2015-09-08T12:52:25"/>
    <d v="2015-09-08T12:52:35"/>
    <n v="1"/>
    <n v="2"/>
    <n v="4"/>
    <n v="2"/>
    <n v="1"/>
    <n v="1"/>
    <n v="11"/>
    <d v="2015-09-08T12:52:25"/>
    <n v="8"/>
    <x v="5"/>
    <x v="7"/>
  </r>
  <r>
    <n v="137"/>
    <s v="Florida"/>
    <s v="33437"/>
    <d v="2015-06-24T15:05:26"/>
    <d v="2015-06-24T15:05:29"/>
    <n v="1"/>
    <n v="2"/>
    <n v="10"/>
    <n v="2"/>
    <n v="1"/>
    <n v="2"/>
    <n v="13.5"/>
    <d v="2015-06-24T15:05:26"/>
    <n v="24"/>
    <x v="6"/>
    <x v="10"/>
  </r>
  <r>
    <n v="138"/>
    <s v="Rhode Island"/>
    <s v="02888"/>
    <d v="2015-08-19T20:10:08"/>
    <d v="2015-08-19T20:10:11"/>
    <n v="1"/>
    <n v="0"/>
    <n v="2"/>
    <n v="2"/>
    <n v="1"/>
    <n v="1"/>
    <n v="29.92"/>
    <d v="2015-08-19T20:10:09"/>
    <n v="19"/>
    <x v="6"/>
    <x v="5"/>
  </r>
  <r>
    <n v="139"/>
    <s v="Illinois"/>
    <s v="61520"/>
    <d v="2015-08-16T04:45:16"/>
    <d v="2015-08-16T00:45:22"/>
    <n v="1"/>
    <n v="2"/>
    <n v="8"/>
    <n v="3"/>
    <n v="1"/>
    <n v="4"/>
    <n v="36.799999999999997"/>
    <d v="2015-08-16T00:45:17"/>
    <n v="16"/>
    <x v="2"/>
    <x v="14"/>
  </r>
  <r>
    <n v="140"/>
    <s v="Pennsylvania"/>
    <s v="16803"/>
    <d v="2015-07-01T19:48:00"/>
    <d v="2015-07-01T15:48:02"/>
    <n v="1"/>
    <n v="4"/>
    <n v="4"/>
    <n v="1"/>
    <n v="1"/>
    <n v="3"/>
    <n v="52.8"/>
    <d v="2015-07-01T15:52:08"/>
    <n v="1"/>
    <x v="6"/>
    <x v="10"/>
  </r>
  <r>
    <n v="141"/>
    <s v="Texas"/>
    <s v="77079"/>
    <d v="2015-05-15T13:19:27"/>
    <d v="2015-05-15T13:19:33"/>
    <n v="1"/>
    <n v="9"/>
    <n v="8"/>
    <n v="2"/>
    <n v="1"/>
    <n v="4"/>
    <n v="28.8"/>
    <d v="2015-05-15T13:19:31"/>
    <n v="15"/>
    <x v="4"/>
    <x v="17"/>
  </r>
  <r>
    <n v="142"/>
    <s v="Kentucky"/>
    <s v="40509"/>
    <d v="2015-06-19T16:13:06"/>
    <d v="2015-06-19T16:13:10"/>
    <n v="1"/>
    <n v="0"/>
    <n v="2"/>
    <n v="2"/>
    <n v="1"/>
    <n v="4"/>
    <n v="28.8"/>
    <d v="2015-06-19T16:13:07"/>
    <n v="19"/>
    <x v="4"/>
    <x v="4"/>
  </r>
  <r>
    <n v="143"/>
    <m/>
    <m/>
    <d v="2015-01-27T09:36:21"/>
    <d v="2015-01-27T09:36:29"/>
    <n v="1"/>
    <n v="0"/>
    <n v="2"/>
    <n v="3"/>
    <n v="1"/>
    <n v="1"/>
    <n v="115.2"/>
    <d v="2015-01-27T09:36:26"/>
    <n v="27"/>
    <x v="5"/>
    <x v="15"/>
  </r>
  <r>
    <n v="144"/>
    <m/>
    <m/>
    <d v="2015-04-27T15:46:00"/>
    <d v="2015-04-27T15:46:03"/>
    <n v="1"/>
    <n v="2"/>
    <n v="1"/>
    <n v="1"/>
    <n v="1"/>
    <n v="3"/>
    <n v="27"/>
    <d v="2015-04-27T16:39:43"/>
    <n v="27"/>
    <x v="3"/>
    <x v="4"/>
  </r>
  <r>
    <n v="145"/>
    <s v="New York"/>
    <s v="14450"/>
    <d v="2015-05-18T15:24:49"/>
    <d v="2015-08-08T01:32:33"/>
    <n v="10"/>
    <n v="1"/>
    <n v="6"/>
    <n v="6"/>
    <n v="1"/>
    <n v="4"/>
    <n v="35.200000000000003"/>
    <d v="2015-08-05T09:13:07"/>
    <n v="5"/>
    <x v="6"/>
    <x v="15"/>
  </r>
  <r>
    <n v="146"/>
    <s v="California"/>
    <s v="93401"/>
    <d v="2015-01-18T03:52:55"/>
    <d v="2015-01-25T15:04:34"/>
    <n v="3"/>
    <n v="2"/>
    <n v="8"/>
    <n v="5"/>
    <n v="1"/>
    <n v="4"/>
    <n v="28.8"/>
    <d v="2015-01-18T03:53:13"/>
    <n v="18"/>
    <x v="2"/>
    <x v="19"/>
  </r>
  <r>
    <n v="147"/>
    <m/>
    <m/>
    <d v="2015-04-11T13:12:25"/>
    <d v="2015-04-11T13:12:31"/>
    <n v="1"/>
    <n v="2"/>
    <n v="8"/>
    <n v="3"/>
    <n v="1"/>
    <n v="8"/>
    <n v="57.6"/>
    <d v="2015-04-11T13:12:26"/>
    <n v="11"/>
    <x v="0"/>
    <x v="17"/>
  </r>
  <r>
    <n v="148"/>
    <s v="Texas"/>
    <s v="79382"/>
    <d v="2015-01-19T16:21:12"/>
    <d v="2015-01-19T16:21:15"/>
    <n v="1"/>
    <n v="0"/>
    <n v="2"/>
    <n v="3"/>
    <n v="1"/>
    <n v="1"/>
    <n v="36"/>
    <d v="2015-01-19T16:21:13"/>
    <n v="19"/>
    <x v="3"/>
    <x v="4"/>
  </r>
  <r>
    <n v="149"/>
    <s v="New Hampshire"/>
    <s v="03598"/>
    <d v="2015-06-19T17:32:43"/>
    <d v="2015-06-19T13:32:48"/>
    <n v="1"/>
    <n v="2"/>
    <n v="4"/>
    <n v="2"/>
    <n v="1"/>
    <n v="2"/>
    <n v="21"/>
    <d v="2015-06-19T13:32:44"/>
    <n v="19"/>
    <x v="4"/>
    <x v="17"/>
  </r>
  <r>
    <n v="150"/>
    <s v="Arkansas"/>
    <s v="72015"/>
    <d v="2015-07-12T14:33:44"/>
    <d v="2015-07-12T10:33:45"/>
    <n v="1"/>
    <n v="4"/>
    <n v="10"/>
    <n v="2"/>
    <n v="1"/>
    <n v="5"/>
    <n v="36"/>
    <d v="2015-07-12T10:37:29"/>
    <n v="12"/>
    <x v="2"/>
    <x v="13"/>
  </r>
  <r>
    <n v="151"/>
    <s v="Illinois"/>
    <s v="60487"/>
    <d v="2015-02-24T01:24:37"/>
    <d v="2015-02-24T01:29:38"/>
    <n v="3"/>
    <n v="2"/>
    <n v="10"/>
    <n v="1"/>
    <n v="1"/>
    <n v="4"/>
    <n v="28.8"/>
    <d v="2015-02-24T01:24:38"/>
    <n v="24"/>
    <x v="5"/>
    <x v="20"/>
  </r>
  <r>
    <n v="152"/>
    <s v="Texas"/>
    <s v="77316"/>
    <d v="2015-08-18T19:24:40"/>
    <d v="2015-08-18T19:24:43"/>
    <n v="1"/>
    <n v="4"/>
    <n v="8"/>
    <n v="4"/>
    <n v="1"/>
    <n v="2"/>
    <n v="17.600000000000001"/>
    <d v="2015-08-18T19:24:41"/>
    <n v="18"/>
    <x v="5"/>
    <x v="12"/>
  </r>
  <r>
    <n v="153"/>
    <s v="Mississippi"/>
    <s v="39701"/>
    <d v="2015-01-23T11:44:11"/>
    <d v="2015-01-23T11:44:15"/>
    <n v="1"/>
    <n v="0"/>
    <n v="4"/>
    <n v="2"/>
    <n v="1"/>
    <n v="1"/>
    <n v="28.8"/>
    <d v="2015-01-23T11:44:13"/>
    <n v="23"/>
    <x v="4"/>
    <x v="3"/>
  </r>
  <r>
    <n v="154"/>
    <s v="California"/>
    <s v="92126"/>
    <d v="2015-05-31T15:31:38"/>
    <d v="2015-05-31T15:31:41"/>
    <n v="1"/>
    <n v="2"/>
    <n v="2"/>
    <n v="2"/>
    <n v="1"/>
    <n v="4"/>
    <n v="28.8"/>
    <d v="2015-05-31T15:31:38"/>
    <n v="31"/>
    <x v="2"/>
    <x v="10"/>
  </r>
  <r>
    <n v="155"/>
    <s v="Florida"/>
    <s v="32320"/>
    <d v="2015-07-05T13:33:18"/>
    <d v="2015-07-05T09:33:24"/>
    <n v="1"/>
    <n v="11"/>
    <n v="8"/>
    <n v="4"/>
    <n v="1"/>
    <n v="4"/>
    <n v="33.6"/>
    <d v="2015-07-05T09:33:19"/>
    <n v="5"/>
    <x v="2"/>
    <x v="15"/>
  </r>
  <r>
    <n v="156"/>
    <s v="Minnesota"/>
    <s v="56252"/>
    <d v="2015-07-13T07:37:35"/>
    <d v="2015-07-13T07:37:40"/>
    <n v="1"/>
    <n v="4"/>
    <n v="2"/>
    <n v="4"/>
    <n v="1"/>
    <n v="1"/>
    <n v="57.6"/>
    <d v="2015-07-13T07:37:36"/>
    <n v="13"/>
    <x v="3"/>
    <x v="16"/>
  </r>
  <r>
    <n v="157"/>
    <s v="California"/>
    <s v="94538"/>
    <d v="2015-06-06T21:01:40"/>
    <d v="2015-06-06T17:01:46"/>
    <n v="1"/>
    <n v="2"/>
    <n v="2"/>
    <n v="2"/>
    <n v="1"/>
    <n v="1"/>
    <n v="28.8"/>
    <d v="2015-06-06T17:01:42"/>
    <n v="6"/>
    <x v="0"/>
    <x v="8"/>
  </r>
  <r>
    <n v="158"/>
    <m/>
    <m/>
    <d v="2015-08-17T00:06:41"/>
    <d v="2015-08-16T20:06:43"/>
    <n v="1"/>
    <n v="0"/>
    <n v="2"/>
    <n v="4"/>
    <n v="1"/>
    <n v="2"/>
    <n v="59.84"/>
    <d v="2015-08-16T20:17:23"/>
    <n v="16"/>
    <x v="2"/>
    <x v="5"/>
  </r>
  <r>
    <n v="159"/>
    <s v="Oregon"/>
    <s v="97224"/>
    <d v="2015-01-04T19:36:13"/>
    <d v="2015-01-04T19:36:18"/>
    <n v="1"/>
    <n v="1"/>
    <n v="4"/>
    <n v="2"/>
    <n v="1"/>
    <n v="2"/>
    <n v="9"/>
    <d v="2015-01-04T19:36:14"/>
    <n v="4"/>
    <x v="2"/>
    <x v="12"/>
  </r>
  <r>
    <n v="162"/>
    <s v="Minnesota"/>
    <s v="55125"/>
    <d v="2015-04-19T00:07:58"/>
    <d v="2015-04-19T00:08:05"/>
    <n v="1"/>
    <n v="4"/>
    <n v="2"/>
    <n v="1"/>
    <n v="1"/>
    <n v="1"/>
    <n v="9"/>
    <d v="2015-04-19T00:07:58"/>
    <n v="19"/>
    <x v="2"/>
    <x v="14"/>
  </r>
  <r>
    <n v="163"/>
    <s v="Ohio"/>
    <s v="44212"/>
    <d v="2015-01-30T09:03:00"/>
    <d v="2015-01-30T09:03:03"/>
    <n v="1"/>
    <n v="6"/>
    <n v="4"/>
    <n v="1"/>
    <n v="1"/>
    <n v="4"/>
    <n v="28.8"/>
    <d v="2015-01-30T09:15:37"/>
    <n v="30"/>
    <x v="4"/>
    <x v="15"/>
  </r>
  <r>
    <n v="164"/>
    <s v="Oklahoma"/>
    <s v="74136"/>
    <d v="2015-05-01T13:48:54"/>
    <d v="2015-05-01T13:48:59"/>
    <n v="1"/>
    <n v="2"/>
    <n v="2"/>
    <n v="1"/>
    <n v="1"/>
    <n v="4"/>
    <n v="23.04"/>
    <d v="2015-05-01T13:48:55"/>
    <n v="1"/>
    <x v="4"/>
    <x v="17"/>
  </r>
  <r>
    <n v="165"/>
    <s v="Florida"/>
    <s v="33823"/>
    <d v="2015-05-18T23:15:22"/>
    <d v="2015-05-18T23:15:25"/>
    <n v="1"/>
    <n v="4"/>
    <n v="4"/>
    <n v="2"/>
    <n v="1"/>
    <n v="2"/>
    <n v="18"/>
    <d v="2015-05-18T23:15:23"/>
    <n v="18"/>
    <x v="3"/>
    <x v="0"/>
  </r>
  <r>
    <n v="166"/>
    <m/>
    <m/>
    <d v="2015-03-23T19:00:25"/>
    <d v="2015-03-23T19:00:30"/>
    <n v="1"/>
    <n v="0"/>
    <n v="20"/>
    <n v="2"/>
    <n v="1"/>
    <n v="8"/>
    <n v="57.6"/>
    <d v="2015-03-23T19:00:26"/>
    <n v="23"/>
    <x v="3"/>
    <x v="12"/>
  </r>
  <r>
    <n v="167"/>
    <s v="Missouri"/>
    <s v="63368"/>
    <d v="2015-02-19T10:19:23"/>
    <d v="2015-03-01T11:58:55"/>
    <n v="8"/>
    <n v="0"/>
    <n v="9"/>
    <n v="16"/>
    <n v="1"/>
    <n v="2"/>
    <n v="9"/>
    <d v="2015-02-19T13:53:12"/>
    <n v="19"/>
    <x v="1"/>
    <x v="17"/>
  </r>
  <r>
    <n v="168"/>
    <s v="Colorado"/>
    <s v="80128"/>
    <d v="2015-07-01T19:19:29"/>
    <d v="2015-07-01T15:19:31"/>
    <n v="1"/>
    <n v="2"/>
    <n v="12"/>
    <n v="5"/>
    <n v="1"/>
    <n v="3"/>
    <n v="18"/>
    <d v="2015-07-01T15:26:23"/>
    <n v="1"/>
    <x v="6"/>
    <x v="10"/>
  </r>
  <r>
    <n v="169"/>
    <s v="New York"/>
    <s v="13140"/>
    <d v="2015-06-19T15:38:14"/>
    <d v="2015-06-19T11:38:19"/>
    <n v="1"/>
    <n v="2"/>
    <n v="4"/>
    <n v="2"/>
    <n v="1"/>
    <n v="4"/>
    <n v="28.8"/>
    <d v="2015-06-19T11:38:16"/>
    <n v="19"/>
    <x v="4"/>
    <x v="3"/>
  </r>
  <r>
    <n v="170"/>
    <s v="Texas"/>
    <s v="76262"/>
    <d v="2015-08-31T14:48:00"/>
    <d v="2015-08-31T10:48:04"/>
    <n v="1"/>
    <n v="12"/>
    <n v="8"/>
    <n v="3"/>
    <n v="1"/>
    <n v="3"/>
    <n v="27"/>
    <d v="2015-08-31T10:48:01"/>
    <n v="31"/>
    <x v="3"/>
    <x v="13"/>
  </r>
  <r>
    <n v="171"/>
    <s v="Virginia"/>
    <s v="20171"/>
    <d v="2015-02-15T08:36:24"/>
    <d v="2015-02-15T08:36:29"/>
    <n v="1"/>
    <n v="2"/>
    <n v="6"/>
    <n v="1"/>
    <n v="1"/>
    <n v="3"/>
    <n v="18"/>
    <d v="2015-02-15T08:36:26"/>
    <n v="15"/>
    <x v="2"/>
    <x v="18"/>
  </r>
  <r>
    <n v="172"/>
    <s v="South Carolina"/>
    <s v="29708"/>
    <d v="2015-01-22T16:02:24"/>
    <d v="2015-01-22T16:02:28"/>
    <n v="1"/>
    <n v="0"/>
    <n v="2"/>
    <n v="2"/>
    <n v="1"/>
    <n v="1"/>
    <n v="28.8"/>
    <d v="2015-01-22T16:02:26"/>
    <n v="22"/>
    <x v="1"/>
    <x v="4"/>
  </r>
  <r>
    <n v="173"/>
    <s v="Georgia"/>
    <s v="30307"/>
    <d v="2015-05-28T09:03:57"/>
    <d v="2015-05-28T09:04:00"/>
    <n v="1"/>
    <n v="0"/>
    <n v="2"/>
    <n v="2"/>
    <n v="1"/>
    <n v="1"/>
    <n v="36"/>
    <d v="2015-05-28T09:03:57"/>
    <n v="28"/>
    <x v="1"/>
    <x v="15"/>
  </r>
  <r>
    <n v="174"/>
    <s v="New York"/>
    <s v="12534"/>
    <d v="2015-06-02T08:43:29"/>
    <d v="2015-06-02T08:43:34"/>
    <n v="1"/>
    <n v="14"/>
    <n v="18"/>
    <n v="5"/>
    <n v="1"/>
    <n v="4"/>
    <n v="28.8"/>
    <d v="2015-06-02T08:43:31"/>
    <n v="2"/>
    <x v="5"/>
    <x v="18"/>
  </r>
  <r>
    <n v="175"/>
    <s v="Kentucky"/>
    <s v="40165"/>
    <d v="2015-06-25T23:54:08"/>
    <d v="2015-06-25T23:54:12"/>
    <n v="1"/>
    <n v="6"/>
    <n v="8"/>
    <n v="4"/>
    <n v="1"/>
    <n v="5"/>
    <n v="54"/>
    <d v="2015-06-25T23:54:08"/>
    <n v="25"/>
    <x v="1"/>
    <x v="0"/>
  </r>
  <r>
    <n v="176"/>
    <s v="Massachusetts"/>
    <s v="02035"/>
    <d v="2015-06-23T18:25:05"/>
    <d v="2015-06-23T14:25:11"/>
    <n v="1"/>
    <n v="6"/>
    <n v="4"/>
    <n v="2"/>
    <n v="1"/>
    <n v="2"/>
    <n v="78"/>
    <d v="2015-06-23T14:25:07"/>
    <n v="23"/>
    <x v="5"/>
    <x v="9"/>
  </r>
  <r>
    <n v="177"/>
    <s v="Ohio"/>
    <s v="43830"/>
    <d v="2015-09-05T08:05:08"/>
    <d v="2015-09-05T08:05:14"/>
    <n v="1"/>
    <n v="4"/>
    <n v="4"/>
    <n v="2"/>
    <n v="1"/>
    <n v="2"/>
    <n v="49.76"/>
    <d v="2015-09-05T08:05:08"/>
    <n v="5"/>
    <x v="0"/>
    <x v="18"/>
  </r>
  <r>
    <n v="178"/>
    <m/>
    <m/>
    <d v="2015-03-04T09:26:57"/>
    <d v="2015-03-04T09:27:06"/>
    <n v="1"/>
    <n v="4"/>
    <n v="8"/>
    <n v="10"/>
    <n v="1"/>
    <n v="4"/>
    <n v="28.8"/>
    <d v="2015-03-04T09:27:03"/>
    <n v="4"/>
    <x v="6"/>
    <x v="15"/>
  </r>
  <r>
    <n v="179"/>
    <s v="Ohio"/>
    <s v="44319"/>
    <d v="2015-04-09T18:44:28"/>
    <d v="2015-04-09T18:44:34"/>
    <n v="1"/>
    <n v="0"/>
    <n v="6"/>
    <n v="1"/>
    <n v="1"/>
    <n v="3"/>
    <n v="27"/>
    <d v="2015-04-09T18:44:29"/>
    <n v="9"/>
    <x v="1"/>
    <x v="6"/>
  </r>
  <r>
    <n v="180"/>
    <s v="Idaho"/>
    <s v="83642"/>
    <d v="2015-08-12T14:29:48"/>
    <d v="2015-08-12T14:29:51"/>
    <n v="1"/>
    <n v="2"/>
    <n v="2"/>
    <n v="3"/>
    <n v="1"/>
    <n v="1"/>
    <n v="70.400000000000006"/>
    <d v="2015-08-12T14:29:49"/>
    <n v="12"/>
    <x v="6"/>
    <x v="9"/>
  </r>
  <r>
    <n v="181"/>
    <s v="Kentucky"/>
    <s v="41101"/>
    <d v="2015-03-18T08:48:38"/>
    <d v="2015-03-18T08:48:43"/>
    <n v="1"/>
    <n v="8"/>
    <n v="12"/>
    <n v="1"/>
    <n v="1"/>
    <n v="5"/>
    <n v="52.8"/>
    <d v="2015-03-18T08:48:39"/>
    <n v="18"/>
    <x v="6"/>
    <x v="18"/>
  </r>
  <r>
    <n v="182"/>
    <s v="Maryland"/>
    <s v="20851"/>
    <d v="2015-02-06T01:36:44"/>
    <d v="2015-02-06T01:36:52"/>
    <n v="1"/>
    <n v="2"/>
    <n v="4"/>
    <n v="1"/>
    <n v="1"/>
    <n v="2"/>
    <n v="9"/>
    <d v="2015-02-06T01:36:49"/>
    <n v="6"/>
    <x v="4"/>
    <x v="20"/>
  </r>
  <r>
    <n v="183"/>
    <s v="New Jersey"/>
    <s v="07932"/>
    <d v="2015-02-02T15:13:21"/>
    <d v="2015-02-02T15:13:28"/>
    <n v="1"/>
    <n v="4"/>
    <n v="10"/>
    <n v="1"/>
    <n v="1"/>
    <n v="6"/>
    <n v="43.2"/>
    <d v="2015-02-02T15:13:25"/>
    <n v="2"/>
    <x v="3"/>
    <x v="10"/>
  </r>
  <r>
    <n v="184"/>
    <s v="California"/>
    <s v="94061"/>
    <d v="2015-08-14T04:39:38"/>
    <d v="2015-08-14T00:39:43"/>
    <n v="1"/>
    <n v="6"/>
    <n v="6"/>
    <n v="2"/>
    <n v="1"/>
    <n v="6"/>
    <n v="48"/>
    <d v="2015-08-14T00:39:38"/>
    <n v="14"/>
    <x v="4"/>
    <x v="14"/>
  </r>
  <r>
    <n v="185"/>
    <s v="Pennsylvania"/>
    <s v="19057"/>
    <d v="2015-02-18T15:51:46"/>
    <d v="2015-02-19T19:48:25"/>
    <n v="5"/>
    <n v="0"/>
    <n v="8"/>
    <n v="2"/>
    <n v="1"/>
    <n v="4"/>
    <n v="36"/>
    <d v="2015-02-18T15:51:47"/>
    <n v="18"/>
    <x v="6"/>
    <x v="10"/>
  </r>
  <r>
    <n v="186"/>
    <s v="Washington"/>
    <s v="98501"/>
    <d v="2015-01-27T17:06:56"/>
    <d v="2015-02-19T13:03:39"/>
    <n v="2"/>
    <n v="10"/>
    <n v="34"/>
    <n v="7"/>
    <n v="2"/>
    <n v="32"/>
    <n v="63.2"/>
    <d v="2015-01-27T17:06:57"/>
    <n v="27"/>
    <x v="5"/>
    <x v="8"/>
  </r>
  <r>
    <n v="187"/>
    <s v="North Carolina"/>
    <s v="27302"/>
    <d v="2015-03-18T07:48:14"/>
    <d v="2015-03-18T07:48:20"/>
    <n v="1"/>
    <n v="2"/>
    <n v="8"/>
    <n v="1"/>
    <n v="1"/>
    <n v="4"/>
    <n v="28.8"/>
    <d v="2015-03-18T07:48:15"/>
    <n v="18"/>
    <x v="6"/>
    <x v="16"/>
  </r>
  <r>
    <n v="188"/>
    <s v="Oklahoma"/>
    <s v="73034"/>
    <d v="2015-08-22T10:37:57"/>
    <d v="2015-08-22T22:58:17"/>
    <n v="2"/>
    <n v="13"/>
    <n v="10"/>
    <n v="2"/>
    <n v="1"/>
    <n v="5"/>
    <n v="65.92"/>
    <d v="2015-08-22T10:37:57"/>
    <n v="22"/>
    <x v="0"/>
    <x v="13"/>
  </r>
  <r>
    <n v="189"/>
    <s v="New Jersey"/>
    <s v="07458"/>
    <d v="2014-12-03T12:35:07"/>
    <d v="2015-05-26T22:29:40"/>
    <n v="2"/>
    <n v="4"/>
    <n v="2"/>
    <n v="3"/>
    <n v="1"/>
    <n v="4"/>
    <n v="36"/>
    <d v="2015-05-26T22:33:40"/>
    <n v="26"/>
    <x v="5"/>
    <x v="1"/>
  </r>
  <r>
    <n v="190"/>
    <s v="Ohio"/>
    <s v="44262"/>
    <d v="2015-07-29T01:52:50"/>
    <d v="2015-07-28T21:52:55"/>
    <n v="1"/>
    <n v="2"/>
    <n v="4"/>
    <n v="4"/>
    <n v="1"/>
    <n v="6"/>
    <n v="52.8"/>
    <d v="2015-07-28T21:52:51"/>
    <n v="28"/>
    <x v="5"/>
    <x v="2"/>
  </r>
  <r>
    <n v="191"/>
    <s v="New Hampshire"/>
    <s v="03103"/>
    <d v="2015-06-29T16:48:12"/>
    <d v="2015-06-29T12:48:17"/>
    <n v="1"/>
    <n v="2"/>
    <n v="2"/>
    <n v="2"/>
    <n v="1"/>
    <n v="1"/>
    <n v="28.8"/>
    <d v="2015-06-29T12:48:13"/>
    <n v="29"/>
    <x v="3"/>
    <x v="7"/>
  </r>
  <r>
    <n v="192"/>
    <s v="Rhode Island"/>
    <s v="02881"/>
    <d v="2015-01-31T09:12:54"/>
    <d v="2015-01-31T09:12:58"/>
    <n v="1"/>
    <n v="0"/>
    <n v="4"/>
    <n v="1"/>
    <n v="1"/>
    <n v="2"/>
    <n v="9"/>
    <d v="2015-01-31T09:12:55"/>
    <n v="31"/>
    <x v="0"/>
    <x v="15"/>
  </r>
  <r>
    <n v="193"/>
    <s v="Texas"/>
    <s v="78749"/>
    <d v="2015-03-19T20:07:17"/>
    <d v="2015-03-19T20:07:21"/>
    <n v="1"/>
    <n v="0"/>
    <n v="8"/>
    <n v="5"/>
    <n v="2"/>
    <n v="8"/>
    <n v="28.8"/>
    <d v="2015-03-19T20:12:26"/>
    <n v="19"/>
    <x v="1"/>
    <x v="5"/>
  </r>
  <r>
    <n v="194"/>
    <s v="New York"/>
    <s v="10021"/>
    <d v="2015-05-15T19:44:07"/>
    <d v="2015-05-15T15:44:09"/>
    <n v="1"/>
    <n v="4"/>
    <n v="10"/>
    <n v="5"/>
    <n v="1"/>
    <n v="5"/>
    <n v="36"/>
    <d v="2015-05-15T15:45:48"/>
    <n v="15"/>
    <x v="4"/>
    <x v="10"/>
  </r>
  <r>
    <n v="195"/>
    <s v="Arizona"/>
    <s v="85298"/>
    <d v="2015-03-22T15:27:56"/>
    <d v="2015-03-22T15:27:59"/>
    <n v="1"/>
    <n v="2"/>
    <n v="6"/>
    <n v="3"/>
    <n v="1"/>
    <n v="1"/>
    <n v="28.8"/>
    <d v="2015-03-22T15:29:30"/>
    <n v="22"/>
    <x v="2"/>
    <x v="10"/>
  </r>
  <r>
    <n v="196"/>
    <s v="New Hampshire"/>
    <s v="03303"/>
    <d v="2015-01-16T21:21:37"/>
    <d v="2015-03-17T09:16:18"/>
    <n v="4"/>
    <n v="1"/>
    <n v="19"/>
    <n v="4"/>
    <n v="2"/>
    <n v="12"/>
    <n v="54"/>
    <d v="2015-01-16T21:21:39"/>
    <n v="16"/>
    <x v="4"/>
    <x v="2"/>
  </r>
  <r>
    <n v="197"/>
    <s v="Minnesota"/>
    <s v="55357"/>
    <d v="2015-03-23T11:52:13"/>
    <d v="2015-03-23T11:52:21"/>
    <n v="1"/>
    <n v="2"/>
    <n v="8"/>
    <n v="1"/>
    <n v="1"/>
    <n v="4"/>
    <n v="27"/>
    <d v="2015-03-23T11:52:14"/>
    <n v="23"/>
    <x v="3"/>
    <x v="3"/>
  </r>
  <r>
    <n v="198"/>
    <s v="Arizona"/>
    <s v="85268"/>
    <d v="2015-05-25T11:54:37"/>
    <d v="2015-05-25T11:54:40"/>
    <n v="1"/>
    <n v="2"/>
    <n v="2"/>
    <n v="2"/>
    <n v="1"/>
    <n v="1"/>
    <n v="28.8"/>
    <d v="2015-05-25T11:54:38"/>
    <n v="25"/>
    <x v="3"/>
    <x v="3"/>
  </r>
  <r>
    <n v="200"/>
    <s v="California"/>
    <s v="91602"/>
    <d v="2015-05-22T11:41:12"/>
    <d v="2015-05-22T11:41:15"/>
    <n v="1"/>
    <n v="6"/>
    <n v="4"/>
    <n v="2"/>
    <n v="1"/>
    <n v="2"/>
    <n v="18"/>
    <d v="2015-05-22T11:41:12"/>
    <n v="22"/>
    <x v="4"/>
    <x v="3"/>
  </r>
  <r>
    <n v="201"/>
    <s v="Massachusetts"/>
    <s v="01020"/>
    <d v="2015-08-30T12:21:59"/>
    <d v="2015-08-30T12:22:02"/>
    <n v="1"/>
    <n v="2"/>
    <n v="2"/>
    <n v="3"/>
    <n v="1"/>
    <n v="1"/>
    <n v="56.32"/>
    <d v="2015-08-30T12:21:59"/>
    <n v="30"/>
    <x v="2"/>
    <x v="7"/>
  </r>
  <r>
    <n v="202"/>
    <s v="Connecticut"/>
    <s v="06082"/>
    <d v="2015-02-28T17:31:38"/>
    <d v="2015-02-28T20:19:21"/>
    <n v="2"/>
    <n v="4"/>
    <n v="14"/>
    <n v="4"/>
    <n v="1"/>
    <n v="3"/>
    <n v="61.6"/>
    <d v="2015-02-28T17:31:39"/>
    <n v="28"/>
    <x v="0"/>
    <x v="8"/>
  </r>
  <r>
    <n v="203"/>
    <s v="Texas"/>
    <s v="77379"/>
    <d v="2015-01-11T19:49:28"/>
    <d v="2015-01-11T19:49:36"/>
    <n v="1"/>
    <n v="4"/>
    <n v="2"/>
    <n v="3"/>
    <n v="1"/>
    <n v="4"/>
    <n v="28.8"/>
    <d v="2015-01-11T19:49:30"/>
    <n v="11"/>
    <x v="2"/>
    <x v="12"/>
  </r>
  <r>
    <n v="205"/>
    <s v="New Jersey"/>
    <s v="07446"/>
    <d v="2015-03-15T20:01:35"/>
    <d v="2015-03-15T20:01:41"/>
    <n v="1"/>
    <n v="0"/>
    <n v="4"/>
    <n v="3"/>
    <n v="1"/>
    <n v="2"/>
    <n v="18"/>
    <d v="2015-03-15T20:01:36"/>
    <n v="15"/>
    <x v="2"/>
    <x v="5"/>
  </r>
  <r>
    <n v="206"/>
    <s v="Minnesota"/>
    <s v="55322"/>
    <d v="2015-04-01T10:11:58"/>
    <d v="2015-04-01T10:12:03"/>
    <n v="1"/>
    <n v="2"/>
    <n v="2"/>
    <n v="1"/>
    <n v="1"/>
    <n v="1"/>
    <n v="36"/>
    <d v="2015-04-01T10:11:59"/>
    <n v="1"/>
    <x v="6"/>
    <x v="13"/>
  </r>
  <r>
    <n v="207"/>
    <s v="Ohio"/>
    <s v="44122"/>
    <d v="2015-07-10T07:52:22"/>
    <d v="2015-07-10T07:52:27"/>
    <n v="1"/>
    <n v="6"/>
    <n v="4"/>
    <n v="2"/>
    <n v="1"/>
    <n v="2"/>
    <n v="64.8"/>
    <d v="2015-07-10T07:52:22"/>
    <n v="10"/>
    <x v="4"/>
    <x v="16"/>
  </r>
  <r>
    <n v="208"/>
    <s v="Connecticut"/>
    <s v="06511"/>
    <d v="2015-01-11T02:03:13"/>
    <d v="2015-01-11T02:03:19"/>
    <n v="1"/>
    <n v="2"/>
    <n v="4"/>
    <n v="4"/>
    <n v="1"/>
    <n v="2"/>
    <n v="9"/>
    <d v="2015-01-11T02:03:15"/>
    <n v="11"/>
    <x v="2"/>
    <x v="21"/>
  </r>
  <r>
    <n v="209"/>
    <m/>
    <m/>
    <d v="2015-03-05T14:26:23"/>
    <d v="2015-03-05T14:26:27"/>
    <n v="1"/>
    <n v="2"/>
    <n v="10"/>
    <n v="3"/>
    <n v="1"/>
    <n v="2"/>
    <n v="14.4"/>
    <d v="2015-03-05T14:34:57"/>
    <n v="5"/>
    <x v="1"/>
    <x v="9"/>
  </r>
  <r>
    <n v="210"/>
    <s v="Minnesota"/>
    <s v="55079"/>
    <d v="2015-01-28T20:18:55"/>
    <d v="2015-01-28T20:19:02"/>
    <n v="1"/>
    <n v="0"/>
    <n v="6"/>
    <n v="1"/>
    <n v="1"/>
    <n v="3"/>
    <n v="21.6"/>
    <d v="2015-01-28T20:18:57"/>
    <n v="28"/>
    <x v="6"/>
    <x v="5"/>
  </r>
  <r>
    <n v="211"/>
    <s v="California"/>
    <s v="95410"/>
    <d v="2015-01-15T21:39:55"/>
    <d v="2015-01-15T21:39:59"/>
    <n v="1"/>
    <n v="0"/>
    <n v="4"/>
    <n v="2"/>
    <n v="1"/>
    <n v="2"/>
    <n v="9"/>
    <d v="2015-01-15T21:39:56"/>
    <n v="15"/>
    <x v="1"/>
    <x v="2"/>
  </r>
  <r>
    <n v="212"/>
    <s v="Pennsylvania"/>
    <s v="19064"/>
    <d v="2015-07-27T12:21:44"/>
    <d v="2015-07-27T12:21:47"/>
    <n v="1"/>
    <n v="6"/>
    <n v="2"/>
    <n v="5"/>
    <n v="1"/>
    <n v="1"/>
    <n v="29.92"/>
    <d v="2015-07-27T12:21:44"/>
    <n v="27"/>
    <x v="3"/>
    <x v="7"/>
  </r>
  <r>
    <n v="213"/>
    <s v="Virginia"/>
    <s v="22312"/>
    <d v="2015-07-14T02:26:50"/>
    <d v="2015-07-13T22:26:55"/>
    <n v="1"/>
    <n v="12"/>
    <n v="12"/>
    <n v="6"/>
    <n v="1"/>
    <n v="5"/>
    <n v="172.8"/>
    <d v="2015-07-13T22:26:51"/>
    <n v="13"/>
    <x v="3"/>
    <x v="1"/>
  </r>
  <r>
    <n v="214"/>
    <s v="Tennessee"/>
    <s v="37912"/>
    <d v="2015-01-19T05:20:04"/>
    <d v="2015-01-19T05:20:08"/>
    <n v="1"/>
    <n v="1"/>
    <n v="4"/>
    <n v="2"/>
    <n v="1"/>
    <n v="2"/>
    <n v="18"/>
    <d v="2015-01-19T05:20:06"/>
    <n v="19"/>
    <x v="3"/>
    <x v="22"/>
  </r>
  <r>
    <n v="215"/>
    <s v="California"/>
    <s v="94117"/>
    <d v="2015-06-22T23:57:25"/>
    <d v="2015-06-22T23:57:29"/>
    <n v="1"/>
    <n v="2"/>
    <n v="4"/>
    <n v="2"/>
    <n v="1"/>
    <n v="3"/>
    <n v="86.4"/>
    <d v="2015-06-22T23:57:26"/>
    <n v="22"/>
    <x v="3"/>
    <x v="0"/>
  </r>
  <r>
    <n v="216"/>
    <s v="Missouri"/>
    <s v="64155"/>
    <d v="2015-01-22T19:11:00"/>
    <d v="2015-01-22T19:11:04"/>
    <n v="1"/>
    <n v="0"/>
    <n v="4"/>
    <n v="2"/>
    <n v="1"/>
    <n v="2"/>
    <n v="9"/>
    <d v="2015-01-22T19:11:01"/>
    <n v="22"/>
    <x v="1"/>
    <x v="12"/>
  </r>
  <r>
    <n v="217"/>
    <s v="Michigan"/>
    <s v="48642"/>
    <d v="2015-08-11T10:34:04"/>
    <d v="2015-08-11T10:34:08"/>
    <n v="1"/>
    <n v="4"/>
    <n v="4"/>
    <n v="2"/>
    <n v="1"/>
    <n v="2"/>
    <n v="38.72"/>
    <d v="2015-08-11T10:34:04"/>
    <n v="11"/>
    <x v="5"/>
    <x v="13"/>
  </r>
  <r>
    <n v="219"/>
    <m/>
    <m/>
    <d v="2015-06-08T19:21:38"/>
    <d v="2015-08-21T07:20:27"/>
    <n v="22"/>
    <n v="24"/>
    <n v="21"/>
    <n v="17"/>
    <n v="1"/>
    <n v="2"/>
    <n v="31.5"/>
    <d v="2015-08-21T07:37:00"/>
    <n v="21"/>
    <x v="4"/>
    <x v="16"/>
  </r>
  <r>
    <n v="220"/>
    <s v="Florida"/>
    <s v="33157"/>
    <d v="2015-04-23T13:56:41"/>
    <d v="2015-04-23T13:56:45"/>
    <n v="1"/>
    <n v="2"/>
    <n v="4"/>
    <n v="1"/>
    <n v="1"/>
    <n v="2"/>
    <n v="18"/>
    <d v="2015-04-23T13:56:42"/>
    <n v="23"/>
    <x v="1"/>
    <x v="17"/>
  </r>
  <r>
    <n v="221"/>
    <s v="District of Columbia"/>
    <s v="20003"/>
    <d v="2015-05-15T15:04:21"/>
    <d v="2015-05-15T15:04:24"/>
    <n v="1"/>
    <n v="0"/>
    <n v="2"/>
    <n v="2"/>
    <n v="1"/>
    <n v="4"/>
    <n v="28.8"/>
    <d v="2015-05-15T15:04:22"/>
    <n v="15"/>
    <x v="4"/>
    <x v="10"/>
  </r>
  <r>
    <n v="222"/>
    <s v="Maryland"/>
    <s v="21201"/>
    <d v="2015-06-13T12:10:50"/>
    <d v="2015-06-13T12:10:55"/>
    <n v="1"/>
    <n v="4"/>
    <n v="8"/>
    <n v="2"/>
    <n v="1"/>
    <n v="7"/>
    <n v="47.25"/>
    <d v="2015-06-13T12:10:51"/>
    <n v="13"/>
    <x v="0"/>
    <x v="7"/>
  </r>
  <r>
    <n v="223"/>
    <s v="Maryland"/>
    <s v="20744"/>
    <d v="2015-03-21T08:28:38"/>
    <d v="2015-03-21T08:28:46"/>
    <n v="1"/>
    <n v="8"/>
    <n v="18"/>
    <n v="3"/>
    <n v="1"/>
    <n v="8"/>
    <n v="70"/>
    <d v="2015-03-21T08:28:40"/>
    <n v="21"/>
    <x v="0"/>
    <x v="18"/>
  </r>
  <r>
    <n v="224"/>
    <s v="Massachusetts"/>
    <s v="01845"/>
    <d v="2015-02-22T12:12:52"/>
    <d v="2015-02-22T12:12:57"/>
    <n v="1"/>
    <n v="0"/>
    <n v="8"/>
    <n v="1"/>
    <n v="1"/>
    <n v="4"/>
    <n v="28.8"/>
    <d v="2015-02-22T12:12:53"/>
    <n v="22"/>
    <x v="2"/>
    <x v="7"/>
  </r>
  <r>
    <n v="225"/>
    <s v="Texas"/>
    <s v="77407"/>
    <d v="2015-02-11T18:08:36"/>
    <d v="2015-02-20T14:41:56"/>
    <n v="5"/>
    <n v="10"/>
    <n v="13"/>
    <n v="8"/>
    <n v="1"/>
    <n v="4"/>
    <n v="201.6"/>
    <d v="2015-02-11T18:08:39"/>
    <n v="11"/>
    <x v="6"/>
    <x v="6"/>
  </r>
  <r>
    <n v="226"/>
    <s v="Illinois"/>
    <s v="60606"/>
    <d v="2015-08-13T12:17:52"/>
    <d v="2015-08-13T12:17:54"/>
    <n v="1"/>
    <n v="2"/>
    <n v="2"/>
    <n v="2"/>
    <n v="1"/>
    <n v="2"/>
    <n v="59.84"/>
    <d v="2015-08-13T12:17:52"/>
    <n v="13"/>
    <x v="1"/>
    <x v="7"/>
  </r>
  <r>
    <n v="227"/>
    <s v="California"/>
    <s v="95123"/>
    <d v="2015-09-03T17:57:51"/>
    <d v="2015-09-03T13:57:56"/>
    <n v="1"/>
    <n v="2"/>
    <n v="4"/>
    <n v="3"/>
    <n v="1"/>
    <n v="2"/>
    <n v="22"/>
    <d v="2015-09-03T13:57:52"/>
    <n v="3"/>
    <x v="1"/>
    <x v="17"/>
  </r>
  <r>
    <n v="228"/>
    <s v="Washington"/>
    <s v="98112"/>
    <d v="2015-01-22T01:52:56"/>
    <d v="2015-01-22T01:53:00"/>
    <n v="1"/>
    <n v="0"/>
    <n v="2"/>
    <n v="2"/>
    <n v="1"/>
    <n v="5"/>
    <n v="36"/>
    <d v="2015-01-22T01:52:57"/>
    <n v="22"/>
    <x v="1"/>
    <x v="20"/>
  </r>
  <r>
    <n v="229"/>
    <s v="Oregon"/>
    <s v="97301"/>
    <d v="2015-05-14T20:34:31"/>
    <d v="2015-05-14T20:34:36"/>
    <n v="1"/>
    <n v="0"/>
    <n v="2"/>
    <n v="2"/>
    <n v="1"/>
    <n v="3"/>
    <n v="21.6"/>
    <d v="2015-05-14T20:34:32"/>
    <n v="14"/>
    <x v="1"/>
    <x v="5"/>
  </r>
  <r>
    <n v="230"/>
    <s v="South Carolina"/>
    <s v="29201"/>
    <d v="2015-01-21T09:44:37"/>
    <d v="2015-01-21T09:44:41"/>
    <n v="1"/>
    <n v="2"/>
    <n v="8"/>
    <n v="2"/>
    <n v="1"/>
    <n v="4"/>
    <n v="28.8"/>
    <d v="2015-01-21T09:44:39"/>
    <n v="21"/>
    <x v="6"/>
    <x v="15"/>
  </r>
  <r>
    <n v="231"/>
    <s v="California"/>
    <s v="90039"/>
    <d v="2015-05-19T14:14:50"/>
    <d v="2015-05-19T14:14:54"/>
    <n v="1"/>
    <n v="2"/>
    <n v="10"/>
    <n v="2"/>
    <n v="1"/>
    <n v="1"/>
    <n v="57.6"/>
    <d v="2015-05-19T14:14:51"/>
    <n v="19"/>
    <x v="5"/>
    <x v="9"/>
  </r>
  <r>
    <n v="232"/>
    <s v="Oregon"/>
    <s v="97030"/>
    <d v="2015-06-28T16:26:48"/>
    <d v="2015-06-28T12:26:52"/>
    <n v="1"/>
    <n v="6"/>
    <n v="4"/>
    <n v="2"/>
    <n v="1"/>
    <n v="1"/>
    <n v="28.8"/>
    <d v="2015-06-28T12:26:49"/>
    <n v="28"/>
    <x v="2"/>
    <x v="7"/>
  </r>
  <r>
    <n v="233"/>
    <s v="Florida"/>
    <s v="33897"/>
    <d v="2015-08-20T19:06:50"/>
    <d v="2015-08-21T17:25:29"/>
    <n v="5"/>
    <n v="0"/>
    <n v="2"/>
    <n v="4"/>
    <n v="1"/>
    <n v="1"/>
    <n v="28.05"/>
    <d v="2015-08-20T19:06:50"/>
    <n v="20"/>
    <x v="1"/>
    <x v="12"/>
  </r>
  <r>
    <n v="234"/>
    <s v="Louisiana"/>
    <s v="70508"/>
    <d v="2015-03-21T00:13:58"/>
    <d v="2015-03-21T20:53:32"/>
    <n v="2"/>
    <n v="2"/>
    <n v="4"/>
    <n v="1"/>
    <n v="1"/>
    <n v="4"/>
    <n v="28.8"/>
    <d v="2015-03-21T00:13:59"/>
    <n v="21"/>
    <x v="0"/>
    <x v="14"/>
  </r>
  <r>
    <n v="235"/>
    <s v="Kentucky"/>
    <s v="40242"/>
    <d v="2015-02-05T16:30:09"/>
    <d v="2015-02-05T19:58:02"/>
    <n v="3"/>
    <n v="0"/>
    <n v="8"/>
    <n v="2"/>
    <n v="1"/>
    <n v="4"/>
    <n v="36"/>
    <d v="2015-02-05T16:30:11"/>
    <n v="5"/>
    <x v="1"/>
    <x v="4"/>
  </r>
  <r>
    <n v="236"/>
    <s v="California"/>
    <s v="94530"/>
    <d v="2015-04-14T12:27:39"/>
    <d v="2015-04-14T12:27:44"/>
    <n v="1"/>
    <n v="0"/>
    <n v="6"/>
    <n v="1"/>
    <n v="1"/>
    <n v="3"/>
    <n v="18"/>
    <d v="2015-04-14T12:27:40"/>
    <n v="14"/>
    <x v="5"/>
    <x v="7"/>
  </r>
  <r>
    <n v="237"/>
    <s v="Nebraska"/>
    <s v="69130"/>
    <d v="2015-08-15T22:31:51"/>
    <d v="2015-08-15T18:31:53"/>
    <n v="1"/>
    <n v="14"/>
    <n v="8"/>
    <n v="2"/>
    <n v="1"/>
    <n v="4"/>
    <n v="124.96"/>
    <d v="2015-08-15T18:36:02"/>
    <n v="15"/>
    <x v="0"/>
    <x v="6"/>
  </r>
  <r>
    <n v="238"/>
    <m/>
    <m/>
    <d v="2015-06-11T18:35:59"/>
    <d v="2015-06-11T17:02:42"/>
    <n v="3"/>
    <n v="0"/>
    <n v="3"/>
    <n v="7"/>
    <n v="1"/>
    <n v="2"/>
    <n v="14.4"/>
    <d v="2015-06-11T14:51:11"/>
    <n v="11"/>
    <x v="1"/>
    <x v="9"/>
  </r>
  <r>
    <n v="239"/>
    <s v="California"/>
    <s v="94110"/>
    <d v="2015-01-27T16:16:08"/>
    <d v="2015-01-27T16:16:12"/>
    <n v="1"/>
    <n v="2"/>
    <n v="14"/>
    <n v="3"/>
    <n v="1"/>
    <n v="4"/>
    <n v="30.6"/>
    <d v="2015-01-27T16:16:10"/>
    <n v="27"/>
    <x v="5"/>
    <x v="4"/>
  </r>
  <r>
    <n v="240"/>
    <s v="California"/>
    <s v="93619"/>
    <d v="2015-08-19T12:29:25"/>
    <d v="2015-08-19T12:29:28"/>
    <n v="1"/>
    <n v="2"/>
    <n v="6"/>
    <n v="2"/>
    <n v="1"/>
    <n v="4"/>
    <n v="35.200000000000003"/>
    <d v="2015-08-19T12:29:25"/>
    <n v="19"/>
    <x v="6"/>
    <x v="7"/>
  </r>
  <r>
    <n v="241"/>
    <s v="Washington"/>
    <s v="98034"/>
    <d v="2015-06-12T17:42:30"/>
    <d v="2015-06-12T13:42:34"/>
    <n v="1"/>
    <n v="2"/>
    <n v="2"/>
    <n v="2"/>
    <n v="1"/>
    <n v="4"/>
    <n v="28.8"/>
    <d v="2015-06-12T13:42:31"/>
    <n v="12"/>
    <x v="4"/>
    <x v="17"/>
  </r>
  <r>
    <n v="242"/>
    <s v="Virginia"/>
    <s v="23701"/>
    <d v="2015-07-13T20:36:36"/>
    <d v="2015-07-13T16:36:40"/>
    <n v="1"/>
    <n v="0"/>
    <n v="2"/>
    <n v="2"/>
    <n v="1"/>
    <n v="1"/>
    <n v="6.75"/>
    <d v="2015-07-13T16:36:36"/>
    <n v="13"/>
    <x v="3"/>
    <x v="4"/>
  </r>
  <r>
    <n v="243"/>
    <s v="Kentucky"/>
    <s v="40516"/>
    <d v="2015-01-27T22:33:38"/>
    <d v="2015-01-27T22:33:43"/>
    <n v="1"/>
    <n v="0"/>
    <n v="4"/>
    <n v="1"/>
    <n v="1"/>
    <n v="2"/>
    <n v="18"/>
    <d v="2015-01-27T22:33:39"/>
    <n v="27"/>
    <x v="5"/>
    <x v="1"/>
  </r>
  <r>
    <n v="244"/>
    <s v="Tennessee"/>
    <s v="38237"/>
    <d v="2015-09-03T15:39:53"/>
    <d v="2015-09-03T11:39:58"/>
    <n v="1"/>
    <n v="0"/>
    <n v="2"/>
    <n v="2"/>
    <n v="1"/>
    <n v="1"/>
    <n v="112.64"/>
    <d v="2015-09-03T11:39:53"/>
    <n v="3"/>
    <x v="1"/>
    <x v="3"/>
  </r>
  <r>
    <n v="245"/>
    <s v="Georgia"/>
    <s v="30022"/>
    <d v="2015-08-10T22:25:24"/>
    <d v="2015-08-10T22:25:28"/>
    <n v="1"/>
    <n v="4"/>
    <n v="6"/>
    <n v="7"/>
    <n v="1"/>
    <n v="1"/>
    <n v="56.32"/>
    <d v="2015-08-10T22:25:24"/>
    <n v="10"/>
    <x v="3"/>
    <x v="1"/>
  </r>
  <r>
    <n v="246"/>
    <s v="California"/>
    <s v="93428"/>
    <d v="2015-03-08T22:05:38"/>
    <d v="2015-03-08T22:05:43"/>
    <n v="1"/>
    <n v="0"/>
    <n v="8"/>
    <n v="1"/>
    <n v="1"/>
    <n v="4"/>
    <n v="28.8"/>
    <d v="2015-03-08T22:05:39"/>
    <n v="8"/>
    <x v="2"/>
    <x v="1"/>
  </r>
  <r>
    <n v="247"/>
    <s v="Colorado"/>
    <s v="80014"/>
    <d v="2015-05-19T16:09:43"/>
    <d v="2015-05-19T12:09:45"/>
    <n v="1"/>
    <n v="16"/>
    <n v="14"/>
    <n v="4"/>
    <n v="1"/>
    <n v="4"/>
    <n v="27"/>
    <d v="2015-05-19T12:12:06"/>
    <n v="19"/>
    <x v="5"/>
    <x v="7"/>
  </r>
  <r>
    <n v="248"/>
    <s v="Virginia"/>
    <s v="23602"/>
    <d v="2015-09-02T21:07:57"/>
    <d v="2015-09-02T19:27:22"/>
    <n v="3"/>
    <n v="11"/>
    <n v="8"/>
    <n v="2"/>
    <n v="1"/>
    <n v="4"/>
    <n v="33"/>
    <d v="2015-09-02T17:07:58"/>
    <n v="2"/>
    <x v="6"/>
    <x v="8"/>
  </r>
  <r>
    <n v="249"/>
    <s v="Pennsylvania"/>
    <s v="17603"/>
    <d v="2015-06-22T14:48:17"/>
    <d v="2015-07-17T11:26:32"/>
    <n v="5"/>
    <n v="3"/>
    <n v="5"/>
    <n v="8"/>
    <n v="1"/>
    <n v="4"/>
    <n v="35.200000000000003"/>
    <d v="2015-07-16T10:52:08"/>
    <n v="16"/>
    <x v="1"/>
    <x v="13"/>
  </r>
  <r>
    <n v="250"/>
    <s v="Colorado"/>
    <s v="80525"/>
    <d v="2015-01-23T11:30:57"/>
    <d v="2015-01-23T11:31:25"/>
    <n v="1"/>
    <n v="4"/>
    <n v="6"/>
    <n v="2"/>
    <n v="1"/>
    <n v="3"/>
    <n v="21.6"/>
    <d v="2015-01-23T11:31:22"/>
    <n v="23"/>
    <x v="4"/>
    <x v="3"/>
  </r>
  <r>
    <n v="251"/>
    <s v="Ohio"/>
    <s v="43054"/>
    <d v="2015-06-11T11:20:57"/>
    <d v="2015-06-11T11:21:00"/>
    <n v="1"/>
    <n v="2"/>
    <n v="4"/>
    <n v="8"/>
    <n v="1"/>
    <n v="4"/>
    <n v="28.8"/>
    <d v="2015-06-11T11:20:58"/>
    <n v="11"/>
    <x v="1"/>
    <x v="3"/>
  </r>
  <r>
    <n v="252"/>
    <s v="Texas"/>
    <s v="78741"/>
    <d v="2015-06-26T16:04:21"/>
    <d v="2015-06-26T12:04:25"/>
    <n v="1"/>
    <n v="8"/>
    <n v="2"/>
    <n v="2"/>
    <n v="1"/>
    <n v="1"/>
    <n v="28.8"/>
    <d v="2015-06-26T12:04:22"/>
    <n v="26"/>
    <x v="4"/>
    <x v="7"/>
  </r>
  <r>
    <n v="253"/>
    <s v="Connecticut"/>
    <s v="06237"/>
    <d v="2015-05-23T12:20:36"/>
    <d v="2015-05-23T12:20:40"/>
    <n v="1"/>
    <n v="4"/>
    <n v="2"/>
    <n v="7"/>
    <n v="1"/>
    <n v="1"/>
    <n v="57.6"/>
    <d v="2015-05-23T12:20:37"/>
    <n v="23"/>
    <x v="0"/>
    <x v="7"/>
  </r>
  <r>
    <n v="254"/>
    <s v="Washington"/>
    <s v="98327"/>
    <d v="2015-02-21T09:51:51"/>
    <d v="2015-02-21T09:51:55"/>
    <n v="1"/>
    <n v="0"/>
    <n v="2"/>
    <n v="2"/>
    <n v="1"/>
    <n v="4"/>
    <n v="28.8"/>
    <d v="2015-02-21T09:51:52"/>
    <n v="21"/>
    <x v="0"/>
    <x v="15"/>
  </r>
  <r>
    <n v="255"/>
    <m/>
    <m/>
    <d v="2015-07-20T05:34:03"/>
    <d v="2015-07-20T01:34:04"/>
    <n v="1"/>
    <n v="2"/>
    <n v="3"/>
    <n v="2"/>
    <n v="1"/>
    <n v="2"/>
    <n v="59.84"/>
    <d v="2015-07-20T01:42:41"/>
    <n v="20"/>
    <x v="3"/>
    <x v="20"/>
  </r>
  <r>
    <n v="256"/>
    <m/>
    <m/>
    <d v="2015-02-05T11:00:15"/>
    <d v="2015-02-16T12:59:42"/>
    <n v="2"/>
    <n v="0"/>
    <n v="3"/>
    <n v="5"/>
    <n v="1"/>
    <n v="2"/>
    <n v="18"/>
    <d v="2015-02-05T11:06:27"/>
    <n v="5"/>
    <x v="1"/>
    <x v="3"/>
  </r>
  <r>
    <n v="257"/>
    <s v="Massachusetts"/>
    <s v="01945"/>
    <d v="2015-07-12T15:45:02"/>
    <d v="2015-07-12T11:45:08"/>
    <n v="1"/>
    <n v="10"/>
    <n v="16"/>
    <n v="2"/>
    <n v="1"/>
    <n v="7"/>
    <n v="47.2"/>
    <d v="2015-07-12T11:45:04"/>
    <n v="12"/>
    <x v="2"/>
    <x v="3"/>
  </r>
  <r>
    <n v="258"/>
    <s v="Tennessee"/>
    <s v="37075"/>
    <d v="2015-09-11T16:28:36"/>
    <d v="2015-09-11T16:28:40"/>
    <n v="1"/>
    <n v="8"/>
    <n v="12"/>
    <n v="2"/>
    <n v="1"/>
    <n v="6"/>
    <n v="68"/>
    <d v="2015-09-11T16:28:36"/>
    <n v="11"/>
    <x v="4"/>
    <x v="4"/>
  </r>
  <r>
    <n v="259"/>
    <s v="Illinois"/>
    <s v="60014"/>
    <d v="2015-07-08T15:33:31"/>
    <d v="2015-07-08T11:33:36"/>
    <n v="1"/>
    <n v="0"/>
    <n v="2"/>
    <n v="4"/>
    <n v="1"/>
    <n v="1"/>
    <n v="27"/>
    <d v="2015-07-08T11:33:32"/>
    <n v="8"/>
    <x v="6"/>
    <x v="3"/>
  </r>
  <r>
    <n v="260"/>
    <s v="California"/>
    <s v="94044"/>
    <d v="2015-07-01T20:25:58"/>
    <d v="2015-07-01T16:26:02"/>
    <n v="1"/>
    <n v="2"/>
    <n v="2"/>
    <n v="2"/>
    <n v="1"/>
    <n v="1"/>
    <n v="36"/>
    <d v="2015-07-01T16:25:59"/>
    <n v="1"/>
    <x v="6"/>
    <x v="4"/>
  </r>
  <r>
    <n v="261"/>
    <s v="Michigan"/>
    <s v="48073"/>
    <d v="2015-06-02T20:02:17"/>
    <d v="2015-06-02T20:02:21"/>
    <n v="1"/>
    <n v="2"/>
    <n v="8"/>
    <n v="2"/>
    <n v="1"/>
    <n v="4"/>
    <n v="36"/>
    <d v="2015-06-02T20:02:18"/>
    <n v="2"/>
    <x v="5"/>
    <x v="5"/>
  </r>
  <r>
    <n v="262"/>
    <s v="Pennsylvania"/>
    <s v="19040"/>
    <d v="2015-02-13T16:56:56"/>
    <d v="2015-02-13T16:57:01"/>
    <n v="1"/>
    <n v="0"/>
    <n v="4"/>
    <n v="1"/>
    <n v="1"/>
    <n v="2"/>
    <n v="9"/>
    <d v="2015-02-13T16:56:57"/>
    <n v="13"/>
    <x v="4"/>
    <x v="4"/>
  </r>
  <r>
    <n v="263"/>
    <s v="California"/>
    <s v="92833"/>
    <d v="2015-06-19T17:41:02"/>
    <d v="2015-06-19T17:41:05"/>
    <n v="1"/>
    <n v="8"/>
    <n v="4"/>
    <n v="2"/>
    <n v="1"/>
    <n v="5"/>
    <n v="45"/>
    <d v="2015-06-19T17:41:03"/>
    <n v="19"/>
    <x v="4"/>
    <x v="8"/>
  </r>
  <r>
    <n v="264"/>
    <s v="Rhode Island"/>
    <s v="02910"/>
    <d v="2015-06-07T17:14:15"/>
    <d v="2015-06-07T13:14:17"/>
    <n v="1"/>
    <n v="4"/>
    <n v="6"/>
    <n v="5"/>
    <n v="1"/>
    <n v="2"/>
    <n v="14.4"/>
    <d v="2015-06-07T13:17:08"/>
    <n v="7"/>
    <x v="2"/>
    <x v="17"/>
  </r>
  <r>
    <n v="265"/>
    <m/>
    <m/>
    <d v="2015-03-19T09:51:24"/>
    <d v="2015-03-19T09:51:29"/>
    <n v="1"/>
    <n v="2"/>
    <n v="13"/>
    <n v="2"/>
    <n v="1"/>
    <n v="8"/>
    <n v="57.6"/>
    <d v="2015-03-19T09:56:52"/>
    <n v="19"/>
    <x v="1"/>
    <x v="15"/>
  </r>
  <r>
    <n v="266"/>
    <s v="Massachusetts"/>
    <s v="01843"/>
    <d v="2015-05-15T23:44:45"/>
    <d v="2015-05-15T23:44:48"/>
    <n v="1"/>
    <n v="0"/>
    <n v="2"/>
    <n v="2"/>
    <n v="1"/>
    <n v="2"/>
    <n v="14.4"/>
    <d v="2015-05-15T23:44:45"/>
    <n v="15"/>
    <x v="4"/>
    <x v="0"/>
  </r>
  <r>
    <n v="267"/>
    <s v="Florida"/>
    <s v="33444"/>
    <d v="2015-08-30T13:29:40"/>
    <d v="2015-08-30T09:29:46"/>
    <n v="1"/>
    <n v="4"/>
    <n v="4"/>
    <n v="2"/>
    <n v="1"/>
    <n v="3"/>
    <n v="121.44"/>
    <d v="2015-08-30T09:29:41"/>
    <n v="30"/>
    <x v="2"/>
    <x v="15"/>
  </r>
  <r>
    <n v="268"/>
    <s v="Indiana"/>
    <s v="46077"/>
    <d v="2015-02-12T19:57:23"/>
    <d v="2015-02-12T19:57:29"/>
    <n v="1"/>
    <n v="2"/>
    <n v="12"/>
    <n v="1"/>
    <n v="1"/>
    <n v="4"/>
    <n v="30.6"/>
    <d v="2015-02-12T19:57:24"/>
    <n v="12"/>
    <x v="1"/>
    <x v="12"/>
  </r>
  <r>
    <n v="269"/>
    <s v="New York"/>
    <s v="13210"/>
    <d v="2015-06-02T19:07:41"/>
    <d v="2015-06-02T15:07:43"/>
    <n v="1"/>
    <n v="2"/>
    <n v="3"/>
    <n v="1"/>
    <n v="1"/>
    <n v="2"/>
    <n v="14.4"/>
    <d v="2015-06-02T15:20:55"/>
    <n v="2"/>
    <x v="5"/>
    <x v="10"/>
  </r>
  <r>
    <n v="270"/>
    <s v="California"/>
    <s v="90012"/>
    <d v="2015-07-27T17:21:57"/>
    <d v="2015-07-28T13:14:29"/>
    <n v="2"/>
    <n v="2"/>
    <n v="4"/>
    <n v="3"/>
    <n v="1"/>
    <n v="2"/>
    <n v="112.64"/>
    <d v="2015-07-27T13:21:58"/>
    <n v="27"/>
    <x v="3"/>
    <x v="17"/>
  </r>
  <r>
    <n v="271"/>
    <s v="Texas"/>
    <s v="76567"/>
    <d v="2015-01-26T23:44:50"/>
    <d v="2015-02-26T08:15:27"/>
    <n v="10"/>
    <n v="0"/>
    <n v="14"/>
    <n v="11"/>
    <n v="2"/>
    <n v="8"/>
    <n v="30.6"/>
    <d v="2015-01-26T23:44:52"/>
    <n v="26"/>
    <x v="3"/>
    <x v="0"/>
  </r>
  <r>
    <n v="272"/>
    <s v="Maryland"/>
    <s v="21704"/>
    <d v="2015-03-30T10:01:34"/>
    <d v="2015-03-30T10:01:39"/>
    <n v="1"/>
    <n v="1"/>
    <n v="4"/>
    <n v="1"/>
    <n v="1"/>
    <n v="2"/>
    <n v="18"/>
    <d v="2015-03-30T10:01:35"/>
    <n v="30"/>
    <x v="3"/>
    <x v="13"/>
  </r>
  <r>
    <n v="273"/>
    <s v="Texas"/>
    <s v="78840"/>
    <d v="2015-05-21T16:14:52"/>
    <d v="2015-05-21T16:14:56"/>
    <n v="1"/>
    <n v="2"/>
    <n v="4"/>
    <n v="6"/>
    <n v="1"/>
    <n v="1"/>
    <n v="57.6"/>
    <d v="2015-05-21T16:14:53"/>
    <n v="21"/>
    <x v="1"/>
    <x v="4"/>
  </r>
  <r>
    <n v="274"/>
    <s v="New Jersey"/>
    <s v="07039"/>
    <d v="2015-05-26T14:30:49"/>
    <d v="2015-05-26T14:30:52"/>
    <n v="1"/>
    <n v="4"/>
    <n v="6"/>
    <n v="2"/>
    <n v="1"/>
    <n v="4"/>
    <n v="36"/>
    <d v="2015-05-26T14:30:50"/>
    <n v="26"/>
    <x v="5"/>
    <x v="9"/>
  </r>
  <r>
    <n v="275"/>
    <s v="Pennsylvania"/>
    <s v="19122"/>
    <d v="2015-03-11T23:41:30"/>
    <d v="2015-03-12T12:08:40"/>
    <n v="2"/>
    <n v="0"/>
    <n v="6"/>
    <n v="3"/>
    <n v="1"/>
    <n v="2"/>
    <n v="14.4"/>
    <d v="2015-03-11T23:41:31"/>
    <n v="11"/>
    <x v="6"/>
    <x v="0"/>
  </r>
  <r>
    <n v="276"/>
    <s v="Wisconsin"/>
    <s v="53719"/>
    <d v="2015-01-21T14:27:40"/>
    <d v="2015-01-21T14:27:44"/>
    <n v="1"/>
    <n v="2"/>
    <n v="2"/>
    <n v="3"/>
    <n v="1"/>
    <n v="2"/>
    <n v="9"/>
    <d v="2015-01-21T14:27:42"/>
    <n v="21"/>
    <x v="6"/>
    <x v="9"/>
  </r>
  <r>
    <n v="277"/>
    <s v="Ohio"/>
    <s v="45014"/>
    <d v="2015-02-06T12:43:57"/>
    <d v="2015-02-06T12:44:01"/>
    <n v="1"/>
    <n v="0"/>
    <n v="4"/>
    <n v="1"/>
    <n v="1"/>
    <n v="2"/>
    <n v="9"/>
    <d v="2015-02-06T12:43:58"/>
    <n v="6"/>
    <x v="4"/>
    <x v="7"/>
  </r>
  <r>
    <n v="278"/>
    <s v="Virginia"/>
    <s v="20148"/>
    <d v="2015-09-09T17:25:18"/>
    <d v="2015-09-10T17:23:07"/>
    <n v="3"/>
    <n v="0"/>
    <n v="2"/>
    <n v="3"/>
    <n v="1"/>
    <n v="1"/>
    <n v="29.92"/>
    <d v="2015-09-09T17:25:18"/>
    <n v="9"/>
    <x v="6"/>
    <x v="8"/>
  </r>
  <r>
    <n v="279"/>
    <s v="Massachusetts"/>
    <s v="02472"/>
    <d v="2015-06-30T15:41:30"/>
    <d v="2015-06-30T11:41:35"/>
    <n v="1"/>
    <n v="2"/>
    <n v="2"/>
    <n v="2"/>
    <n v="1"/>
    <n v="1"/>
    <n v="38.4"/>
    <d v="2015-06-30T11:41:31"/>
    <n v="30"/>
    <x v="5"/>
    <x v="3"/>
  </r>
  <r>
    <n v="280"/>
    <m/>
    <m/>
    <d v="2015-07-16T20:37:26"/>
    <d v="2015-07-16T16:37:27"/>
    <n v="2"/>
    <n v="4"/>
    <n v="6"/>
    <n v="3"/>
    <n v="1"/>
    <n v="6"/>
    <n v="45"/>
    <d v="2015-07-16T16:47:49"/>
    <n v="16"/>
    <x v="1"/>
    <x v="4"/>
  </r>
  <r>
    <n v="281"/>
    <m/>
    <m/>
    <d v="2015-09-17T23:05:59"/>
    <d v="2015-09-17T23:06:00"/>
    <n v="1"/>
    <n v="6"/>
    <n v="8"/>
    <n v="7"/>
    <n v="1"/>
    <n v="1"/>
    <n v="56.32"/>
    <d v="2015-09-17T23:12:33"/>
    <n v="17"/>
    <x v="1"/>
    <x v="0"/>
  </r>
  <r>
    <n v="282"/>
    <s v="Oklahoma"/>
    <s v="73034"/>
    <d v="2015-03-25T10:48:33"/>
    <d v="2015-03-25T10:48:40"/>
    <n v="1"/>
    <n v="6"/>
    <n v="18"/>
    <n v="7"/>
    <n v="1"/>
    <n v="4"/>
    <n v="27.2"/>
    <d v="2015-03-25T10:48:34"/>
    <n v="25"/>
    <x v="6"/>
    <x v="13"/>
  </r>
  <r>
    <n v="283"/>
    <s v="California"/>
    <s v="94164"/>
    <d v="2015-01-23T15:28:19"/>
    <d v="2015-01-23T15:28:32"/>
    <n v="1"/>
    <n v="0"/>
    <n v="6"/>
    <n v="3"/>
    <n v="1"/>
    <n v="4"/>
    <n v="36"/>
    <d v="2015-01-23T15:28:29"/>
    <n v="23"/>
    <x v="4"/>
    <x v="10"/>
  </r>
  <r>
    <n v="284"/>
    <s v="Michigan"/>
    <s v="49629"/>
    <d v="2015-08-11T10:17:25"/>
    <d v="2015-08-11T06:17:30"/>
    <n v="1"/>
    <n v="4"/>
    <n v="2"/>
    <n v="2"/>
    <n v="1"/>
    <n v="1"/>
    <n v="56.32"/>
    <d v="2015-08-11T06:17:26"/>
    <n v="11"/>
    <x v="5"/>
    <x v="11"/>
  </r>
  <r>
    <n v="285"/>
    <s v="Iowa"/>
    <s v="52601"/>
    <d v="2015-07-26T05:31:17"/>
    <d v="2015-07-26T01:31:23"/>
    <n v="1"/>
    <n v="8"/>
    <n v="6"/>
    <n v="2"/>
    <n v="1"/>
    <n v="4"/>
    <n v="35.200000000000003"/>
    <d v="2015-07-26T01:31:18"/>
    <n v="26"/>
    <x v="2"/>
    <x v="20"/>
  </r>
  <r>
    <n v="286"/>
    <s v="Oregon"/>
    <s v="97212"/>
    <d v="2015-01-22T15:01:44"/>
    <d v="2015-01-22T15:01:51"/>
    <n v="1"/>
    <n v="2"/>
    <n v="4"/>
    <n v="3"/>
    <n v="1"/>
    <n v="4"/>
    <n v="28.8"/>
    <d v="2015-01-22T15:01:48"/>
    <n v="22"/>
    <x v="1"/>
    <x v="10"/>
  </r>
  <r>
    <n v="288"/>
    <m/>
    <m/>
    <d v="2015-07-23T12:55:14"/>
    <d v="2015-07-23T08:55:15"/>
    <n v="1"/>
    <n v="2"/>
    <n v="10"/>
    <n v="13"/>
    <n v="1"/>
    <n v="4"/>
    <n v="70.400000000000006"/>
    <d v="2015-07-23T08:57:34"/>
    <n v="23"/>
    <x v="1"/>
    <x v="18"/>
  </r>
  <r>
    <n v="289"/>
    <s v="California"/>
    <s v="92127"/>
    <d v="2015-06-08T16:23:46"/>
    <d v="2015-06-08T12:23:52"/>
    <n v="1"/>
    <n v="4"/>
    <n v="8"/>
    <n v="2"/>
    <n v="1"/>
    <n v="4"/>
    <n v="28.8"/>
    <d v="2015-06-08T12:23:49"/>
    <n v="8"/>
    <x v="3"/>
    <x v="7"/>
  </r>
  <r>
    <n v="290"/>
    <s v="Pennsylvania"/>
    <s v="19422"/>
    <d v="2015-03-09T09:35:41"/>
    <d v="2015-03-09T09:35:47"/>
    <n v="1"/>
    <n v="4"/>
    <n v="4"/>
    <n v="1"/>
    <n v="1"/>
    <n v="2"/>
    <n v="36"/>
    <d v="2015-03-09T09:35:42"/>
    <n v="9"/>
    <x v="3"/>
    <x v="15"/>
  </r>
  <r>
    <n v="291"/>
    <s v="District of Columbia"/>
    <s v="20017"/>
    <d v="2015-06-21T16:10:06"/>
    <d v="2015-06-21T16:10:10"/>
    <n v="1"/>
    <n v="4"/>
    <n v="2"/>
    <n v="2"/>
    <n v="1"/>
    <n v="1"/>
    <n v="28.8"/>
    <d v="2015-06-21T16:10:07"/>
    <n v="21"/>
    <x v="2"/>
    <x v="4"/>
  </r>
  <r>
    <n v="292"/>
    <s v="Illinois"/>
    <s v="60130"/>
    <d v="2015-04-06T15:13:26"/>
    <d v="2015-04-06T15:13:30"/>
    <n v="1"/>
    <n v="2"/>
    <n v="10"/>
    <n v="4"/>
    <n v="1"/>
    <n v="4"/>
    <n v="28.8"/>
    <d v="2015-04-06T15:15:18"/>
    <n v="6"/>
    <x v="3"/>
    <x v="10"/>
  </r>
  <r>
    <n v="293"/>
    <s v="Oregon"/>
    <s v="97455"/>
    <d v="2014-12-18T21:54:10"/>
    <d v="2015-09-20T18:10:19"/>
    <n v="3"/>
    <n v="2"/>
    <n v="2"/>
    <n v="4"/>
    <n v="1"/>
    <n v="2"/>
    <n v="140.80000000000001"/>
    <d v="2015-09-20T18:12:55"/>
    <n v="20"/>
    <x v="2"/>
    <x v="6"/>
  </r>
  <r>
    <n v="294"/>
    <s v="Kansas"/>
    <s v="66207"/>
    <d v="2015-06-09T22:26:50"/>
    <d v="2015-06-09T22:26:54"/>
    <n v="1"/>
    <n v="10"/>
    <n v="12"/>
    <n v="5"/>
    <n v="1"/>
    <n v="6"/>
    <n v="45.6"/>
    <d v="2015-06-09T22:26:51"/>
    <n v="9"/>
    <x v="5"/>
    <x v="1"/>
  </r>
  <r>
    <n v="295"/>
    <s v="California"/>
    <s v="90024"/>
    <d v="2015-05-01T20:07:37"/>
    <d v="2015-05-01T20:07:42"/>
    <n v="1"/>
    <n v="0"/>
    <n v="6"/>
    <n v="1"/>
    <n v="1"/>
    <n v="5"/>
    <n v="36"/>
    <d v="2015-05-01T20:07:38"/>
    <n v="1"/>
    <x v="4"/>
    <x v="5"/>
  </r>
  <r>
    <n v="296"/>
    <s v="Wisconsin"/>
    <s v="54304"/>
    <d v="2015-04-01T13:55:15"/>
    <d v="2015-04-01T13:55:19"/>
    <n v="1"/>
    <n v="0"/>
    <n v="2"/>
    <n v="1"/>
    <n v="1"/>
    <n v="1"/>
    <n v="36"/>
    <d v="2015-04-01T13:55:15"/>
    <n v="1"/>
    <x v="6"/>
    <x v="17"/>
  </r>
  <r>
    <n v="297"/>
    <s v="New York"/>
    <s v="14150"/>
    <d v="2015-01-10T20:59:49"/>
    <d v="2015-01-10T20:59:53"/>
    <n v="1"/>
    <n v="4"/>
    <n v="16"/>
    <n v="4"/>
    <n v="1"/>
    <n v="5"/>
    <n v="36"/>
    <d v="2015-01-10T21:04:23"/>
    <n v="10"/>
    <x v="0"/>
    <x v="2"/>
  </r>
  <r>
    <n v="298"/>
    <s v="North Carolina"/>
    <s v="28078"/>
    <d v="2015-07-02T21:19:35"/>
    <d v="2015-09-12T22:38:15"/>
    <n v="2"/>
    <n v="3"/>
    <n v="4"/>
    <n v="2"/>
    <n v="1"/>
    <n v="2"/>
    <n v="74.8"/>
    <d v="2015-09-12T22:44:24"/>
    <n v="12"/>
    <x v="0"/>
    <x v="1"/>
  </r>
  <r>
    <n v="299"/>
    <s v="Minnesota"/>
    <s v="55014"/>
    <d v="2015-09-19T17:12:53"/>
    <d v="2015-09-19T21:39:29"/>
    <n v="7"/>
    <n v="8"/>
    <n v="2"/>
    <n v="2"/>
    <n v="1"/>
    <n v="1"/>
    <n v="56.32"/>
    <d v="2015-09-19T17:12:54"/>
    <n v="19"/>
    <x v="0"/>
    <x v="8"/>
  </r>
  <r>
    <n v="300"/>
    <s v="Connecticut"/>
    <s v="06854"/>
    <d v="2015-01-15T20:04:57"/>
    <d v="2015-02-07T19:49:26"/>
    <n v="2"/>
    <n v="1"/>
    <n v="7"/>
    <n v="4"/>
    <n v="2"/>
    <n v="4"/>
    <n v="9"/>
    <d v="2015-01-15T20:04:59"/>
    <n v="15"/>
    <x v="1"/>
    <x v="5"/>
  </r>
  <r>
    <n v="301"/>
    <s v="Wisconsin"/>
    <s v="54911"/>
    <d v="2015-02-28T16:05:47"/>
    <d v="2015-02-28T16:05:52"/>
    <n v="1"/>
    <n v="4"/>
    <n v="2"/>
    <n v="1"/>
    <n v="1"/>
    <n v="2"/>
    <n v="9"/>
    <d v="2015-02-28T16:05:48"/>
    <n v="28"/>
    <x v="0"/>
    <x v="4"/>
  </r>
  <r>
    <n v="302"/>
    <s v="New York"/>
    <s v="11215"/>
    <d v="2015-01-14T12:24:43"/>
    <d v="2015-01-14T12:24:47"/>
    <n v="1"/>
    <n v="0"/>
    <n v="2"/>
    <n v="2"/>
    <n v="1"/>
    <n v="2"/>
    <n v="9"/>
    <d v="2015-01-14T12:24:44"/>
    <n v="14"/>
    <x v="6"/>
    <x v="7"/>
  </r>
  <r>
    <n v="303"/>
    <m/>
    <m/>
    <d v="2015-05-20T00:45:06"/>
    <d v="2015-05-19T20:45:08"/>
    <n v="1"/>
    <n v="2"/>
    <n v="2"/>
    <n v="2"/>
    <n v="1"/>
    <n v="5"/>
    <n v="36"/>
    <d v="2015-05-19T20:49:25"/>
    <n v="19"/>
    <x v="5"/>
    <x v="5"/>
  </r>
  <r>
    <n v="304"/>
    <m/>
    <m/>
    <d v="2015-08-15T05:58:01"/>
    <d v="2015-08-15T01:58:02"/>
    <n v="1"/>
    <n v="2"/>
    <n v="6"/>
    <n v="4"/>
    <n v="1"/>
    <n v="1"/>
    <n v="29.92"/>
    <d v="2015-08-15T02:01:36"/>
    <n v="15"/>
    <x v="0"/>
    <x v="21"/>
  </r>
  <r>
    <n v="305"/>
    <s v="Maryland"/>
    <s v="21231"/>
    <d v="2015-07-10T16:07:05"/>
    <d v="2015-07-10T16:07:09"/>
    <n v="1"/>
    <n v="2"/>
    <n v="2"/>
    <n v="2"/>
    <n v="1"/>
    <n v="1"/>
    <n v="28.8"/>
    <d v="2015-07-10T16:07:06"/>
    <n v="10"/>
    <x v="4"/>
    <x v="4"/>
  </r>
  <r>
    <n v="306"/>
    <s v="New York"/>
    <s v="10017"/>
    <d v="2013-09-20T19:18:58"/>
    <d v="2015-01-23T10:12:06"/>
    <n v="3"/>
    <n v="2"/>
    <n v="2"/>
    <n v="2"/>
    <n v="1"/>
    <n v="2"/>
    <n v="9"/>
    <d v="2015-01-20T14:13:02"/>
    <n v="20"/>
    <x v="5"/>
    <x v="9"/>
  </r>
  <r>
    <n v="308"/>
    <s v="Tennessee"/>
    <s v="37090"/>
    <d v="2015-02-18T19:42:45"/>
    <d v="2015-03-10T22:09:32"/>
    <n v="3"/>
    <n v="1"/>
    <n v="14"/>
    <n v="10"/>
    <n v="3"/>
    <n v="7"/>
    <n v="8"/>
    <d v="2015-02-18T19:46:45"/>
    <n v="18"/>
    <x v="6"/>
    <x v="12"/>
  </r>
  <r>
    <n v="309"/>
    <s v="Michigan"/>
    <s v="49684"/>
    <d v="2015-08-29T16:44:31"/>
    <d v="2015-08-29T16:44:34"/>
    <n v="1"/>
    <n v="2"/>
    <n v="2"/>
    <n v="2"/>
    <n v="1"/>
    <n v="1"/>
    <n v="40.799999999999997"/>
    <d v="2015-08-29T16:44:31"/>
    <n v="29"/>
    <x v="0"/>
    <x v="4"/>
  </r>
  <r>
    <n v="310"/>
    <s v="Texas"/>
    <s v="75002"/>
    <d v="2015-05-31T15:09:36"/>
    <d v="2015-05-31T11:09:37"/>
    <n v="1"/>
    <n v="6"/>
    <n v="2"/>
    <n v="4"/>
    <n v="1"/>
    <n v="4"/>
    <n v="25.6"/>
    <d v="2015-05-31T11:12:30"/>
    <n v="31"/>
    <x v="2"/>
    <x v="3"/>
  </r>
  <r>
    <n v="311"/>
    <s v="South Carolina"/>
    <s v="29902"/>
    <d v="2015-09-02T16:36:12"/>
    <d v="2015-09-02T16:36:19"/>
    <n v="1"/>
    <n v="0"/>
    <n v="2"/>
    <n v="2"/>
    <n v="1"/>
    <n v="1"/>
    <n v="29.92"/>
    <d v="2015-09-02T16:36:12"/>
    <n v="2"/>
    <x v="6"/>
    <x v="4"/>
  </r>
  <r>
    <n v="312"/>
    <s v="New York"/>
    <s v="11754"/>
    <d v="2015-01-30T22:00:08"/>
    <d v="2015-01-30T22:00:20"/>
    <n v="1"/>
    <n v="2"/>
    <n v="10"/>
    <n v="1"/>
    <n v="1"/>
    <n v="5"/>
    <n v="36"/>
    <d v="2015-01-30T22:00:10"/>
    <n v="30"/>
    <x v="4"/>
    <x v="1"/>
  </r>
  <r>
    <n v="313"/>
    <m/>
    <m/>
    <d v="2015-06-06T18:00:24"/>
    <d v="2015-06-06T14:00:28"/>
    <n v="1"/>
    <n v="0"/>
    <n v="2"/>
    <n v="3"/>
    <n v="1"/>
    <n v="1"/>
    <n v="28.8"/>
    <d v="2015-06-06T14:04:56"/>
    <n v="6"/>
    <x v="0"/>
    <x v="9"/>
  </r>
  <r>
    <n v="314"/>
    <s v="New Jersey"/>
    <s v="07733"/>
    <d v="2015-04-23T08:34:38"/>
    <d v="2015-04-23T17:10:38"/>
    <n v="4"/>
    <n v="0"/>
    <n v="4"/>
    <n v="2"/>
    <n v="1"/>
    <n v="2"/>
    <n v="14.4"/>
    <d v="2015-04-23T08:34:39"/>
    <n v="23"/>
    <x v="1"/>
    <x v="18"/>
  </r>
  <r>
    <n v="315"/>
    <s v="Pennsylvania"/>
    <s v="15853"/>
    <d v="2015-01-21T12:57:02"/>
    <d v="2015-01-26T10:08:29"/>
    <n v="4"/>
    <n v="0"/>
    <n v="8"/>
    <n v="4"/>
    <n v="1"/>
    <n v="4"/>
    <n v="28.8"/>
    <d v="2015-01-21T12:57:03"/>
    <n v="21"/>
    <x v="6"/>
    <x v="7"/>
  </r>
  <r>
    <n v="316"/>
    <s v="Texas"/>
    <s v="78411"/>
    <d v="2015-06-27T21:47:57"/>
    <d v="2015-06-27T21:48:01"/>
    <n v="1"/>
    <n v="4"/>
    <n v="2"/>
    <n v="2"/>
    <n v="1"/>
    <n v="1"/>
    <n v="28.8"/>
    <d v="2015-06-27T21:47:57"/>
    <n v="27"/>
    <x v="0"/>
    <x v="2"/>
  </r>
  <r>
    <n v="317"/>
    <s v="Maryland"/>
    <s v="20774"/>
    <d v="2015-03-04T21:10:42"/>
    <d v="2015-03-04T21:10:47"/>
    <n v="1"/>
    <n v="0"/>
    <n v="4"/>
    <n v="1"/>
    <n v="1"/>
    <n v="4"/>
    <n v="36"/>
    <d v="2015-03-04T21:10:43"/>
    <n v="4"/>
    <x v="6"/>
    <x v="2"/>
  </r>
  <r>
    <n v="318"/>
    <s v="Kansas"/>
    <s v="66611"/>
    <d v="2015-07-18T22:20:59"/>
    <d v="2015-07-18T18:21:02"/>
    <n v="1"/>
    <n v="2"/>
    <n v="4"/>
    <n v="2"/>
    <n v="1"/>
    <n v="1"/>
    <n v="29.92"/>
    <d v="2015-07-18T18:21:00"/>
    <n v="18"/>
    <x v="0"/>
    <x v="6"/>
  </r>
  <r>
    <n v="319"/>
    <s v="Tennessee"/>
    <s v="37129"/>
    <d v="2015-04-16T20:34:21"/>
    <d v="2015-04-16T20:34:24"/>
    <n v="1"/>
    <n v="0"/>
    <n v="2"/>
    <n v="1"/>
    <n v="1"/>
    <n v="3"/>
    <n v="27"/>
    <d v="2015-04-16T20:34:21"/>
    <n v="16"/>
    <x v="1"/>
    <x v="5"/>
  </r>
  <r>
    <n v="320"/>
    <s v="New York"/>
    <s v="11747"/>
    <d v="2015-01-28T15:18:42"/>
    <d v="2015-01-28T15:19:21"/>
    <n v="1"/>
    <n v="4"/>
    <n v="2"/>
    <n v="3"/>
    <n v="1"/>
    <n v="1"/>
    <n v="57.6"/>
    <d v="2015-01-28T15:19:17"/>
    <n v="28"/>
    <x v="6"/>
    <x v="10"/>
  </r>
  <r>
    <n v="321"/>
    <s v="Florida"/>
    <s v="32459"/>
    <d v="2015-06-30T23:33:52"/>
    <d v="2015-06-30T23:33:56"/>
    <n v="1"/>
    <n v="4"/>
    <n v="4"/>
    <n v="4"/>
    <n v="1"/>
    <n v="2"/>
    <n v="32.799999999999997"/>
    <d v="2015-06-30T23:33:53"/>
    <n v="30"/>
    <x v="5"/>
    <x v="0"/>
  </r>
  <r>
    <n v="322"/>
    <s v="New York"/>
    <s v="11554"/>
    <d v="2015-08-19T21:23:22"/>
    <d v="2015-08-26T08:13:58"/>
    <n v="3"/>
    <n v="3"/>
    <n v="3"/>
    <n v="5"/>
    <n v="1"/>
    <n v="1"/>
    <n v="26.4"/>
    <d v="2015-08-26T08:17:14"/>
    <n v="26"/>
    <x v="6"/>
    <x v="18"/>
  </r>
  <r>
    <n v="323"/>
    <s v="Kentucky"/>
    <s v="40444"/>
    <d v="2015-07-20T14:45:37"/>
    <d v="2015-07-20T10:45:41"/>
    <n v="1"/>
    <n v="6"/>
    <n v="2"/>
    <n v="2"/>
    <n v="1"/>
    <n v="1"/>
    <n v="29.92"/>
    <d v="2015-07-20T10:45:39"/>
    <n v="20"/>
    <x v="3"/>
    <x v="13"/>
  </r>
  <r>
    <n v="324"/>
    <s v="Alabama"/>
    <s v="35601"/>
    <d v="2015-06-03T07:11:26"/>
    <d v="2015-06-03T07:11:29"/>
    <n v="1"/>
    <n v="0"/>
    <n v="4"/>
    <n v="2"/>
    <n v="1"/>
    <n v="2"/>
    <n v="18"/>
    <d v="2015-06-03T07:11:27"/>
    <n v="3"/>
    <x v="6"/>
    <x v="16"/>
  </r>
  <r>
    <n v="325"/>
    <s v="New Jersey"/>
    <s v="07030"/>
    <d v="2015-02-14T11:06:54"/>
    <d v="2015-02-17T12:55:31"/>
    <n v="5"/>
    <n v="0"/>
    <n v="6"/>
    <n v="3"/>
    <n v="1"/>
    <n v="2"/>
    <n v="9"/>
    <d v="2015-02-14T11:06:55"/>
    <n v="14"/>
    <x v="0"/>
    <x v="3"/>
  </r>
  <r>
    <n v="326"/>
    <s v="Virginia"/>
    <s v="22206"/>
    <d v="2015-05-19T11:13:32"/>
    <d v="2015-05-19T11:13:35"/>
    <n v="1"/>
    <n v="6"/>
    <n v="7"/>
    <n v="2"/>
    <n v="1"/>
    <n v="1"/>
    <n v="28.8"/>
    <d v="2015-05-19T11:13:33"/>
    <n v="19"/>
    <x v="5"/>
    <x v="3"/>
  </r>
  <r>
    <n v="327"/>
    <s v="Virginia"/>
    <s v="23805"/>
    <d v="2015-03-03T14:36:54"/>
    <d v="2015-03-03T14:36:59"/>
    <n v="1"/>
    <n v="0"/>
    <n v="2"/>
    <n v="1"/>
    <n v="1"/>
    <n v="1"/>
    <n v="36"/>
    <d v="2015-03-03T14:36:55"/>
    <n v="3"/>
    <x v="5"/>
    <x v="9"/>
  </r>
  <r>
    <n v="328"/>
    <s v="Texas"/>
    <s v="79423"/>
    <d v="2015-03-24T20:10:26"/>
    <d v="2015-03-24T22:11:57"/>
    <n v="3"/>
    <n v="0"/>
    <n v="10"/>
    <n v="1"/>
    <n v="1"/>
    <n v="4"/>
    <n v="28.8"/>
    <d v="2015-03-24T20:10:27"/>
    <n v="24"/>
    <x v="5"/>
    <x v="5"/>
  </r>
  <r>
    <n v="329"/>
    <s v="New York"/>
    <s v="11210"/>
    <d v="2015-05-25T23:12:26"/>
    <d v="2015-05-25T19:12:28"/>
    <n v="1"/>
    <n v="4"/>
    <n v="2"/>
    <n v="2"/>
    <n v="1"/>
    <n v="1"/>
    <n v="28.8"/>
    <d v="2015-05-25T19:14:16"/>
    <n v="25"/>
    <x v="3"/>
    <x v="12"/>
  </r>
  <r>
    <n v="330"/>
    <s v="Florida"/>
    <s v="32835"/>
    <d v="2015-07-20T12:19:18"/>
    <d v="2015-07-20T08:19:23"/>
    <n v="1"/>
    <n v="14"/>
    <n v="10"/>
    <n v="2"/>
    <n v="1"/>
    <n v="4"/>
    <n v="35.200000000000003"/>
    <d v="2015-07-20T08:19:20"/>
    <n v="20"/>
    <x v="3"/>
    <x v="18"/>
  </r>
  <r>
    <n v="331"/>
    <s v="California"/>
    <s v="94028"/>
    <d v="2015-08-30T14:43:34"/>
    <d v="2015-08-30T14:43:38"/>
    <n v="1"/>
    <n v="2"/>
    <n v="2"/>
    <n v="2"/>
    <n v="1"/>
    <n v="1"/>
    <n v="56.32"/>
    <d v="2015-08-30T14:43:34"/>
    <n v="30"/>
    <x v="2"/>
    <x v="9"/>
  </r>
  <r>
    <n v="332"/>
    <s v="New Jersey"/>
    <s v="07642"/>
    <d v="2015-04-28T23:33:21"/>
    <d v="2015-04-28T23:33:26"/>
    <n v="1"/>
    <n v="0"/>
    <n v="4"/>
    <n v="1"/>
    <n v="1"/>
    <n v="4"/>
    <n v="36"/>
    <d v="2015-04-28T23:33:21"/>
    <n v="28"/>
    <x v="5"/>
    <x v="0"/>
  </r>
  <r>
    <n v="333"/>
    <s v="District of Columbia"/>
    <s v="20010"/>
    <d v="2015-06-03T20:53:51"/>
    <d v="2015-06-03T20:53:55"/>
    <n v="1"/>
    <n v="6"/>
    <n v="4"/>
    <n v="2"/>
    <n v="1"/>
    <n v="2"/>
    <n v="57.6"/>
    <d v="2015-06-03T20:53:52"/>
    <n v="3"/>
    <x v="6"/>
    <x v="5"/>
  </r>
  <r>
    <n v="334"/>
    <m/>
    <m/>
    <d v="2015-02-19T16:12:06"/>
    <d v="2015-02-19T16:12:11"/>
    <n v="1"/>
    <n v="0"/>
    <n v="6"/>
    <n v="2"/>
    <n v="1"/>
    <n v="3"/>
    <n v="18"/>
    <d v="2015-02-19T16:12:07"/>
    <n v="19"/>
    <x v="1"/>
    <x v="4"/>
  </r>
  <r>
    <n v="335"/>
    <m/>
    <m/>
    <d v="2015-02-26T12:32:17"/>
    <d v="2015-03-27T09:41:29"/>
    <n v="3"/>
    <n v="3"/>
    <n v="5"/>
    <n v="4"/>
    <n v="1"/>
    <n v="1"/>
    <n v="36"/>
    <d v="2015-03-27T09:43:52"/>
    <n v="27"/>
    <x v="4"/>
    <x v="15"/>
  </r>
  <r>
    <n v="336"/>
    <s v="New York"/>
    <s v="10022"/>
    <d v="2015-05-19T20:42:51"/>
    <d v="2015-05-19T16:42:53"/>
    <n v="1"/>
    <n v="6"/>
    <n v="6"/>
    <n v="2"/>
    <n v="1"/>
    <n v="12"/>
    <n v="86.4"/>
    <d v="2015-05-19T16:53:05"/>
    <n v="19"/>
    <x v="5"/>
    <x v="4"/>
  </r>
  <r>
    <n v="337"/>
    <s v="California"/>
    <s v="92866"/>
    <d v="2015-02-08T17:33:27"/>
    <d v="2015-02-08T17:33:31"/>
    <n v="1"/>
    <n v="0"/>
    <n v="4"/>
    <n v="3"/>
    <n v="1"/>
    <n v="2"/>
    <n v="9"/>
    <d v="2015-02-08T17:33:28"/>
    <n v="8"/>
    <x v="2"/>
    <x v="8"/>
  </r>
  <r>
    <n v="338"/>
    <s v="California"/>
    <s v="90013"/>
    <d v="2015-05-30T03:55:18"/>
    <d v="2015-05-30T03:55:22"/>
    <n v="1"/>
    <n v="2"/>
    <n v="2"/>
    <n v="2"/>
    <n v="1"/>
    <n v="1"/>
    <n v="28.8"/>
    <d v="2015-05-30T03:55:19"/>
    <n v="30"/>
    <x v="0"/>
    <x v="19"/>
  </r>
  <r>
    <n v="339"/>
    <m/>
    <m/>
    <d v="2015-03-08T16:59:55"/>
    <d v="2015-03-09T19:19:40"/>
    <n v="5"/>
    <n v="2"/>
    <n v="3"/>
    <n v="2"/>
    <n v="1"/>
    <n v="2"/>
    <n v="64.8"/>
    <d v="2015-03-08T17:05:16"/>
    <n v="8"/>
    <x v="2"/>
    <x v="8"/>
  </r>
  <r>
    <n v="340"/>
    <s v="California"/>
    <s v="93065"/>
    <d v="2015-01-16T14:49:10"/>
    <d v="2015-01-16T14:49:14"/>
    <n v="1"/>
    <n v="0"/>
    <n v="8"/>
    <n v="2"/>
    <n v="1"/>
    <n v="4"/>
    <n v="28.8"/>
    <d v="2015-01-16T14:49:11"/>
    <n v="16"/>
    <x v="4"/>
    <x v="9"/>
  </r>
  <r>
    <n v="341"/>
    <s v="North Carolina"/>
    <s v="27603"/>
    <d v="2015-03-17T10:24:03"/>
    <d v="2015-03-17T10:24:09"/>
    <n v="1"/>
    <n v="0"/>
    <n v="8"/>
    <n v="1"/>
    <n v="1"/>
    <n v="4"/>
    <n v="28.8"/>
    <d v="2015-03-17T10:24:04"/>
    <n v="17"/>
    <x v="5"/>
    <x v="13"/>
  </r>
  <r>
    <n v="342"/>
    <m/>
    <m/>
    <d v="2015-05-07T19:54:34"/>
    <d v="2015-05-07T19:25:54"/>
    <n v="2"/>
    <n v="2"/>
    <n v="2"/>
    <n v="5"/>
    <n v="1"/>
    <n v="1"/>
    <n v="57.6"/>
    <d v="2015-05-07T16:02:37"/>
    <n v="7"/>
    <x v="1"/>
    <x v="4"/>
  </r>
  <r>
    <n v="343"/>
    <s v="Virginia"/>
    <s v="20176"/>
    <d v="2015-01-16T09:18:39"/>
    <d v="2015-01-22T12:19:52"/>
    <n v="3"/>
    <n v="2"/>
    <n v="2"/>
    <n v="3"/>
    <n v="1"/>
    <n v="1"/>
    <n v="28.8"/>
    <d v="2015-01-16T09:18:40"/>
    <n v="16"/>
    <x v="4"/>
    <x v="15"/>
  </r>
  <r>
    <n v="344"/>
    <s v="Texas"/>
    <s v="77059"/>
    <d v="2015-09-19T11:12:59"/>
    <d v="2015-09-21T13:06:24"/>
    <n v="2"/>
    <n v="2"/>
    <n v="2"/>
    <n v="3"/>
    <n v="1"/>
    <n v="1"/>
    <n v="29.92"/>
    <d v="2015-09-19T11:12:59"/>
    <n v="19"/>
    <x v="0"/>
    <x v="3"/>
  </r>
  <r>
    <n v="345"/>
    <s v="New York"/>
    <s v="10567"/>
    <d v="2015-07-06T22:40:32"/>
    <d v="2015-07-06T18:40:34"/>
    <n v="1"/>
    <n v="4"/>
    <n v="10"/>
    <n v="6"/>
    <n v="1"/>
    <n v="3"/>
    <n v="86.4"/>
    <d v="2015-07-06T19:18:54"/>
    <n v="6"/>
    <x v="3"/>
    <x v="12"/>
  </r>
  <r>
    <n v="346"/>
    <s v="Illinois"/>
    <s v="60074"/>
    <d v="2015-05-21T17:06:10"/>
    <d v="2015-05-21T17:06:14"/>
    <n v="1"/>
    <n v="6"/>
    <n v="8"/>
    <n v="2"/>
    <n v="1"/>
    <n v="4"/>
    <n v="27.2"/>
    <d v="2015-05-21T17:06:11"/>
    <n v="21"/>
    <x v="1"/>
    <x v="8"/>
  </r>
  <r>
    <n v="347"/>
    <s v="Oregon"/>
    <s v="97006"/>
    <d v="2015-06-15T08:01:45"/>
    <d v="2015-06-15T08:01:48"/>
    <n v="1"/>
    <n v="4"/>
    <n v="2"/>
    <n v="2"/>
    <n v="1"/>
    <n v="1"/>
    <n v="25.6"/>
    <d v="2015-06-15T08:01:45"/>
    <n v="15"/>
    <x v="3"/>
    <x v="18"/>
  </r>
  <r>
    <n v="348"/>
    <s v="Connecticut"/>
    <s v="06880"/>
    <d v="2015-02-13T09:41:45"/>
    <d v="2015-02-13T09:41:49"/>
    <n v="1"/>
    <n v="0"/>
    <n v="4"/>
    <n v="10"/>
    <n v="1"/>
    <n v="2"/>
    <n v="9"/>
    <d v="2015-02-13T09:41:46"/>
    <n v="13"/>
    <x v="4"/>
    <x v="15"/>
  </r>
  <r>
    <n v="349"/>
    <s v="Vermont"/>
    <s v="5486"/>
    <d v="2015-09-03T18:09:48"/>
    <d v="2015-09-03T14:09:53"/>
    <n v="1"/>
    <n v="3"/>
    <n v="4"/>
    <n v="2"/>
    <n v="1"/>
    <n v="4"/>
    <n v="119.68"/>
    <d v="2015-09-03T14:09:49"/>
    <n v="3"/>
    <x v="1"/>
    <x v="9"/>
  </r>
  <r>
    <n v="350"/>
    <s v="Missouri"/>
    <s v="63368"/>
    <d v="2015-02-24T19:11:13"/>
    <d v="2015-02-24T19:11:18"/>
    <n v="1"/>
    <n v="0"/>
    <n v="8"/>
    <n v="1"/>
    <n v="1"/>
    <n v="4"/>
    <n v="28.8"/>
    <d v="2015-02-24T19:11:14"/>
    <n v="24"/>
    <x v="5"/>
    <x v="12"/>
  </r>
  <r>
    <n v="351"/>
    <m/>
    <m/>
    <d v="2015-01-04T15:58:52"/>
    <d v="2015-01-04T15:58:55"/>
    <n v="1"/>
    <n v="0"/>
    <n v="6"/>
    <n v="7"/>
    <n v="1"/>
    <n v="2"/>
    <n v="9"/>
    <d v="2015-01-04T16:01:08"/>
    <n v="4"/>
    <x v="2"/>
    <x v="4"/>
  </r>
  <r>
    <n v="352"/>
    <s v="New York"/>
    <s v="11218"/>
    <d v="2015-03-03T15:56:04"/>
    <d v="2015-03-03T15:56:09"/>
    <n v="1"/>
    <n v="2"/>
    <n v="2"/>
    <n v="1"/>
    <n v="1"/>
    <n v="1"/>
    <n v="25.6"/>
    <d v="2015-03-03T15:56:05"/>
    <n v="3"/>
    <x v="5"/>
    <x v="10"/>
  </r>
  <r>
    <n v="353"/>
    <s v="Maryland"/>
    <s v="21702"/>
    <d v="2015-07-08T00:48:33"/>
    <d v="2015-07-07T20:48:37"/>
    <n v="1"/>
    <n v="2"/>
    <n v="4"/>
    <n v="4"/>
    <n v="1"/>
    <n v="1"/>
    <n v="36"/>
    <d v="2015-07-07T20:48:34"/>
    <n v="7"/>
    <x v="5"/>
    <x v="5"/>
  </r>
  <r>
    <n v="354"/>
    <s v="Arizona"/>
    <s v="85392"/>
    <d v="2015-07-16T16:14:34"/>
    <d v="2015-07-16T16:14:39"/>
    <n v="1"/>
    <n v="4"/>
    <n v="4"/>
    <n v="2"/>
    <n v="1"/>
    <n v="2"/>
    <n v="111.2"/>
    <d v="2015-07-16T16:14:35"/>
    <n v="16"/>
    <x v="1"/>
    <x v="4"/>
  </r>
  <r>
    <n v="355"/>
    <s v="Arizona"/>
    <s v="85615"/>
    <d v="2015-05-19T17:50:41"/>
    <d v="2015-05-19T17:50:44"/>
    <n v="1"/>
    <n v="0"/>
    <n v="2"/>
    <n v="2"/>
    <n v="1"/>
    <n v="1"/>
    <n v="27"/>
    <d v="2015-05-19T17:50:41"/>
    <n v="19"/>
    <x v="5"/>
    <x v="8"/>
  </r>
  <r>
    <n v="356"/>
    <s v="Illinois"/>
    <s v="62704"/>
    <d v="2015-08-16T15:54:26"/>
    <d v="2015-08-16T11:54:31"/>
    <n v="1"/>
    <n v="0"/>
    <n v="2"/>
    <n v="2"/>
    <n v="1"/>
    <n v="1"/>
    <n v="29.92"/>
    <d v="2015-08-16T11:54:27"/>
    <n v="16"/>
    <x v="2"/>
    <x v="3"/>
  </r>
  <r>
    <n v="357"/>
    <s v="Tennessee"/>
    <s v="37221"/>
    <d v="2015-07-09T17:42:12"/>
    <d v="2015-07-09T17:42:24"/>
    <n v="1"/>
    <n v="2"/>
    <n v="8"/>
    <n v="4"/>
    <n v="1"/>
    <n v="4"/>
    <n v="28.8"/>
    <d v="2015-07-09T17:42:12"/>
    <n v="9"/>
    <x v="1"/>
    <x v="8"/>
  </r>
  <r>
    <n v="358"/>
    <s v="Illinois"/>
    <s v="60657"/>
    <d v="2015-02-02T10:21:08"/>
    <d v="2015-02-02T10:21:13"/>
    <n v="1"/>
    <n v="0"/>
    <n v="2"/>
    <n v="2"/>
    <n v="1"/>
    <n v="2"/>
    <n v="18"/>
    <d v="2015-02-02T10:44:50"/>
    <n v="2"/>
    <x v="3"/>
    <x v="13"/>
  </r>
  <r>
    <n v="359"/>
    <s v="Michigan"/>
    <s v="48195"/>
    <d v="2015-08-30T22:42:52"/>
    <d v="2015-09-04T13:23:50"/>
    <n v="6"/>
    <n v="5"/>
    <n v="2"/>
    <n v="3"/>
    <n v="1"/>
    <n v="1"/>
    <n v="29.92"/>
    <d v="2015-08-30T18:42:53"/>
    <n v="30"/>
    <x v="2"/>
    <x v="6"/>
  </r>
  <r>
    <n v="360"/>
    <s v="Utah"/>
    <s v="84040"/>
    <d v="2015-08-10T00:46:38"/>
    <d v="2015-08-10T00:46:41"/>
    <n v="1"/>
    <n v="2"/>
    <n v="2"/>
    <n v="3"/>
    <n v="1"/>
    <n v="1"/>
    <n v="29.92"/>
    <d v="2015-08-10T00:46:38"/>
    <n v="10"/>
    <x v="3"/>
    <x v="14"/>
  </r>
  <r>
    <n v="362"/>
    <s v="Alabama"/>
    <s v="35801"/>
    <d v="2015-01-17T14:47:21"/>
    <d v="2015-01-17T14:47:24"/>
    <n v="1"/>
    <n v="2"/>
    <n v="4"/>
    <n v="2"/>
    <n v="1"/>
    <n v="2"/>
    <n v="36"/>
    <d v="2015-01-17T14:47:22"/>
    <n v="17"/>
    <x v="0"/>
    <x v="9"/>
  </r>
  <r>
    <n v="363"/>
    <s v="North Carolina"/>
    <s v="27127"/>
    <d v="2015-04-07T11:05:16"/>
    <d v="2015-04-07T11:05:22"/>
    <n v="1"/>
    <n v="2"/>
    <n v="8"/>
    <n v="1"/>
    <n v="1"/>
    <n v="4"/>
    <n v="28.8"/>
    <d v="2015-04-07T11:05:17"/>
    <n v="7"/>
    <x v="5"/>
    <x v="3"/>
  </r>
  <r>
    <n v="364"/>
    <s v="New Jersey"/>
    <s v="07078"/>
    <d v="2015-06-18T00:32:13"/>
    <d v="2015-06-18T12:41:17"/>
    <n v="2"/>
    <n v="6"/>
    <n v="24"/>
    <n v="6"/>
    <n v="1"/>
    <n v="12"/>
    <n v="81"/>
    <d v="2015-06-17T20:35:38"/>
    <n v="17"/>
    <x v="6"/>
    <x v="5"/>
  </r>
  <r>
    <n v="365"/>
    <s v="California"/>
    <s v="92123"/>
    <d v="2015-03-29T02:41:41"/>
    <d v="2015-03-29T02:41:53"/>
    <n v="1"/>
    <n v="2"/>
    <n v="4"/>
    <n v="1"/>
    <n v="1"/>
    <n v="2"/>
    <n v="14.4"/>
    <d v="2015-03-29T02:41:42"/>
    <n v="29"/>
    <x v="2"/>
    <x v="21"/>
  </r>
  <r>
    <n v="366"/>
    <s v="Georgia"/>
    <s v="30292"/>
    <d v="2015-03-10T17:26:31"/>
    <d v="2015-07-07T16:29:08"/>
    <n v="6"/>
    <n v="5"/>
    <n v="16"/>
    <n v="5"/>
    <n v="1"/>
    <n v="6"/>
    <n v="73.8"/>
    <d v="2015-07-07T16:34:06"/>
    <n v="7"/>
    <x v="5"/>
    <x v="4"/>
  </r>
  <r>
    <n v="367"/>
    <s v="New York"/>
    <s v="10010"/>
    <d v="2015-03-02T13:46:53"/>
    <d v="2015-03-02T13:47:05"/>
    <n v="1"/>
    <n v="0"/>
    <n v="4"/>
    <n v="1"/>
    <n v="1"/>
    <n v="2"/>
    <n v="18"/>
    <d v="2015-03-02T13:47:01"/>
    <n v="2"/>
    <x v="3"/>
    <x v="17"/>
  </r>
  <r>
    <n v="368"/>
    <m/>
    <m/>
    <d v="2015-08-22T01:26:38"/>
    <d v="2015-08-21T21:26:39"/>
    <n v="1"/>
    <n v="1"/>
    <n v="2"/>
    <n v="1"/>
    <n v="1"/>
    <n v="2"/>
    <n v="11"/>
    <d v="2015-08-21T21:32:08"/>
    <n v="21"/>
    <x v="4"/>
    <x v="2"/>
  </r>
  <r>
    <n v="369"/>
    <s v="Iowa"/>
    <s v="51038"/>
    <d v="2015-08-27T15:48:06"/>
    <d v="2015-08-27T15:48:07"/>
    <n v="1"/>
    <n v="6"/>
    <n v="4"/>
    <n v="2"/>
    <n v="1"/>
    <n v="2"/>
    <n v="22"/>
    <d v="2015-08-27T15:50:57"/>
    <n v="27"/>
    <x v="1"/>
    <x v="10"/>
  </r>
  <r>
    <n v="370"/>
    <m/>
    <m/>
    <d v="2015-01-23T19:41:04"/>
    <d v="2015-01-23T19:41:22"/>
    <n v="1"/>
    <n v="0"/>
    <n v="4"/>
    <n v="5"/>
    <n v="1"/>
    <n v="2"/>
    <n v="9"/>
    <d v="2015-01-23T19:41:18"/>
    <n v="23"/>
    <x v="4"/>
    <x v="12"/>
  </r>
  <r>
    <n v="371"/>
    <s v="Illinois"/>
    <s v="60655"/>
    <d v="2015-02-13T21:25:48"/>
    <d v="2015-02-19T12:44:15"/>
    <n v="3"/>
    <n v="0"/>
    <n v="2"/>
    <n v="2"/>
    <n v="1"/>
    <n v="1"/>
    <n v="30.6"/>
    <d v="2015-02-13T21:25:49"/>
    <n v="13"/>
    <x v="4"/>
    <x v="2"/>
  </r>
  <r>
    <n v="372"/>
    <s v="Virginia"/>
    <s v="22311"/>
    <d v="2015-08-10T16:22:18"/>
    <d v="2015-08-10T16:22:21"/>
    <n v="1"/>
    <n v="8"/>
    <n v="2"/>
    <n v="6"/>
    <n v="1"/>
    <n v="1"/>
    <n v="29.92"/>
    <d v="2015-08-10T16:22:18"/>
    <n v="10"/>
    <x v="3"/>
    <x v="4"/>
  </r>
  <r>
    <n v="373"/>
    <s v="Oregon"/>
    <s v="97420"/>
    <d v="2015-09-10T23:23:21"/>
    <d v="2015-09-10T23:23:23"/>
    <n v="1"/>
    <n v="1"/>
    <n v="4"/>
    <n v="6"/>
    <n v="1"/>
    <n v="1"/>
    <n v="56.32"/>
    <d v="2015-09-10T23:23:21"/>
    <n v="10"/>
    <x v="1"/>
    <x v="0"/>
  </r>
  <r>
    <n v="374"/>
    <s v="North Carolina"/>
    <s v="27012"/>
    <d v="2015-06-29T13:20:23"/>
    <d v="2015-06-29T09:20:41"/>
    <n v="1"/>
    <n v="4"/>
    <n v="2"/>
    <n v="2"/>
    <n v="1"/>
    <n v="1"/>
    <n v="72"/>
    <d v="2015-06-29T09:20:25"/>
    <n v="29"/>
    <x v="3"/>
    <x v="15"/>
  </r>
  <r>
    <n v="375"/>
    <m/>
    <m/>
    <d v="2015-07-06T11:42:08"/>
    <d v="2015-07-06T07:42:09"/>
    <n v="1"/>
    <n v="2"/>
    <n v="10"/>
    <n v="11"/>
    <n v="1"/>
    <n v="2"/>
    <n v="18"/>
    <d v="2015-07-06T07:43:44"/>
    <n v="6"/>
    <x v="3"/>
    <x v="16"/>
  </r>
  <r>
    <n v="376"/>
    <s v="Massachusetts"/>
    <s v="01267"/>
    <d v="2015-07-16T11:21:01"/>
    <d v="2015-07-16T11:21:04"/>
    <n v="1"/>
    <n v="4"/>
    <n v="4"/>
    <n v="2"/>
    <n v="1"/>
    <n v="2"/>
    <n v="18.399999999999999"/>
    <d v="2015-07-16T11:21:01"/>
    <n v="16"/>
    <x v="1"/>
    <x v="3"/>
  </r>
  <r>
    <n v="377"/>
    <s v="Massachusetts"/>
    <s v="02653"/>
    <d v="2015-01-29T21:50:08"/>
    <d v="2015-01-29T21:50:14"/>
    <n v="1"/>
    <n v="2"/>
    <n v="12"/>
    <n v="1"/>
    <n v="1"/>
    <n v="12"/>
    <n v="91.8"/>
    <d v="2015-01-29T21:50:10"/>
    <n v="29"/>
    <x v="1"/>
    <x v="2"/>
  </r>
  <r>
    <n v="378"/>
    <s v="North Carolina"/>
    <s v="28411"/>
    <d v="2015-07-07T08:27:45"/>
    <d v="2015-07-07T08:27:48"/>
    <n v="1"/>
    <n v="0"/>
    <n v="2"/>
    <n v="2"/>
    <n v="1"/>
    <n v="4"/>
    <n v="28.8"/>
    <d v="2015-07-07T08:27:45"/>
    <n v="7"/>
    <x v="5"/>
    <x v="18"/>
  </r>
  <r>
    <n v="379"/>
    <s v="South Carolina"/>
    <s v="29715"/>
    <d v="2015-04-23T10:15:49"/>
    <d v="2015-04-24T09:16:21"/>
    <n v="2"/>
    <n v="1"/>
    <n v="6"/>
    <n v="1"/>
    <n v="1"/>
    <n v="3"/>
    <n v="27"/>
    <d v="2015-04-23T10:15:50"/>
    <n v="23"/>
    <x v="1"/>
    <x v="13"/>
  </r>
  <r>
    <n v="380"/>
    <s v="New Hampshire"/>
    <s v="03755"/>
    <d v="2015-07-09T12:14:58"/>
    <d v="2015-07-09T08:15:04"/>
    <n v="1"/>
    <n v="4"/>
    <n v="6"/>
    <n v="2"/>
    <n v="1"/>
    <n v="3"/>
    <n v="105.6"/>
    <d v="2015-07-09T08:14:59"/>
    <n v="9"/>
    <x v="1"/>
    <x v="18"/>
  </r>
  <r>
    <n v="381"/>
    <s v="Pennsylvania"/>
    <s v="18433"/>
    <d v="2015-06-04T13:21:58"/>
    <d v="2015-06-04T13:22:02"/>
    <n v="1"/>
    <n v="4"/>
    <n v="10"/>
    <n v="2"/>
    <n v="1"/>
    <n v="5"/>
    <n v="36"/>
    <d v="2015-06-04T13:21:58"/>
    <n v="4"/>
    <x v="1"/>
    <x v="17"/>
  </r>
  <r>
    <n v="382"/>
    <m/>
    <m/>
    <d v="2015-02-28T21:08:22"/>
    <d v="2015-02-28T21:08:27"/>
    <n v="1"/>
    <n v="2"/>
    <n v="4"/>
    <n v="4"/>
    <n v="1"/>
    <n v="2"/>
    <n v="18"/>
    <d v="2015-02-28T21:13:24"/>
    <n v="28"/>
    <x v="0"/>
    <x v="2"/>
  </r>
  <r>
    <n v="383"/>
    <s v="Minnesota"/>
    <s v="55419"/>
    <d v="2015-06-29T14:25:53"/>
    <d v="2015-06-30T08:00:08"/>
    <n v="3"/>
    <n v="0"/>
    <n v="2"/>
    <n v="3"/>
    <n v="1"/>
    <n v="1"/>
    <n v="28.8"/>
    <d v="2015-06-29T14:25:53"/>
    <n v="29"/>
    <x v="3"/>
    <x v="9"/>
  </r>
  <r>
    <n v="384"/>
    <s v="Massachusetts"/>
    <s v="01440"/>
    <d v="2015-07-12T10:52:39"/>
    <d v="2015-07-12T10:53:10"/>
    <n v="1"/>
    <n v="2"/>
    <n v="8"/>
    <n v="2"/>
    <n v="1"/>
    <n v="4"/>
    <n v="28.8"/>
    <d v="2015-07-12T10:52:39"/>
    <n v="12"/>
    <x v="2"/>
    <x v="13"/>
  </r>
  <r>
    <n v="385"/>
    <s v="Washington"/>
    <s v="98516"/>
    <d v="2015-02-12T16:22:54"/>
    <d v="2015-02-12T16:22:57"/>
    <n v="1"/>
    <n v="2"/>
    <n v="2"/>
    <n v="1"/>
    <n v="1"/>
    <n v="1"/>
    <n v="28.8"/>
    <d v="2015-02-12T16:22:55"/>
    <n v="12"/>
    <x v="1"/>
    <x v="4"/>
  </r>
  <r>
    <n v="386"/>
    <s v="Ohio"/>
    <s v="43606"/>
    <d v="2015-01-21T08:14:33"/>
    <d v="2015-02-11T08:18:35"/>
    <n v="3"/>
    <n v="0"/>
    <n v="4"/>
    <n v="3"/>
    <n v="1"/>
    <n v="4"/>
    <n v="28.8"/>
    <d v="2015-01-21T08:14:34"/>
    <n v="21"/>
    <x v="6"/>
    <x v="18"/>
  </r>
  <r>
    <n v="387"/>
    <s v="New York"/>
    <s v="14209"/>
    <d v="2015-07-01T13:06:28"/>
    <d v="2015-07-01T13:06:32"/>
    <n v="1"/>
    <n v="2"/>
    <n v="4"/>
    <n v="2"/>
    <n v="1"/>
    <n v="2"/>
    <n v="57.6"/>
    <d v="2015-07-01T13:06:28"/>
    <n v="1"/>
    <x v="6"/>
    <x v="17"/>
  </r>
  <r>
    <n v="388"/>
    <s v="Georgia"/>
    <s v="30813"/>
    <d v="2015-03-22T18:36:03"/>
    <d v="2015-03-22T18:36:09"/>
    <n v="1"/>
    <n v="0"/>
    <n v="6"/>
    <n v="1"/>
    <n v="1"/>
    <n v="6"/>
    <n v="43.2"/>
    <d v="2015-03-22T18:36:04"/>
    <n v="22"/>
    <x v="2"/>
    <x v="6"/>
  </r>
  <r>
    <n v="389"/>
    <s v="Florida"/>
    <s v="32164"/>
    <d v="2015-01-23T07:23:13"/>
    <d v="2015-01-23T07:23:18"/>
    <n v="1"/>
    <n v="10"/>
    <n v="6"/>
    <n v="2"/>
    <n v="1"/>
    <n v="2"/>
    <n v="9"/>
    <d v="2015-01-23T07:23:15"/>
    <n v="23"/>
    <x v="4"/>
    <x v="16"/>
  </r>
  <r>
    <n v="390"/>
    <s v="California"/>
    <s v="94544"/>
    <d v="2015-05-22T10:38:17"/>
    <d v="2015-05-22T10:38:20"/>
    <n v="1"/>
    <n v="2"/>
    <n v="2"/>
    <n v="2"/>
    <n v="1"/>
    <n v="1"/>
    <n v="28.8"/>
    <d v="2015-05-22T10:38:18"/>
    <n v="22"/>
    <x v="4"/>
    <x v="13"/>
  </r>
  <r>
    <n v="391"/>
    <s v="California"/>
    <s v="94122"/>
    <d v="2015-03-10T21:17:07"/>
    <d v="2015-03-11T00:57:03"/>
    <n v="2"/>
    <n v="2"/>
    <n v="8"/>
    <n v="1"/>
    <n v="1"/>
    <n v="4"/>
    <n v="28.8"/>
    <d v="2015-03-10T21:17:09"/>
    <n v="10"/>
    <x v="5"/>
    <x v="2"/>
  </r>
  <r>
    <n v="392"/>
    <s v="Florida"/>
    <s v="32792"/>
    <d v="2015-02-20T18:04:43"/>
    <d v="2015-02-20T18:04:48"/>
    <n v="1"/>
    <n v="0"/>
    <n v="6"/>
    <n v="1"/>
    <n v="1"/>
    <n v="3"/>
    <n v="18"/>
    <d v="2015-02-20T18:04:44"/>
    <n v="20"/>
    <x v="4"/>
    <x v="6"/>
  </r>
  <r>
    <n v="393"/>
    <m/>
    <m/>
    <d v="2015-01-22T12:27:07"/>
    <d v="2015-01-22T12:27:13"/>
    <n v="1"/>
    <n v="0"/>
    <n v="6"/>
    <n v="12"/>
    <n v="1"/>
    <n v="2"/>
    <n v="9"/>
    <d v="2015-01-22T12:29:33"/>
    <n v="22"/>
    <x v="1"/>
    <x v="7"/>
  </r>
  <r>
    <n v="394"/>
    <s v="Missouri"/>
    <s v="63127"/>
    <d v="2015-02-25T18:33:20"/>
    <d v="2015-02-25T18:33:26"/>
    <n v="1"/>
    <n v="0"/>
    <n v="2"/>
    <n v="1"/>
    <n v="1"/>
    <n v="4"/>
    <n v="28.8"/>
    <d v="2015-02-25T18:33:21"/>
    <n v="25"/>
    <x v="6"/>
    <x v="6"/>
  </r>
  <r>
    <n v="395"/>
    <s v="Michigan"/>
    <s v="48045"/>
    <d v="2015-08-12T22:49:41"/>
    <d v="2015-08-12T18:49:45"/>
    <n v="1"/>
    <n v="8"/>
    <n v="6"/>
    <n v="4"/>
    <n v="1"/>
    <n v="3"/>
    <n v="52"/>
    <d v="2015-08-12T18:49:41"/>
    <n v="12"/>
    <x v="6"/>
    <x v="6"/>
  </r>
  <r>
    <n v="397"/>
    <s v="Idaho"/>
    <s v="83702"/>
    <d v="2015-02-02T23:56:04"/>
    <d v="2015-02-02T23:56:10"/>
    <n v="1"/>
    <n v="0"/>
    <n v="4"/>
    <n v="1"/>
    <n v="1"/>
    <n v="2"/>
    <n v="9"/>
    <d v="2015-02-02T23:56:06"/>
    <n v="2"/>
    <x v="3"/>
    <x v="0"/>
  </r>
  <r>
    <n v="398"/>
    <s v="Nevada"/>
    <s v="89121"/>
    <d v="2015-06-09T06:05:56"/>
    <d v="2015-06-09T02:06:01"/>
    <n v="1"/>
    <n v="2"/>
    <n v="2"/>
    <n v="2"/>
    <n v="1"/>
    <n v="4"/>
    <n v="28.8"/>
    <d v="2015-06-09T02:05:58"/>
    <n v="9"/>
    <x v="5"/>
    <x v="21"/>
  </r>
  <r>
    <n v="399"/>
    <m/>
    <m/>
    <d v="2015-08-06T17:28:16"/>
    <d v="2015-08-20T22:56:44"/>
    <n v="2"/>
    <n v="4"/>
    <n v="4"/>
    <n v="4"/>
    <n v="1"/>
    <n v="1"/>
    <n v="28.05"/>
    <d v="2015-08-20T22:58:49"/>
    <n v="20"/>
    <x v="1"/>
    <x v="1"/>
  </r>
  <r>
    <n v="400"/>
    <m/>
    <m/>
    <d v="2015-02-15T02:48:02"/>
    <d v="2015-02-18T18:25:45"/>
    <n v="4"/>
    <n v="4"/>
    <n v="2"/>
    <n v="3"/>
    <n v="1"/>
    <n v="1"/>
    <n v="57.6"/>
    <d v="2015-02-15T02:48:03"/>
    <n v="15"/>
    <x v="2"/>
    <x v="21"/>
  </r>
  <r>
    <n v="401"/>
    <s v="Georgia"/>
    <s v="31047"/>
    <d v="2015-04-18T23:14:29"/>
    <d v="2015-04-18T23:14:35"/>
    <n v="1"/>
    <n v="0"/>
    <n v="10"/>
    <n v="2"/>
    <n v="1"/>
    <n v="6"/>
    <n v="54"/>
    <d v="2015-04-18T23:14:31"/>
    <n v="18"/>
    <x v="0"/>
    <x v="0"/>
  </r>
  <r>
    <n v="402"/>
    <s v="Maryland"/>
    <s v="21218"/>
    <d v="2015-03-16T09:05:56"/>
    <d v="2015-03-16T09:06:04"/>
    <n v="1"/>
    <n v="2"/>
    <n v="2"/>
    <n v="1"/>
    <n v="1"/>
    <n v="1"/>
    <n v="28.8"/>
    <d v="2015-03-16T09:05:57"/>
    <n v="16"/>
    <x v="3"/>
    <x v="15"/>
  </r>
  <r>
    <n v="403"/>
    <s v="Maryland"/>
    <s v="20882"/>
    <d v="2015-06-12T15:03:19"/>
    <d v="2015-06-12T15:03:24"/>
    <n v="1"/>
    <n v="10"/>
    <n v="16"/>
    <n v="2"/>
    <n v="1"/>
    <n v="7"/>
    <n v="72"/>
    <d v="2015-06-12T15:03:20"/>
    <n v="12"/>
    <x v="4"/>
    <x v="10"/>
  </r>
  <r>
    <n v="404"/>
    <s v="New York"/>
    <s v="11375"/>
    <d v="2015-03-17T01:04:09"/>
    <d v="2015-03-17T01:04:15"/>
    <n v="1"/>
    <n v="2"/>
    <n v="8"/>
    <n v="1"/>
    <n v="1"/>
    <n v="4"/>
    <n v="28.8"/>
    <d v="2015-03-17T01:04:10"/>
    <n v="17"/>
    <x v="5"/>
    <x v="20"/>
  </r>
  <r>
    <n v="405"/>
    <s v="Iowa"/>
    <s v="50325"/>
    <d v="2015-05-18T22:16:03"/>
    <d v="2015-05-18T22:16:06"/>
    <n v="1"/>
    <n v="0"/>
    <n v="6"/>
    <n v="2"/>
    <n v="1"/>
    <n v="3"/>
    <n v="21.6"/>
    <d v="2015-05-18T22:16:04"/>
    <n v="18"/>
    <x v="3"/>
    <x v="1"/>
  </r>
  <r>
    <n v="406"/>
    <s v="Arizona"/>
    <s v="85016"/>
    <d v="2015-05-18T11:53:54"/>
    <d v="2015-05-19T09:37:58"/>
    <n v="3"/>
    <n v="4"/>
    <n v="4"/>
    <n v="3"/>
    <n v="1"/>
    <n v="6"/>
    <n v="43.2"/>
    <d v="2015-05-18T11:53:56"/>
    <n v="18"/>
    <x v="3"/>
    <x v="3"/>
  </r>
  <r>
    <n v="407"/>
    <s v="Minnesota"/>
    <s v="55416"/>
    <d v="2015-01-29T12:56:30"/>
    <d v="2015-01-29T12:56:35"/>
    <n v="1"/>
    <n v="4"/>
    <n v="4"/>
    <n v="1"/>
    <n v="1"/>
    <n v="2"/>
    <n v="9"/>
    <d v="2015-01-29T12:56:31"/>
    <n v="29"/>
    <x v="1"/>
    <x v="7"/>
  </r>
  <r>
    <n v="408"/>
    <s v="California"/>
    <s v="94117"/>
    <d v="2015-06-17T02:49:23"/>
    <d v="2015-06-17T02:49:26"/>
    <n v="1"/>
    <n v="2"/>
    <n v="2"/>
    <n v="2"/>
    <n v="1"/>
    <n v="4"/>
    <n v="28.8"/>
    <d v="2015-06-17T02:49:24"/>
    <n v="17"/>
    <x v="6"/>
    <x v="21"/>
  </r>
  <r>
    <n v="409"/>
    <s v="Virginia"/>
    <s v="20136"/>
    <d v="2015-09-19T14:44:03"/>
    <d v="2015-09-19T10:44:07"/>
    <n v="1"/>
    <n v="4"/>
    <n v="4"/>
    <n v="2"/>
    <n v="1"/>
    <n v="2"/>
    <n v="74.8"/>
    <d v="2015-09-19T10:44:04"/>
    <n v="19"/>
    <x v="0"/>
    <x v="13"/>
  </r>
  <r>
    <n v="410"/>
    <s v="California"/>
    <s v="91107"/>
    <d v="2015-02-15T19:52:05"/>
    <d v="2015-02-15T19:52:11"/>
    <n v="1"/>
    <n v="2"/>
    <n v="4"/>
    <n v="1"/>
    <n v="1"/>
    <n v="2"/>
    <n v="57.6"/>
    <d v="2015-02-15T19:52:06"/>
    <n v="15"/>
    <x v="2"/>
    <x v="12"/>
  </r>
  <r>
    <n v="411"/>
    <s v="North Carolina"/>
    <s v="28305"/>
    <d v="2015-09-01T07:37:53"/>
    <d v="2015-09-01T14:59:18"/>
    <n v="5"/>
    <n v="9"/>
    <n v="8"/>
    <n v="10"/>
    <n v="1"/>
    <n v="3"/>
    <n v="86.8"/>
    <d v="2015-09-01T12:43:55"/>
    <n v="1"/>
    <x v="5"/>
    <x v="7"/>
  </r>
  <r>
    <n v="412"/>
    <m/>
    <m/>
    <d v="2015-08-24T16:03:22"/>
    <d v="2015-08-24T12:03:24"/>
    <n v="1"/>
    <n v="6"/>
    <n v="4"/>
    <n v="5"/>
    <n v="1"/>
    <n v="1"/>
    <n v="29.92"/>
    <d v="2015-08-24T12:05:32"/>
    <n v="24"/>
    <x v="3"/>
    <x v="7"/>
  </r>
  <r>
    <n v="413"/>
    <s v="California"/>
    <s v="94521"/>
    <d v="2015-08-17T21:30:54"/>
    <d v="2015-08-17T21:31:00"/>
    <n v="1"/>
    <n v="6"/>
    <n v="8"/>
    <n v="2"/>
    <n v="1"/>
    <n v="4"/>
    <n v="77.55"/>
    <d v="2015-08-17T21:30:55"/>
    <n v="17"/>
    <x v="3"/>
    <x v="2"/>
  </r>
  <r>
    <n v="414"/>
    <s v="Massachusetts"/>
    <s v="02019"/>
    <d v="2015-06-28T19:11:27"/>
    <d v="2015-06-28T21:25:29"/>
    <n v="3"/>
    <n v="6"/>
    <n v="4"/>
    <n v="2"/>
    <n v="1"/>
    <n v="2"/>
    <n v="144"/>
    <d v="2015-06-28T19:11:27"/>
    <n v="28"/>
    <x v="2"/>
    <x v="12"/>
  </r>
  <r>
    <n v="415"/>
    <m/>
    <m/>
    <d v="2015-01-16T19:13:32"/>
    <d v="2015-01-16T19:13:37"/>
    <n v="1"/>
    <n v="0"/>
    <n v="8"/>
    <n v="10"/>
    <n v="1"/>
    <n v="2"/>
    <n v="57.6"/>
    <d v="2015-01-16T19:16:51"/>
    <n v="16"/>
    <x v="4"/>
    <x v="12"/>
  </r>
  <r>
    <n v="416"/>
    <m/>
    <m/>
    <d v="2015-03-05T17:59:14"/>
    <d v="2015-03-05T17:59:19"/>
    <n v="1"/>
    <n v="0"/>
    <n v="4"/>
    <n v="7"/>
    <n v="1"/>
    <n v="2"/>
    <n v="14.4"/>
    <d v="2015-03-05T17:59:15"/>
    <n v="5"/>
    <x v="1"/>
    <x v="8"/>
  </r>
  <r>
    <n v="417"/>
    <s v="North Carolina"/>
    <s v="28374"/>
    <d v="2015-07-16T10:54:32"/>
    <d v="2015-07-16T10:54:36"/>
    <n v="1"/>
    <n v="0"/>
    <n v="2"/>
    <n v="2"/>
    <n v="1"/>
    <n v="1"/>
    <n v="37.4"/>
    <d v="2015-07-16T10:54:33"/>
    <n v="16"/>
    <x v="1"/>
    <x v="13"/>
  </r>
  <r>
    <n v="418"/>
    <s v="Georgia"/>
    <s v="30721"/>
    <d v="2015-02-24T01:32:15"/>
    <d v="2015-03-02T02:11:21"/>
    <n v="2"/>
    <n v="0"/>
    <n v="4"/>
    <n v="2"/>
    <n v="1"/>
    <n v="2"/>
    <n v="9"/>
    <d v="2015-02-24T01:32:16"/>
    <n v="24"/>
    <x v="5"/>
    <x v="20"/>
  </r>
  <r>
    <n v="419"/>
    <m/>
    <m/>
    <d v="2015-06-11T21:40:44"/>
    <d v="2015-06-11T17:40:48"/>
    <n v="1"/>
    <n v="0"/>
    <n v="4"/>
    <n v="4"/>
    <n v="1"/>
    <n v="2"/>
    <n v="12"/>
    <d v="2015-06-11T17:41:52"/>
    <n v="11"/>
    <x v="1"/>
    <x v="8"/>
  </r>
  <r>
    <n v="420"/>
    <s v="Georgia"/>
    <s v="30224"/>
    <d v="2015-08-21T11:22:52"/>
    <d v="2015-08-21T11:22:56"/>
    <n v="1"/>
    <n v="6"/>
    <n v="6"/>
    <n v="4"/>
    <n v="1"/>
    <n v="2"/>
    <n v="80.849999999999994"/>
    <d v="2015-08-21T11:22:52"/>
    <n v="21"/>
    <x v="4"/>
    <x v="3"/>
  </r>
  <r>
    <n v="421"/>
    <s v="Ohio"/>
    <s v="43228"/>
    <d v="2015-06-06T16:14:38"/>
    <d v="2015-06-06T12:14:44"/>
    <n v="1"/>
    <n v="4"/>
    <n v="6"/>
    <n v="2"/>
    <n v="1"/>
    <n v="3"/>
    <n v="81.599999999999994"/>
    <d v="2015-06-06T12:14:41"/>
    <n v="6"/>
    <x v="0"/>
    <x v="7"/>
  </r>
  <r>
    <n v="422"/>
    <s v="Ohio"/>
    <s v="43952"/>
    <d v="2015-07-13T10:24:43"/>
    <d v="2015-07-13T12:39:04"/>
    <n v="6"/>
    <n v="0"/>
    <n v="2"/>
    <n v="2"/>
    <n v="1"/>
    <n v="1"/>
    <n v="36"/>
    <d v="2015-07-13T10:24:43"/>
    <n v="13"/>
    <x v="3"/>
    <x v="13"/>
  </r>
  <r>
    <n v="423"/>
    <s v="Washington"/>
    <s v="98074"/>
    <d v="2015-08-03T12:43:20"/>
    <d v="2015-08-03T12:43:23"/>
    <n v="1"/>
    <n v="2"/>
    <n v="2"/>
    <n v="2"/>
    <n v="1"/>
    <n v="1"/>
    <n v="56.32"/>
    <d v="2015-08-03T12:43:20"/>
    <n v="3"/>
    <x v="3"/>
    <x v="7"/>
  </r>
  <r>
    <n v="424"/>
    <s v="Florida"/>
    <s v="33314"/>
    <d v="2015-01-25T16:08:00"/>
    <d v="2015-01-25T16:08:04"/>
    <n v="1"/>
    <n v="0"/>
    <n v="6"/>
    <n v="4"/>
    <n v="1"/>
    <n v="2"/>
    <n v="9"/>
    <d v="2015-01-25T16:08:01"/>
    <n v="25"/>
    <x v="2"/>
    <x v="4"/>
  </r>
  <r>
    <n v="425"/>
    <m/>
    <m/>
    <d v="2015-07-29T13:59:20"/>
    <d v="2015-07-29T09:59:21"/>
    <n v="1"/>
    <n v="2"/>
    <n v="3"/>
    <n v="4"/>
    <n v="1"/>
    <n v="2"/>
    <n v="11"/>
    <d v="2015-07-29T10:07:13"/>
    <n v="29"/>
    <x v="6"/>
    <x v="13"/>
  </r>
  <r>
    <n v="426"/>
    <s v="Alabama"/>
    <s v="35213"/>
    <d v="2015-05-22T11:21:00"/>
    <d v="2015-05-22T11:21:03"/>
    <n v="1"/>
    <n v="2"/>
    <n v="2"/>
    <n v="2"/>
    <n v="1"/>
    <n v="1"/>
    <n v="28.8"/>
    <d v="2015-05-22T11:21:00"/>
    <n v="22"/>
    <x v="4"/>
    <x v="3"/>
  </r>
  <r>
    <n v="427"/>
    <s v="Arizona"/>
    <s v="85304"/>
    <d v="2015-06-12T17:27:59"/>
    <d v="2015-06-12T13:28:04"/>
    <n v="1"/>
    <n v="8"/>
    <n v="8"/>
    <n v="2"/>
    <n v="1"/>
    <n v="4"/>
    <n v="28.8"/>
    <d v="2015-06-12T13:28:01"/>
    <n v="12"/>
    <x v="4"/>
    <x v="17"/>
  </r>
  <r>
    <n v="428"/>
    <s v="Kansas"/>
    <s v="66202"/>
    <d v="2015-08-15T13:58:54"/>
    <d v="2015-08-15T13:58:57"/>
    <n v="1"/>
    <n v="2"/>
    <n v="2"/>
    <n v="2"/>
    <n v="1"/>
    <n v="1"/>
    <n v="29.92"/>
    <d v="2015-08-15T13:58:55"/>
    <n v="15"/>
    <x v="0"/>
    <x v="17"/>
  </r>
  <r>
    <n v="429"/>
    <s v="New Jersey"/>
    <s v="7752"/>
    <d v="2015-03-14T07:41:27"/>
    <d v="2015-03-14T07:41:39"/>
    <n v="1"/>
    <n v="2"/>
    <n v="4"/>
    <n v="2"/>
    <n v="1"/>
    <n v="2"/>
    <n v="18"/>
    <d v="2015-03-14T07:41:28"/>
    <n v="14"/>
    <x v="0"/>
    <x v="16"/>
  </r>
  <r>
    <n v="430"/>
    <s v="Virginia"/>
    <s v="22101"/>
    <d v="2015-06-12T01:10:16"/>
    <d v="2015-06-11T21:10:22"/>
    <n v="1"/>
    <n v="2"/>
    <n v="4"/>
    <n v="2"/>
    <n v="1"/>
    <n v="2"/>
    <n v="57.6"/>
    <d v="2015-06-11T21:10:18"/>
    <n v="11"/>
    <x v="1"/>
    <x v="2"/>
  </r>
  <r>
    <n v="431"/>
    <s v="Wisconsin"/>
    <s v="54165"/>
    <d v="2015-06-26T18:48:00"/>
    <d v="2015-06-26T14:48:05"/>
    <n v="1"/>
    <n v="4"/>
    <n v="8"/>
    <n v="2"/>
    <n v="1"/>
    <n v="4"/>
    <n v="28.8"/>
    <d v="2015-06-26T14:48:01"/>
    <n v="26"/>
    <x v="4"/>
    <x v="9"/>
  </r>
  <r>
    <n v="432"/>
    <s v="California"/>
    <s v="92504"/>
    <d v="2015-09-18T17:15:30"/>
    <d v="2015-09-18T17:15:34"/>
    <n v="1"/>
    <n v="2"/>
    <n v="2"/>
    <n v="2"/>
    <n v="1"/>
    <n v="1"/>
    <n v="29.92"/>
    <d v="2015-09-18T17:15:30"/>
    <n v="18"/>
    <x v="4"/>
    <x v="8"/>
  </r>
  <r>
    <n v="433"/>
    <s v="Texas"/>
    <s v="78732"/>
    <d v="2015-07-24T14:23:33"/>
    <d v="2015-07-24T14:23:37"/>
    <n v="1"/>
    <n v="2"/>
    <n v="6"/>
    <n v="2"/>
    <n v="1"/>
    <n v="2"/>
    <n v="22"/>
    <d v="2015-07-24T14:23:33"/>
    <n v="24"/>
    <x v="4"/>
    <x v="9"/>
  </r>
  <r>
    <n v="434"/>
    <s v="Ohio"/>
    <s v="44140"/>
    <d v="2015-07-03T00:13:39"/>
    <d v="2015-07-02T20:13:41"/>
    <n v="1"/>
    <n v="2"/>
    <n v="16"/>
    <n v="4"/>
    <n v="1"/>
    <n v="4"/>
    <n v="28.8"/>
    <d v="2015-07-02T20:15:23"/>
    <n v="2"/>
    <x v="1"/>
    <x v="5"/>
  </r>
  <r>
    <n v="435"/>
    <m/>
    <m/>
    <d v="2015-01-19T13:27:21"/>
    <d v="2015-02-25T21:26:29"/>
    <n v="3"/>
    <n v="0"/>
    <n v="1"/>
    <n v="2"/>
    <n v="1"/>
    <n v="4"/>
    <n v="28.8"/>
    <d v="2015-02-25T21:29:02"/>
    <n v="25"/>
    <x v="6"/>
    <x v="2"/>
  </r>
  <r>
    <n v="436"/>
    <s v="Maryland"/>
    <s v="21042"/>
    <d v="2015-01-21T22:02:27"/>
    <d v="2015-01-21T22:02:30"/>
    <n v="1"/>
    <n v="0"/>
    <n v="2"/>
    <n v="2"/>
    <n v="1"/>
    <n v="1"/>
    <n v="57.6"/>
    <d v="2015-01-21T22:02:28"/>
    <n v="21"/>
    <x v="6"/>
    <x v="1"/>
  </r>
  <r>
    <n v="437"/>
    <m/>
    <m/>
    <d v="2015-05-20T13:16:51"/>
    <d v="2015-05-20T09:16:54"/>
    <n v="1"/>
    <n v="0"/>
    <n v="10"/>
    <n v="10"/>
    <n v="1"/>
    <n v="1"/>
    <n v="28.8"/>
    <d v="2015-05-20T09:18:59"/>
    <n v="20"/>
    <x v="6"/>
    <x v="15"/>
  </r>
  <r>
    <n v="438"/>
    <s v="Connecticut"/>
    <s v="06825"/>
    <d v="2015-03-04T10:36:22"/>
    <d v="2015-03-04T10:36:28"/>
    <n v="1"/>
    <n v="0"/>
    <n v="14"/>
    <n v="1"/>
    <n v="1"/>
    <n v="7"/>
    <n v="50.4"/>
    <d v="2015-03-04T10:36:24"/>
    <n v="4"/>
    <x v="6"/>
    <x v="13"/>
  </r>
  <r>
    <n v="439"/>
    <s v="Pennsylvania"/>
    <s v="18643"/>
    <d v="2015-01-26T11:33:40"/>
    <d v="2015-02-23T17:01:16"/>
    <n v="16"/>
    <n v="12"/>
    <n v="10"/>
    <n v="12"/>
    <n v="1"/>
    <n v="7"/>
    <n v="50.4"/>
    <d v="2015-01-26T12:01:58"/>
    <n v="26"/>
    <x v="3"/>
    <x v="7"/>
  </r>
  <r>
    <n v="440"/>
    <s v="Indiana"/>
    <s v="47803"/>
    <d v="2015-03-12T09:36:35"/>
    <d v="2015-03-12T09:36:40"/>
    <n v="1"/>
    <n v="0"/>
    <n v="8"/>
    <n v="1"/>
    <n v="1"/>
    <n v="4"/>
    <n v="28.8"/>
    <d v="2015-03-12T09:36:36"/>
    <n v="12"/>
    <x v="1"/>
    <x v="15"/>
  </r>
  <r>
    <n v="441"/>
    <s v="Florida"/>
    <s v="34275"/>
    <d v="2015-06-07T20:42:53"/>
    <d v="2015-06-07T16:43:00"/>
    <n v="1"/>
    <n v="0"/>
    <n v="4"/>
    <n v="2"/>
    <n v="1"/>
    <n v="2"/>
    <n v="36"/>
    <d v="2015-06-07T16:42:55"/>
    <n v="7"/>
    <x v="2"/>
    <x v="4"/>
  </r>
  <r>
    <n v="442"/>
    <s v="Maine"/>
    <s v="04105"/>
    <d v="2015-05-16T05:06:51"/>
    <d v="2015-05-16T05:06:54"/>
    <n v="1"/>
    <n v="2"/>
    <n v="2"/>
    <n v="5"/>
    <n v="1"/>
    <n v="4"/>
    <n v="28.8"/>
    <d v="2015-05-16T05:06:51"/>
    <n v="16"/>
    <x v="0"/>
    <x v="22"/>
  </r>
  <r>
    <n v="444"/>
    <s v="Maryland"/>
    <s v="21042"/>
    <d v="2013-09-20T19:25:06"/>
    <d v="2015-07-06T23:18:47"/>
    <n v="2"/>
    <n v="0"/>
    <n v="2"/>
    <n v="3"/>
    <n v="1"/>
    <n v="1"/>
    <n v="28.8"/>
    <d v="2015-07-06T23:20:26"/>
    <n v="6"/>
    <x v="3"/>
    <x v="0"/>
  </r>
  <r>
    <n v="445"/>
    <m/>
    <m/>
    <d v="2015-02-12T14:58:25"/>
    <d v="2015-02-12T17:35:52"/>
    <n v="3"/>
    <n v="0"/>
    <n v="2"/>
    <n v="3"/>
    <n v="1"/>
    <n v="1"/>
    <n v="27"/>
    <d v="2015-02-12T14:59:49"/>
    <n v="12"/>
    <x v="1"/>
    <x v="9"/>
  </r>
  <r>
    <n v="446"/>
    <s v="California"/>
    <s v="91942"/>
    <d v="2015-03-25T16:51:42"/>
    <d v="2015-03-25T16:51:45"/>
    <n v="1"/>
    <n v="1"/>
    <n v="8"/>
    <n v="3"/>
    <n v="1"/>
    <n v="2"/>
    <n v="52.8"/>
    <d v="2015-03-25T16:58:28"/>
    <n v="25"/>
    <x v="6"/>
    <x v="4"/>
  </r>
  <r>
    <n v="447"/>
    <s v="New York"/>
    <s v="11229"/>
    <d v="2015-01-27T15:34:11"/>
    <d v="2015-03-13T18:19:45"/>
    <n v="6"/>
    <n v="1"/>
    <n v="11"/>
    <n v="9"/>
    <n v="3"/>
    <n v="9"/>
    <n v="18"/>
    <d v="2015-01-27T15:34:13"/>
    <n v="27"/>
    <x v="5"/>
    <x v="10"/>
  </r>
  <r>
    <n v="448"/>
    <s v="Pennsylvania"/>
    <s v="17601"/>
    <d v="2015-09-12T20:40:43"/>
    <d v="2015-09-13T15:23:25"/>
    <n v="2"/>
    <n v="0"/>
    <n v="2"/>
    <n v="23"/>
    <n v="1"/>
    <n v="1"/>
    <n v="29.92"/>
    <d v="2015-09-12T20:41:56"/>
    <n v="12"/>
    <x v="0"/>
    <x v="5"/>
  </r>
  <r>
    <n v="449"/>
    <s v="New Jersey"/>
    <s v="08515"/>
    <d v="2015-02-04T08:01:23"/>
    <d v="2015-02-04T08:01:29"/>
    <n v="1"/>
    <n v="2"/>
    <n v="4"/>
    <n v="1"/>
    <n v="1"/>
    <n v="2"/>
    <n v="18"/>
    <d v="2015-02-04T08:01:25"/>
    <n v="4"/>
    <x v="6"/>
    <x v="18"/>
  </r>
  <r>
    <n v="450"/>
    <s v="Connecticut"/>
    <s v="06801"/>
    <d v="2015-07-27T16:10:31"/>
    <d v="2015-07-27T16:10:35"/>
    <n v="1"/>
    <n v="0"/>
    <n v="2"/>
    <n v="2"/>
    <n v="1"/>
    <n v="1"/>
    <n v="29.92"/>
    <d v="2015-07-27T16:10:32"/>
    <n v="27"/>
    <x v="3"/>
    <x v="4"/>
  </r>
  <r>
    <n v="451"/>
    <s v="South Carolina"/>
    <s v="29148"/>
    <d v="2015-04-27T11:22:19"/>
    <d v="2015-04-30T21:15:31"/>
    <n v="4"/>
    <n v="1"/>
    <n v="7"/>
    <n v="8"/>
    <n v="1"/>
    <n v="2"/>
    <n v="18"/>
    <d v="2015-04-28T08:53:06"/>
    <n v="28"/>
    <x v="5"/>
    <x v="18"/>
  </r>
  <r>
    <n v="452"/>
    <s v="Washington"/>
    <s v="98030"/>
    <d v="2015-03-07T22:22:29"/>
    <d v="2015-03-07T22:22:35"/>
    <n v="1"/>
    <n v="0"/>
    <n v="10"/>
    <n v="2"/>
    <n v="1"/>
    <n v="4"/>
    <n v="28.8"/>
    <d v="2015-03-07T22:22:30"/>
    <n v="7"/>
    <x v="0"/>
    <x v="1"/>
  </r>
  <r>
    <n v="453"/>
    <m/>
    <m/>
    <d v="2015-07-26T02:30:30"/>
    <d v="2015-07-25T22:30:31"/>
    <n v="1"/>
    <n v="5"/>
    <n v="7"/>
    <n v="1"/>
    <n v="1"/>
    <n v="2"/>
    <n v="59.84"/>
    <d v="2015-07-25T22:41:08"/>
    <n v="25"/>
    <x v="0"/>
    <x v="1"/>
  </r>
  <r>
    <n v="454"/>
    <s v="California"/>
    <s v="90049"/>
    <d v="2015-05-31T11:45:31"/>
    <d v="2015-05-31T11:45:40"/>
    <n v="1"/>
    <n v="2"/>
    <n v="4"/>
    <n v="2"/>
    <n v="1"/>
    <n v="2"/>
    <n v="14.4"/>
    <d v="2015-05-31T11:45:32"/>
    <n v="31"/>
    <x v="2"/>
    <x v="3"/>
  </r>
  <r>
    <n v="455"/>
    <m/>
    <m/>
    <d v="2015-01-14T13:17:48"/>
    <d v="2015-01-27T16:33:28"/>
    <n v="16"/>
    <n v="0"/>
    <n v="2"/>
    <n v="13"/>
    <n v="1"/>
    <n v="2"/>
    <n v="115.2"/>
    <d v="2015-01-17T10:24:46"/>
    <n v="17"/>
    <x v="0"/>
    <x v="13"/>
  </r>
  <r>
    <n v="456"/>
    <s v="Indiana"/>
    <s v="46168"/>
    <d v="2015-09-12T07:30:29"/>
    <d v="2015-09-12T07:30:33"/>
    <n v="1"/>
    <n v="0"/>
    <n v="4"/>
    <n v="2"/>
    <n v="1"/>
    <n v="1"/>
    <n v="29.92"/>
    <d v="2015-09-12T07:30:29"/>
    <n v="12"/>
    <x v="0"/>
    <x v="16"/>
  </r>
  <r>
    <n v="457"/>
    <s v="Connecticut"/>
    <s v="06483"/>
    <d v="2015-03-18T07:35:29"/>
    <d v="2015-03-18T07:35:34"/>
    <n v="1"/>
    <n v="0"/>
    <n v="2"/>
    <n v="2"/>
    <n v="1"/>
    <n v="1"/>
    <n v="57.6"/>
    <d v="2015-03-18T07:35:30"/>
    <n v="18"/>
    <x v="6"/>
    <x v="16"/>
  </r>
  <r>
    <n v="458"/>
    <s v="Colorado"/>
    <s v="80022"/>
    <d v="2015-07-06T18:13:30"/>
    <d v="2015-07-06T18:13:33"/>
    <n v="1"/>
    <n v="2"/>
    <n v="6"/>
    <n v="3"/>
    <n v="1"/>
    <n v="1"/>
    <n v="28.8"/>
    <d v="2015-07-06T18:13:30"/>
    <n v="6"/>
    <x v="3"/>
    <x v="6"/>
  </r>
  <r>
    <n v="459"/>
    <s v="Georgia"/>
    <s v="31501"/>
    <d v="2015-03-06T12:26:03"/>
    <d v="2015-03-06T12:26:12"/>
    <n v="1"/>
    <n v="0"/>
    <n v="10"/>
    <n v="11"/>
    <n v="1"/>
    <n v="1"/>
    <n v="28.8"/>
    <d v="2015-03-06T12:26:03"/>
    <n v="6"/>
    <x v="4"/>
    <x v="7"/>
  </r>
  <r>
    <n v="460"/>
    <s v="Florida"/>
    <s v="32583"/>
    <d v="2015-07-21T03:15:36"/>
    <d v="2015-07-20T23:15:37"/>
    <n v="2"/>
    <n v="0"/>
    <n v="1"/>
    <n v="2"/>
    <n v="1"/>
    <n v="1"/>
    <n v="30.6"/>
    <d v="2015-07-20T23:17:54"/>
    <n v="20"/>
    <x v="3"/>
    <x v="0"/>
  </r>
  <r>
    <n v="461"/>
    <s v="Washington"/>
    <s v="98371"/>
    <d v="2015-08-14T10:13:56"/>
    <d v="2015-08-14T21:56:45"/>
    <n v="6"/>
    <n v="4"/>
    <n v="4"/>
    <n v="2"/>
    <n v="1"/>
    <n v="1"/>
    <n v="37.4"/>
    <d v="2015-08-14T10:13:56"/>
    <n v="14"/>
    <x v="4"/>
    <x v="13"/>
  </r>
  <r>
    <n v="462"/>
    <s v="Nevada"/>
    <s v="89179"/>
    <d v="2015-06-11T23:00:22"/>
    <d v="2015-06-11T23:00:30"/>
    <n v="1"/>
    <n v="10"/>
    <n v="13"/>
    <n v="3"/>
    <n v="1"/>
    <n v="8"/>
    <n v="54"/>
    <d v="2015-06-11T23:00:23"/>
    <n v="11"/>
    <x v="1"/>
    <x v="0"/>
  </r>
  <r>
    <n v="463"/>
    <s v="North Carolina"/>
    <s v="28314"/>
    <d v="2015-01-18T11:52:27"/>
    <d v="2015-01-23T07:35:12"/>
    <n v="2"/>
    <n v="0"/>
    <n v="4"/>
    <n v="4"/>
    <n v="1"/>
    <n v="2"/>
    <n v="9"/>
    <d v="2015-01-18T11:52:29"/>
    <n v="18"/>
    <x v="2"/>
    <x v="3"/>
  </r>
  <r>
    <n v="464"/>
    <s v="Maryland"/>
    <s v="21201"/>
    <d v="2015-08-11T19:23:41"/>
    <d v="2015-08-11T15:23:46"/>
    <n v="1"/>
    <n v="0"/>
    <n v="2"/>
    <n v="2"/>
    <n v="1"/>
    <n v="1"/>
    <n v="32.64"/>
    <d v="2015-08-11T15:23:41"/>
    <n v="11"/>
    <x v="5"/>
    <x v="10"/>
  </r>
  <r>
    <n v="465"/>
    <s v="Massachusetts"/>
    <s v="01057"/>
    <d v="2015-01-29T20:51:41"/>
    <d v="2015-01-30T20:09:29"/>
    <n v="2"/>
    <n v="0"/>
    <n v="5"/>
    <n v="5"/>
    <n v="1"/>
    <n v="2"/>
    <n v="14.4"/>
    <d v="2015-01-29T20:55:02"/>
    <n v="29"/>
    <x v="1"/>
    <x v="5"/>
  </r>
  <r>
    <n v="466"/>
    <s v="Georgia"/>
    <s v="30605"/>
    <d v="2015-06-08T13:45:37"/>
    <d v="2015-06-08T13:45:41"/>
    <n v="1"/>
    <n v="2"/>
    <n v="4"/>
    <n v="6"/>
    <n v="1"/>
    <n v="1"/>
    <n v="28.8"/>
    <d v="2015-06-08T13:45:38"/>
    <n v="8"/>
    <x v="3"/>
    <x v="17"/>
  </r>
  <r>
    <n v="467"/>
    <s v="New York"/>
    <s v="10014"/>
    <d v="2015-06-16T11:12:08"/>
    <d v="2015-06-16T11:12:12"/>
    <n v="1"/>
    <n v="2"/>
    <n v="2"/>
    <n v="2"/>
    <n v="1"/>
    <n v="1"/>
    <n v="28.8"/>
    <d v="2015-06-16T11:12:09"/>
    <n v="16"/>
    <x v="5"/>
    <x v="3"/>
  </r>
  <r>
    <n v="468"/>
    <s v="Florida"/>
    <s v="33315"/>
    <d v="2015-06-04T06:14:41"/>
    <d v="2015-06-04T06:14:44"/>
    <n v="1"/>
    <n v="2"/>
    <n v="2"/>
    <n v="2"/>
    <n v="1"/>
    <n v="1"/>
    <n v="28.8"/>
    <d v="2015-06-04T06:14:42"/>
    <n v="4"/>
    <x v="1"/>
    <x v="11"/>
  </r>
  <r>
    <n v="469"/>
    <s v="New York"/>
    <s v="11367"/>
    <d v="2015-06-17T12:27:11"/>
    <d v="2015-06-17T08:27:17"/>
    <n v="1"/>
    <n v="4"/>
    <n v="6"/>
    <n v="2"/>
    <n v="1"/>
    <n v="3"/>
    <n v="21.6"/>
    <d v="2015-06-17T08:27:13"/>
    <n v="17"/>
    <x v="6"/>
    <x v="18"/>
  </r>
  <r>
    <n v="470"/>
    <s v="New Jersey"/>
    <s v="08527"/>
    <d v="2015-01-28T10:33:37"/>
    <d v="2015-02-14T13:59:09"/>
    <n v="2"/>
    <n v="4"/>
    <n v="12"/>
    <n v="5"/>
    <n v="2"/>
    <n v="5"/>
    <n v="21.6"/>
    <d v="2015-01-28T10:33:39"/>
    <n v="28"/>
    <x v="6"/>
    <x v="13"/>
  </r>
  <r>
    <n v="471"/>
    <s v="California"/>
    <s v="94070"/>
    <d v="2015-05-21T19:36:58"/>
    <d v="2015-05-21T19:37:03"/>
    <n v="1"/>
    <n v="2"/>
    <n v="2"/>
    <n v="2"/>
    <n v="1"/>
    <n v="1"/>
    <n v="28.8"/>
    <d v="2015-05-21T19:37:00"/>
    <n v="21"/>
    <x v="1"/>
    <x v="12"/>
  </r>
  <r>
    <n v="472"/>
    <s v="Pennsylvania"/>
    <s v="19041"/>
    <d v="2015-09-18T12:12:32"/>
    <d v="2015-09-18T12:12:37"/>
    <n v="1"/>
    <n v="6"/>
    <n v="2"/>
    <n v="2"/>
    <n v="1"/>
    <n v="1"/>
    <n v="29.92"/>
    <d v="2015-09-18T12:12:33"/>
    <n v="18"/>
    <x v="4"/>
    <x v="7"/>
  </r>
  <r>
    <n v="473"/>
    <s v="Arizona"/>
    <s v="85035"/>
    <d v="2015-01-13T16:43:27"/>
    <d v="2015-01-20T16:05:23"/>
    <n v="3"/>
    <n v="0"/>
    <n v="2"/>
    <n v="3"/>
    <n v="1"/>
    <n v="1"/>
    <n v="28.8"/>
    <d v="2015-01-13T16:43:28"/>
    <n v="13"/>
    <x v="5"/>
    <x v="4"/>
  </r>
  <r>
    <n v="474"/>
    <s v="New Jersey"/>
    <s v="7631"/>
    <d v="2015-06-16T19:25:15"/>
    <d v="2015-06-16T15:25:22"/>
    <n v="1"/>
    <n v="0"/>
    <n v="4"/>
    <n v="2"/>
    <n v="1"/>
    <n v="2"/>
    <n v="18"/>
    <d v="2015-06-16T15:25:18"/>
    <n v="16"/>
    <x v="5"/>
    <x v="10"/>
  </r>
  <r>
    <n v="475"/>
    <s v="Alabama"/>
    <s v="35210"/>
    <d v="2015-08-18T11:05:05"/>
    <d v="2015-08-18T11:05:08"/>
    <n v="1"/>
    <n v="0"/>
    <n v="2"/>
    <n v="4"/>
    <n v="1"/>
    <n v="1"/>
    <n v="56.32"/>
    <d v="2015-08-18T11:05:05"/>
    <n v="18"/>
    <x v="5"/>
    <x v="3"/>
  </r>
  <r>
    <n v="476"/>
    <s v="Michigan"/>
    <s v="49221"/>
    <d v="2015-08-27T09:00:56"/>
    <d v="2015-08-27T09:01:00"/>
    <n v="1"/>
    <n v="2"/>
    <n v="2"/>
    <n v="2"/>
    <n v="1"/>
    <n v="1"/>
    <n v="56.32"/>
    <d v="2015-08-27T09:00:56"/>
    <n v="27"/>
    <x v="1"/>
    <x v="15"/>
  </r>
  <r>
    <n v="477"/>
    <s v="Oklahoma"/>
    <s v="74135"/>
    <d v="2015-06-20T15:07:48"/>
    <d v="2015-06-20T11:07:49"/>
    <n v="1"/>
    <n v="1"/>
    <n v="6"/>
    <n v="1"/>
    <n v="1"/>
    <n v="4"/>
    <n v="39"/>
    <d v="2015-06-20T11:23:34"/>
    <n v="20"/>
    <x v="0"/>
    <x v="3"/>
  </r>
  <r>
    <n v="478"/>
    <s v="Illinois"/>
    <s v="61739"/>
    <d v="2015-08-17T08:12:02"/>
    <d v="2015-08-17T08:12:05"/>
    <n v="1"/>
    <n v="2"/>
    <n v="2"/>
    <n v="2"/>
    <n v="1"/>
    <n v="4"/>
    <n v="35.200000000000003"/>
    <d v="2015-08-17T08:12:03"/>
    <n v="17"/>
    <x v="3"/>
    <x v="18"/>
  </r>
  <r>
    <n v="480"/>
    <s v="New York"/>
    <s v="12210"/>
    <d v="2015-04-05T11:50:48"/>
    <d v="2015-04-05T11:50:53"/>
    <n v="1"/>
    <n v="0"/>
    <n v="4"/>
    <n v="1"/>
    <n v="1"/>
    <n v="2"/>
    <n v="18"/>
    <d v="2015-04-05T11:50:49"/>
    <n v="5"/>
    <x v="2"/>
    <x v="3"/>
  </r>
  <r>
    <n v="481"/>
    <s v="Wisconsin"/>
    <s v="54481"/>
    <d v="2015-05-14T12:43:56"/>
    <d v="2015-05-14T12:44:00"/>
    <n v="1"/>
    <n v="4"/>
    <n v="12"/>
    <n v="2"/>
    <n v="1"/>
    <n v="6"/>
    <n v="43.2"/>
    <d v="2015-05-14T12:43:57"/>
    <n v="14"/>
    <x v="1"/>
    <x v="7"/>
  </r>
  <r>
    <n v="483"/>
    <s v="California"/>
    <s v="92122"/>
    <d v="2015-06-02T16:10:08"/>
    <d v="2015-06-02T16:10:14"/>
    <n v="1"/>
    <n v="6"/>
    <n v="2"/>
    <n v="2"/>
    <n v="1"/>
    <n v="1"/>
    <n v="57.6"/>
    <d v="2015-06-02T16:10:09"/>
    <n v="2"/>
    <x v="5"/>
    <x v="4"/>
  </r>
  <r>
    <n v="484"/>
    <s v="Indiana"/>
    <s v="46074"/>
    <d v="2015-03-22T09:51:33"/>
    <d v="2015-03-22T09:51:39"/>
    <n v="1"/>
    <n v="0"/>
    <n v="8"/>
    <n v="1"/>
    <n v="1"/>
    <n v="4"/>
    <n v="27"/>
    <d v="2015-03-22T09:51:34"/>
    <n v="22"/>
    <x v="2"/>
    <x v="15"/>
  </r>
  <r>
    <n v="485"/>
    <m/>
    <m/>
    <d v="2015-02-26T13:56:24"/>
    <d v="2015-02-27T16:42:41"/>
    <n v="3"/>
    <n v="4"/>
    <n v="8"/>
    <n v="3"/>
    <n v="1"/>
    <n v="4"/>
    <n v="144"/>
    <d v="2015-02-26T13:56:25"/>
    <n v="26"/>
    <x v="1"/>
    <x v="17"/>
  </r>
  <r>
    <n v="486"/>
    <s v="Delaware"/>
    <s v="19702"/>
    <d v="2015-01-20T15:44:13"/>
    <d v="2015-01-21T14:06:23"/>
    <n v="2"/>
    <n v="0"/>
    <n v="2"/>
    <n v="4"/>
    <n v="1"/>
    <n v="1"/>
    <n v="28.8"/>
    <d v="2015-01-20T15:44:17"/>
    <n v="20"/>
    <x v="5"/>
    <x v="10"/>
  </r>
  <r>
    <n v="487"/>
    <s v="Illinois"/>
    <s v="62278"/>
    <d v="2015-09-09T11:52:31"/>
    <d v="2015-09-11T13:36:28"/>
    <n v="4"/>
    <n v="8"/>
    <n v="10"/>
    <n v="5"/>
    <n v="1"/>
    <n v="4"/>
    <n v="36"/>
    <d v="2015-09-11T13:37:54"/>
    <n v="11"/>
    <x v="4"/>
    <x v="17"/>
  </r>
  <r>
    <n v="488"/>
    <s v="Pennsylvania"/>
    <s v="18069"/>
    <d v="2015-03-04T19:05:29"/>
    <d v="2015-03-05T10:19:42"/>
    <n v="3"/>
    <n v="2"/>
    <n v="4"/>
    <n v="1"/>
    <n v="1"/>
    <n v="2"/>
    <n v="9"/>
    <d v="2015-03-04T19:05:30"/>
    <n v="4"/>
    <x v="6"/>
    <x v="12"/>
  </r>
  <r>
    <n v="489"/>
    <s v="North Carolina"/>
    <s v="28117"/>
    <d v="2015-02-28T13:10:04"/>
    <d v="2015-03-12T14:22:47"/>
    <n v="2"/>
    <n v="0"/>
    <n v="2"/>
    <n v="3"/>
    <n v="1"/>
    <n v="1"/>
    <n v="27"/>
    <d v="2015-02-28T13:10:05"/>
    <n v="28"/>
    <x v="0"/>
    <x v="17"/>
  </r>
  <r>
    <n v="490"/>
    <s v="Illinois"/>
    <s v="60137"/>
    <d v="2015-02-22T23:09:56"/>
    <d v="2015-02-22T23:10:03"/>
    <n v="1"/>
    <n v="2"/>
    <n v="8"/>
    <n v="1"/>
    <n v="1"/>
    <n v="4"/>
    <n v="28.8"/>
    <d v="2015-02-22T23:09:59"/>
    <n v="22"/>
    <x v="2"/>
    <x v="0"/>
  </r>
  <r>
    <n v="491"/>
    <s v="California"/>
    <s v="94133"/>
    <d v="2015-03-05T14:39:49"/>
    <d v="2015-03-05T14:39:54"/>
    <n v="1"/>
    <n v="0"/>
    <n v="4"/>
    <n v="1"/>
    <n v="1"/>
    <n v="2"/>
    <n v="14.4"/>
    <d v="2015-03-05T14:39:50"/>
    <n v="5"/>
    <x v="1"/>
    <x v="9"/>
  </r>
  <r>
    <n v="493"/>
    <s v="Texas"/>
    <s v="75238"/>
    <d v="2015-01-22T14:05:08"/>
    <d v="2015-01-22T14:05:12"/>
    <n v="1"/>
    <n v="0"/>
    <n v="6"/>
    <n v="2"/>
    <n v="1"/>
    <n v="6"/>
    <n v="41.6"/>
    <d v="2015-01-22T14:05:09"/>
    <n v="22"/>
    <x v="1"/>
    <x v="9"/>
  </r>
  <r>
    <n v="494"/>
    <m/>
    <m/>
    <d v="2015-05-29T14:31:41"/>
    <d v="2015-05-30T17:08:33"/>
    <n v="1"/>
    <n v="1"/>
    <n v="2"/>
    <n v="1"/>
    <n v="1"/>
    <n v="2"/>
    <n v="72"/>
    <d v="2015-05-30T17:11:18"/>
    <n v="30"/>
    <x v="0"/>
    <x v="8"/>
  </r>
  <r>
    <n v="495"/>
    <s v="Iowa"/>
    <s v="50009"/>
    <d v="2015-06-11T07:14:08"/>
    <d v="2015-06-11T07:14:11"/>
    <n v="1"/>
    <n v="8"/>
    <n v="2"/>
    <n v="4"/>
    <n v="1"/>
    <n v="1"/>
    <n v="28.8"/>
    <d v="2015-06-11T07:14:09"/>
    <n v="11"/>
    <x v="1"/>
    <x v="16"/>
  </r>
  <r>
    <n v="496"/>
    <s v="Illinois"/>
    <s v="60614"/>
    <d v="2015-01-17T14:40:48"/>
    <d v="2015-02-02T20:08:16"/>
    <n v="2"/>
    <n v="2"/>
    <n v="32"/>
    <n v="5"/>
    <n v="2"/>
    <n v="16"/>
    <n v="57.6"/>
    <d v="2015-01-17T14:43:43"/>
    <n v="17"/>
    <x v="0"/>
    <x v="9"/>
  </r>
  <r>
    <n v="497"/>
    <s v="Iowa"/>
    <s v="51533"/>
    <d v="2015-03-03T16:07:28"/>
    <d v="2015-03-04T13:41:36"/>
    <n v="3"/>
    <n v="0"/>
    <n v="4"/>
    <n v="2"/>
    <n v="1"/>
    <n v="2"/>
    <n v="9"/>
    <d v="2015-03-03T16:07:29"/>
    <n v="3"/>
    <x v="5"/>
    <x v="4"/>
  </r>
  <r>
    <n v="498"/>
    <s v="Mississippi"/>
    <s v="38732"/>
    <d v="2015-09-05T08:45:41"/>
    <d v="2015-09-05T19:39:58"/>
    <n v="2"/>
    <n v="2"/>
    <n v="2"/>
    <n v="2"/>
    <n v="1"/>
    <n v="1"/>
    <n v="51.2"/>
    <d v="2015-09-05T08:45:41"/>
    <n v="5"/>
    <x v="0"/>
    <x v="18"/>
  </r>
  <r>
    <n v="499"/>
    <m/>
    <m/>
    <d v="2015-01-22T23:11:17"/>
    <d v="2015-01-22T23:11:24"/>
    <n v="1"/>
    <n v="0"/>
    <n v="8"/>
    <n v="3"/>
    <n v="1"/>
    <n v="4"/>
    <n v="27"/>
    <d v="2015-01-22T23:17:40"/>
    <n v="22"/>
    <x v="1"/>
    <x v="0"/>
  </r>
  <r>
    <n v="500"/>
    <s v="Texas"/>
    <s v="77057"/>
    <d v="2015-08-25T20:26:26"/>
    <d v="2015-08-25T20:26:29"/>
    <n v="1"/>
    <n v="4"/>
    <n v="4"/>
    <n v="2"/>
    <n v="1"/>
    <n v="1"/>
    <n v="56.32"/>
    <d v="2015-08-25T20:26:26"/>
    <n v="25"/>
    <x v="5"/>
    <x v="5"/>
  </r>
  <r>
    <n v="501"/>
    <s v="California"/>
    <s v="90025"/>
    <d v="2015-02-19T21:28:42"/>
    <d v="2015-02-19T21:28:45"/>
    <n v="1"/>
    <n v="4"/>
    <n v="6"/>
    <n v="3"/>
    <n v="1"/>
    <n v="2"/>
    <n v="14.4"/>
    <d v="2015-02-19T21:30:34"/>
    <n v="19"/>
    <x v="1"/>
    <x v="2"/>
  </r>
  <r>
    <n v="502"/>
    <s v="Florida"/>
    <s v="32073"/>
    <d v="2015-02-10T12:06:35"/>
    <d v="2015-02-10T14:28:41"/>
    <n v="2"/>
    <n v="2"/>
    <n v="4"/>
    <n v="5"/>
    <n v="1"/>
    <n v="2"/>
    <n v="9"/>
    <d v="2015-02-10T14:44:14"/>
    <n v="10"/>
    <x v="5"/>
    <x v="9"/>
  </r>
  <r>
    <n v="503"/>
    <s v="Illinois"/>
    <s v="60093"/>
    <d v="2015-06-24T18:33:02"/>
    <d v="2015-06-24T14:33:07"/>
    <n v="1"/>
    <n v="0"/>
    <n v="4"/>
    <n v="3"/>
    <n v="1"/>
    <n v="2"/>
    <n v="18"/>
    <d v="2015-06-24T14:33:04"/>
    <n v="24"/>
    <x v="6"/>
    <x v="9"/>
  </r>
  <r>
    <n v="504"/>
    <s v="Texas"/>
    <s v="75215"/>
    <d v="2015-06-17T15:15:59"/>
    <d v="2015-06-17T13:42:59"/>
    <n v="7"/>
    <n v="4"/>
    <n v="10"/>
    <n v="2"/>
    <n v="1"/>
    <n v="4"/>
    <n v="28.8"/>
    <d v="2015-06-17T11:16:01"/>
    <n v="17"/>
    <x v="6"/>
    <x v="3"/>
  </r>
  <r>
    <n v="505"/>
    <s v="Kansas"/>
    <s v="66801"/>
    <d v="2015-09-06T12:18:05"/>
    <d v="2015-09-06T12:18:08"/>
    <n v="1"/>
    <n v="0"/>
    <n v="2"/>
    <n v="2"/>
    <n v="1"/>
    <n v="1"/>
    <n v="11"/>
    <d v="2015-09-06T12:18:05"/>
    <n v="6"/>
    <x v="2"/>
    <x v="7"/>
  </r>
  <r>
    <n v="506"/>
    <s v="Nebraska"/>
    <s v="68372"/>
    <d v="2015-01-17T15:22:21"/>
    <d v="2015-01-17T15:22:28"/>
    <n v="1"/>
    <n v="0"/>
    <n v="4"/>
    <n v="2"/>
    <n v="1"/>
    <n v="2"/>
    <n v="18"/>
    <d v="2015-01-17T15:22:25"/>
    <n v="17"/>
    <x v="0"/>
    <x v="10"/>
  </r>
  <r>
    <n v="507"/>
    <s v="California"/>
    <s v="95003"/>
    <d v="2015-05-28T23:45:48"/>
    <d v="2015-05-28T23:45:52"/>
    <n v="1"/>
    <n v="2"/>
    <n v="4"/>
    <n v="2"/>
    <n v="1"/>
    <n v="2"/>
    <n v="52.8"/>
    <d v="2015-05-28T23:45:49"/>
    <n v="28"/>
    <x v="1"/>
    <x v="0"/>
  </r>
  <r>
    <n v="508"/>
    <s v="South Carolina"/>
    <s v="29301"/>
    <d v="2015-08-02T23:36:43"/>
    <d v="2015-08-02T19:36:47"/>
    <n v="1"/>
    <n v="4"/>
    <n v="2"/>
    <n v="2"/>
    <n v="1"/>
    <n v="1"/>
    <n v="29.92"/>
    <d v="2015-08-02T19:36:44"/>
    <n v="2"/>
    <x v="2"/>
    <x v="12"/>
  </r>
  <r>
    <n v="509"/>
    <s v="Massachusetts"/>
    <s v="01776"/>
    <d v="2015-09-04T12:03:55"/>
    <d v="2015-09-04T12:03:58"/>
    <n v="1"/>
    <n v="6"/>
    <n v="4"/>
    <n v="2"/>
    <n v="1"/>
    <n v="2"/>
    <n v="22"/>
    <d v="2015-09-04T12:03:55"/>
    <n v="4"/>
    <x v="4"/>
    <x v="7"/>
  </r>
  <r>
    <n v="510"/>
    <m/>
    <m/>
    <d v="2015-01-23T17:42:24"/>
    <d v="2015-01-27T16:44:02"/>
    <n v="2"/>
    <n v="0"/>
    <n v="4"/>
    <n v="7"/>
    <n v="1"/>
    <n v="1"/>
    <n v="27"/>
    <d v="2015-01-23T17:42:32"/>
    <n v="23"/>
    <x v="4"/>
    <x v="8"/>
  </r>
  <r>
    <n v="511"/>
    <s v="Texas"/>
    <s v="79118"/>
    <d v="2015-04-16T14:56:40"/>
    <d v="2015-04-16T23:49:32"/>
    <n v="4"/>
    <n v="0"/>
    <n v="4"/>
    <n v="1"/>
    <n v="1"/>
    <n v="2"/>
    <n v="18"/>
    <d v="2015-04-16T14:56:40"/>
    <n v="16"/>
    <x v="1"/>
    <x v="9"/>
  </r>
  <r>
    <n v="512"/>
    <s v="California"/>
    <s v="94025"/>
    <d v="2015-05-31T17:46:59"/>
    <d v="2015-05-31T17:47:03"/>
    <n v="1"/>
    <n v="2"/>
    <n v="2"/>
    <n v="2"/>
    <n v="1"/>
    <n v="1"/>
    <n v="28.8"/>
    <d v="2015-05-31T17:47:00"/>
    <n v="31"/>
    <x v="2"/>
    <x v="8"/>
  </r>
  <r>
    <n v="513"/>
    <s v="Washington"/>
    <s v="98499"/>
    <d v="2015-06-15T05:58:22"/>
    <d v="2015-06-15T01:58:27"/>
    <n v="1"/>
    <n v="2"/>
    <n v="2"/>
    <n v="2"/>
    <n v="1"/>
    <n v="1"/>
    <n v="57.6"/>
    <d v="2015-06-15T01:58:24"/>
    <n v="15"/>
    <x v="3"/>
    <x v="20"/>
  </r>
  <r>
    <n v="514"/>
    <s v="Colorado"/>
    <s v="80104"/>
    <d v="2015-09-04T21:53:53"/>
    <d v="2015-09-04T17:53:58"/>
    <n v="1"/>
    <n v="14"/>
    <n v="10"/>
    <n v="2"/>
    <n v="1"/>
    <n v="5"/>
    <n v="65.92"/>
    <d v="2015-09-04T17:53:54"/>
    <n v="4"/>
    <x v="4"/>
    <x v="8"/>
  </r>
  <r>
    <n v="515"/>
    <s v="California"/>
    <s v="92104"/>
    <d v="2015-03-19T19:03:40"/>
    <d v="2015-03-19T19:03:44"/>
    <n v="1"/>
    <n v="0"/>
    <n v="6"/>
    <n v="1"/>
    <n v="1"/>
    <n v="2"/>
    <n v="9"/>
    <d v="2015-03-19T19:03:41"/>
    <n v="19"/>
    <x v="1"/>
    <x v="12"/>
  </r>
  <r>
    <n v="516"/>
    <s v="California"/>
    <s v="94582"/>
    <d v="2015-01-23T01:59:38"/>
    <d v="2015-01-23T01:59:46"/>
    <n v="1"/>
    <n v="0"/>
    <n v="14"/>
    <n v="2"/>
    <n v="1"/>
    <n v="6"/>
    <n v="43.2"/>
    <d v="2015-01-23T01:59:42"/>
    <n v="23"/>
    <x v="4"/>
    <x v="20"/>
  </r>
  <r>
    <n v="517"/>
    <s v="New York"/>
    <s v="10309"/>
    <d v="2015-03-04T20:09:34"/>
    <d v="2015-03-04T20:09:39"/>
    <n v="1"/>
    <n v="0"/>
    <n v="16"/>
    <n v="1"/>
    <n v="1"/>
    <n v="4"/>
    <n v="28.8"/>
    <d v="2015-03-04T20:09:35"/>
    <n v="4"/>
    <x v="6"/>
    <x v="5"/>
  </r>
  <r>
    <n v="519"/>
    <s v="Wisconsin"/>
    <s v="53142"/>
    <d v="2015-09-22T06:57:08"/>
    <d v="2015-09-22T06:57:12"/>
    <n v="1"/>
    <n v="2"/>
    <n v="2"/>
    <n v="2"/>
    <n v="1"/>
    <n v="1"/>
    <n v="29.92"/>
    <d v="2015-09-22T06:57:08"/>
    <n v="22"/>
    <x v="5"/>
    <x v="11"/>
  </r>
  <r>
    <n v="520"/>
    <s v="Connecticut"/>
    <s v="06902"/>
    <d v="2015-08-31T00:57:46"/>
    <d v="2015-08-30T20:57:49"/>
    <n v="1"/>
    <n v="2"/>
    <n v="2"/>
    <n v="2"/>
    <n v="1"/>
    <n v="1"/>
    <n v="30.6"/>
    <d v="2015-08-30T20:57:46"/>
    <n v="30"/>
    <x v="2"/>
    <x v="5"/>
  </r>
  <r>
    <n v="521"/>
    <s v="Indiana"/>
    <s v="46952"/>
    <d v="2015-06-12T11:22:26"/>
    <d v="2015-06-12T11:22:30"/>
    <n v="1"/>
    <n v="2"/>
    <n v="2"/>
    <n v="4"/>
    <n v="1"/>
    <n v="1"/>
    <n v="28.8"/>
    <d v="2015-06-12T11:22:27"/>
    <n v="12"/>
    <x v="4"/>
    <x v="3"/>
  </r>
  <r>
    <n v="522"/>
    <s v="New York"/>
    <s v="11935"/>
    <d v="2015-02-18T16:22:04"/>
    <d v="2015-02-19T07:58:32"/>
    <n v="2"/>
    <n v="2"/>
    <n v="4"/>
    <n v="1"/>
    <n v="1"/>
    <n v="2"/>
    <n v="18"/>
    <d v="2015-02-18T16:22:05"/>
    <n v="18"/>
    <x v="6"/>
    <x v="4"/>
  </r>
  <r>
    <n v="523"/>
    <s v="Indiana"/>
    <s v="47712"/>
    <d v="2015-09-17T21:15:17"/>
    <d v="2015-09-17T21:15:18"/>
    <n v="1"/>
    <n v="6"/>
    <n v="3"/>
    <n v="1"/>
    <n v="1"/>
    <n v="1"/>
    <n v="56.32"/>
    <d v="2015-09-17T21:36:11"/>
    <n v="17"/>
    <x v="1"/>
    <x v="2"/>
  </r>
  <r>
    <n v="524"/>
    <s v="Texas"/>
    <s v="78028"/>
    <d v="2015-01-18T20:45:38"/>
    <d v="2015-01-19T22:19:45"/>
    <n v="2"/>
    <n v="0"/>
    <n v="2"/>
    <n v="3"/>
    <n v="1"/>
    <n v="1"/>
    <n v="57.6"/>
    <d v="2015-01-18T20:45:40"/>
    <n v="18"/>
    <x v="2"/>
    <x v="5"/>
  </r>
  <r>
    <n v="525"/>
    <s v="Delaware"/>
    <s v="19803"/>
    <d v="2015-04-25T13:30:14"/>
    <d v="2015-04-25T13:30:20"/>
    <n v="1"/>
    <n v="2"/>
    <n v="12"/>
    <n v="1"/>
    <n v="1"/>
    <n v="4"/>
    <n v="28.8"/>
    <d v="2015-04-25T13:30:15"/>
    <n v="25"/>
    <x v="0"/>
    <x v="17"/>
  </r>
  <r>
    <n v="526"/>
    <s v="California"/>
    <s v="95382"/>
    <d v="2015-04-08T03:48:36"/>
    <d v="2015-04-08T15:34:16"/>
    <n v="2"/>
    <n v="10"/>
    <n v="2"/>
    <n v="1"/>
    <n v="1"/>
    <n v="4"/>
    <n v="28.8"/>
    <d v="2015-04-08T15:46:37"/>
    <n v="8"/>
    <x v="6"/>
    <x v="10"/>
  </r>
  <r>
    <n v="527"/>
    <s v="Pennsylvania"/>
    <s v="19107"/>
    <d v="2015-06-01T14:29:52"/>
    <d v="2015-06-01T14:29:55"/>
    <n v="1"/>
    <n v="0"/>
    <n v="2"/>
    <n v="2"/>
    <n v="1"/>
    <n v="3"/>
    <n v="86.4"/>
    <d v="2015-06-01T14:29:53"/>
    <n v="1"/>
    <x v="3"/>
    <x v="9"/>
  </r>
  <r>
    <n v="528"/>
    <s v="New York"/>
    <s v="10028"/>
    <d v="2015-07-13T11:04:21"/>
    <d v="2015-07-13T11:04:25"/>
    <n v="1"/>
    <n v="2"/>
    <n v="4"/>
    <n v="2"/>
    <n v="1"/>
    <n v="2"/>
    <n v="21"/>
    <d v="2015-07-13T11:04:22"/>
    <n v="13"/>
    <x v="3"/>
    <x v="3"/>
  </r>
  <r>
    <n v="529"/>
    <s v="Virginia"/>
    <s v="22060"/>
    <d v="2015-06-19T09:51:12"/>
    <d v="2015-06-19T09:51:17"/>
    <n v="1"/>
    <n v="6"/>
    <n v="10"/>
    <n v="2"/>
    <n v="1"/>
    <n v="5"/>
    <n v="40.799999999999997"/>
    <d v="2015-06-19T09:51:13"/>
    <n v="19"/>
    <x v="4"/>
    <x v="15"/>
  </r>
  <r>
    <n v="530"/>
    <s v="Pennsylvania"/>
    <s v="15012"/>
    <d v="2015-01-04T19:07:06"/>
    <d v="2015-01-04T19:07:12"/>
    <n v="1"/>
    <n v="0"/>
    <n v="4"/>
    <n v="2"/>
    <n v="1"/>
    <n v="8"/>
    <n v="72"/>
    <d v="2015-01-04T19:07:08"/>
    <n v="4"/>
    <x v="2"/>
    <x v="12"/>
  </r>
  <r>
    <n v="531"/>
    <s v="Texas"/>
    <s v="76051"/>
    <d v="2015-09-03T03:02:35"/>
    <d v="2015-09-02T23:02:39"/>
    <n v="1"/>
    <n v="8"/>
    <n v="4"/>
    <n v="6"/>
    <n v="1"/>
    <n v="2"/>
    <n v="22"/>
    <d v="2015-09-02T23:02:35"/>
    <n v="2"/>
    <x v="6"/>
    <x v="0"/>
  </r>
  <r>
    <n v="532"/>
    <s v="Virginia"/>
    <s v="22199"/>
    <d v="2015-02-18T15:12:56"/>
    <d v="2015-02-18T15:13:00"/>
    <n v="1"/>
    <n v="0"/>
    <n v="2"/>
    <n v="1"/>
    <n v="1"/>
    <n v="1"/>
    <n v="28.8"/>
    <d v="2015-02-18T15:12:57"/>
    <n v="18"/>
    <x v="6"/>
    <x v="10"/>
  </r>
  <r>
    <n v="533"/>
    <s v="Alabama"/>
    <s v="36305"/>
    <d v="2015-08-12T12:45:46"/>
    <d v="2015-08-12T08:45:51"/>
    <n v="1"/>
    <n v="2"/>
    <n v="2"/>
    <n v="2"/>
    <n v="1"/>
    <n v="1"/>
    <n v="29.92"/>
    <d v="2015-08-12T08:45:47"/>
    <n v="12"/>
    <x v="6"/>
    <x v="18"/>
  </r>
  <r>
    <n v="534"/>
    <s v="Wisconsin"/>
    <s v="53511"/>
    <d v="2015-07-06T01:10:43"/>
    <d v="2015-07-05T21:10:44"/>
    <n v="1"/>
    <n v="2"/>
    <n v="1"/>
    <n v="1"/>
    <n v="1"/>
    <n v="1"/>
    <n v="28.8"/>
    <d v="2015-07-05T21:13:48"/>
    <n v="5"/>
    <x v="2"/>
    <x v="2"/>
  </r>
  <r>
    <n v="535"/>
    <s v="New Jersey"/>
    <s v="08223"/>
    <d v="2015-04-30T20:05:16"/>
    <d v="2015-04-30T20:05:20"/>
    <n v="1"/>
    <n v="2"/>
    <n v="2"/>
    <n v="2"/>
    <n v="1"/>
    <n v="1"/>
    <n v="28.8"/>
    <d v="2015-04-30T20:05:17"/>
    <n v="30"/>
    <x v="1"/>
    <x v="5"/>
  </r>
  <r>
    <n v="536"/>
    <m/>
    <m/>
    <d v="2015-05-01T00:48:30"/>
    <d v="2015-05-01T00:48:35"/>
    <n v="1"/>
    <n v="6"/>
    <n v="4"/>
    <n v="1"/>
    <n v="1"/>
    <n v="1"/>
    <n v="36"/>
    <d v="2015-05-01T00:48:32"/>
    <n v="1"/>
    <x v="4"/>
    <x v="14"/>
  </r>
  <r>
    <n v="537"/>
    <s v="New York"/>
    <s v="11561"/>
    <d v="2015-07-28T00:16:53"/>
    <d v="2015-07-28T00:16:57"/>
    <n v="1"/>
    <n v="6"/>
    <n v="4"/>
    <n v="2"/>
    <n v="1"/>
    <n v="1"/>
    <n v="30.6"/>
    <d v="2015-07-28T00:16:54"/>
    <n v="28"/>
    <x v="5"/>
    <x v="14"/>
  </r>
  <r>
    <n v="538"/>
    <s v="Connecticut"/>
    <s v="06511"/>
    <d v="2015-04-28T22:02:46"/>
    <d v="2015-04-28T22:02:50"/>
    <n v="1"/>
    <n v="0"/>
    <n v="4"/>
    <n v="2"/>
    <n v="1"/>
    <n v="2"/>
    <n v="18"/>
    <d v="2015-04-28T22:02:46"/>
    <n v="28"/>
    <x v="5"/>
    <x v="1"/>
  </r>
  <r>
    <n v="539"/>
    <s v="New York"/>
    <s v="10598"/>
    <d v="2015-06-19T00:33:12"/>
    <d v="2015-06-18T20:33:19"/>
    <n v="1"/>
    <n v="7"/>
    <n v="8"/>
    <n v="2"/>
    <n v="1"/>
    <n v="5"/>
    <n v="36"/>
    <d v="2015-06-18T20:33:14"/>
    <n v="18"/>
    <x v="1"/>
    <x v="5"/>
  </r>
  <r>
    <n v="540"/>
    <s v="Illinois"/>
    <s v="60626"/>
    <d v="2015-03-08T20:37:40"/>
    <d v="2015-03-08T20:37:45"/>
    <n v="1"/>
    <n v="0"/>
    <n v="2"/>
    <n v="1"/>
    <n v="1"/>
    <n v="1"/>
    <n v="57.6"/>
    <d v="2015-03-08T20:37:41"/>
    <n v="8"/>
    <x v="2"/>
    <x v="5"/>
  </r>
  <r>
    <n v="541"/>
    <s v="California"/>
    <s v="95126"/>
    <d v="2015-06-01T21:24:31"/>
    <d v="2015-06-02T11:52:33"/>
    <n v="2"/>
    <n v="0"/>
    <n v="2"/>
    <n v="2"/>
    <n v="1"/>
    <n v="4"/>
    <n v="36"/>
    <d v="2015-06-01T21:24:32"/>
    <n v="1"/>
    <x v="3"/>
    <x v="2"/>
  </r>
  <r>
    <n v="542"/>
    <s v="California"/>
    <s v="91335"/>
    <d v="2015-05-05T15:19:10"/>
    <d v="2015-05-05T15:19:14"/>
    <n v="1"/>
    <n v="0"/>
    <n v="2"/>
    <n v="2"/>
    <n v="1"/>
    <n v="1"/>
    <n v="28.8"/>
    <d v="2015-05-05T15:19:11"/>
    <n v="5"/>
    <x v="5"/>
    <x v="10"/>
  </r>
  <r>
    <n v="543"/>
    <s v="Alabama"/>
    <s v="35640"/>
    <d v="2015-03-24T14:16:09"/>
    <d v="2015-03-24T14:16:16"/>
    <n v="1"/>
    <n v="0"/>
    <n v="8"/>
    <n v="4"/>
    <n v="1"/>
    <n v="4"/>
    <n v="28.8"/>
    <d v="2015-03-24T14:16:10"/>
    <n v="24"/>
    <x v="5"/>
    <x v="9"/>
  </r>
  <r>
    <n v="544"/>
    <s v="Indiana"/>
    <s v="46544"/>
    <d v="2015-05-22T20:32:48"/>
    <d v="2015-05-22T16:33:03"/>
    <n v="1"/>
    <n v="6"/>
    <n v="6"/>
    <n v="2"/>
    <n v="1"/>
    <n v="3"/>
    <n v="43.2"/>
    <d v="2015-05-22T16:35:23"/>
    <n v="22"/>
    <x v="4"/>
    <x v="4"/>
  </r>
  <r>
    <n v="545"/>
    <s v="Florida"/>
    <s v="32750"/>
    <d v="2015-06-15T14:40:31"/>
    <d v="2015-06-15T14:40:34"/>
    <n v="1"/>
    <n v="0"/>
    <n v="4"/>
    <n v="2"/>
    <n v="1"/>
    <n v="8"/>
    <n v="57.6"/>
    <d v="2015-06-15T14:40:32"/>
    <n v="15"/>
    <x v="3"/>
    <x v="9"/>
  </r>
  <r>
    <n v="546"/>
    <m/>
    <m/>
    <d v="2015-04-03T21:26:35"/>
    <d v="2015-04-03T21:26:39"/>
    <n v="1"/>
    <n v="0"/>
    <n v="4"/>
    <n v="3"/>
    <n v="1"/>
    <n v="2"/>
    <n v="18"/>
    <d v="2015-04-03T21:29:13"/>
    <n v="3"/>
    <x v="4"/>
    <x v="2"/>
  </r>
  <r>
    <n v="547"/>
    <s v="Connecticut"/>
    <s v="06460"/>
    <d v="2015-01-29T10:08:45"/>
    <d v="2015-01-29T10:08:49"/>
    <n v="1"/>
    <n v="2"/>
    <n v="4"/>
    <n v="2"/>
    <n v="1"/>
    <n v="2"/>
    <n v="9"/>
    <d v="2015-01-29T10:08:46"/>
    <n v="29"/>
    <x v="1"/>
    <x v="13"/>
  </r>
  <r>
    <n v="548"/>
    <s v="Texas"/>
    <s v="75065"/>
    <d v="2015-04-04T15:58:06"/>
    <d v="2015-04-04T15:58:11"/>
    <n v="1"/>
    <n v="2"/>
    <n v="2"/>
    <n v="1"/>
    <n v="1"/>
    <n v="1"/>
    <n v="28.8"/>
    <d v="2015-04-04T15:58:07"/>
    <n v="4"/>
    <x v="0"/>
    <x v="10"/>
  </r>
  <r>
    <n v="549"/>
    <m/>
    <m/>
    <d v="2015-01-19T17:55:48"/>
    <d v="2015-01-19T17:55:55"/>
    <n v="1"/>
    <n v="1"/>
    <n v="4"/>
    <n v="2"/>
    <n v="1"/>
    <n v="2"/>
    <n v="9"/>
    <d v="2015-01-19T17:55:53"/>
    <n v="19"/>
    <x v="3"/>
    <x v="8"/>
  </r>
  <r>
    <n v="550"/>
    <s v="Iowa"/>
    <s v="50111"/>
    <d v="2015-06-16T04:23:32"/>
    <d v="2015-06-16T00:23:34"/>
    <n v="1"/>
    <n v="2"/>
    <n v="4"/>
    <n v="2"/>
    <n v="1"/>
    <n v="2"/>
    <n v="21"/>
    <d v="2015-06-16T00:26:43"/>
    <n v="16"/>
    <x v="5"/>
    <x v="14"/>
  </r>
  <r>
    <n v="551"/>
    <s v="Pennsylvania"/>
    <s v="19087"/>
    <d v="2015-07-12T01:22:27"/>
    <d v="2015-07-11T21:22:29"/>
    <n v="1"/>
    <n v="3"/>
    <n v="3"/>
    <n v="2"/>
    <n v="1"/>
    <n v="2"/>
    <n v="36"/>
    <d v="2015-07-11T21:25:58"/>
    <n v="11"/>
    <x v="0"/>
    <x v="2"/>
  </r>
  <r>
    <n v="552"/>
    <m/>
    <m/>
    <d v="2015-08-30T16:06:48"/>
    <d v="2015-08-30T16:06:49"/>
    <n v="1"/>
    <n v="2"/>
    <n v="8"/>
    <n v="4"/>
    <n v="1"/>
    <n v="4"/>
    <n v="36"/>
    <d v="2015-08-30T16:07:59"/>
    <n v="30"/>
    <x v="2"/>
    <x v="4"/>
  </r>
  <r>
    <n v="553"/>
    <s v="Pennsylvania"/>
    <s v="16134"/>
    <d v="2015-08-15T13:27:07"/>
    <d v="2015-08-15T09:27:11"/>
    <n v="1"/>
    <n v="7"/>
    <n v="10"/>
    <n v="3"/>
    <n v="1"/>
    <n v="1"/>
    <n v="56.32"/>
    <d v="2015-08-15T09:27:07"/>
    <n v="15"/>
    <x v="0"/>
    <x v="15"/>
  </r>
  <r>
    <n v="554"/>
    <s v="Illinois"/>
    <s v="60004"/>
    <d v="2015-05-10T00:48:52"/>
    <d v="2015-05-10T11:33:42"/>
    <n v="2"/>
    <n v="10"/>
    <n v="8"/>
    <n v="2"/>
    <n v="1"/>
    <n v="4"/>
    <n v="28.8"/>
    <d v="2015-05-10T00:48:53"/>
    <n v="10"/>
    <x v="2"/>
    <x v="14"/>
  </r>
  <r>
    <n v="555"/>
    <s v="Colorado"/>
    <s v="80016"/>
    <d v="2015-06-27T23:36:39"/>
    <d v="2015-06-27T23:36:43"/>
    <n v="1"/>
    <n v="0"/>
    <n v="2"/>
    <n v="3"/>
    <n v="1"/>
    <n v="1"/>
    <n v="28.8"/>
    <d v="2015-06-27T23:36:40"/>
    <n v="27"/>
    <x v="0"/>
    <x v="0"/>
  </r>
  <r>
    <n v="556"/>
    <s v="Minnesota"/>
    <s v="55417"/>
    <d v="2015-08-10T14:33:30"/>
    <d v="2015-08-10T14:33:33"/>
    <n v="1"/>
    <n v="0"/>
    <n v="2"/>
    <n v="2"/>
    <n v="1"/>
    <n v="1"/>
    <n v="29.92"/>
    <d v="2015-08-10T14:33:31"/>
    <n v="10"/>
    <x v="3"/>
    <x v="9"/>
  </r>
  <r>
    <n v="557"/>
    <m/>
    <m/>
    <d v="2015-06-02T17:44:10"/>
    <d v="2015-06-02T13:44:11"/>
    <n v="1"/>
    <n v="3"/>
    <n v="2"/>
    <n v="2"/>
    <n v="1"/>
    <n v="5"/>
    <n v="36"/>
    <d v="2015-06-02T13:59:35"/>
    <n v="2"/>
    <x v="5"/>
    <x v="17"/>
  </r>
  <r>
    <n v="558"/>
    <s v="Pennsylvania"/>
    <s v="19605"/>
    <d v="2015-09-07T15:13:36"/>
    <d v="2015-09-07T15:13:39"/>
    <n v="1"/>
    <n v="6"/>
    <n v="2"/>
    <n v="2"/>
    <n v="1"/>
    <n v="1"/>
    <n v="11"/>
    <d v="2015-09-07T15:13:36"/>
    <n v="7"/>
    <x v="3"/>
    <x v="10"/>
  </r>
  <r>
    <n v="560"/>
    <s v="Michigan"/>
    <s v="48186"/>
    <d v="2015-05-21T15:26:03"/>
    <d v="2015-05-21T11:26:05"/>
    <n v="1"/>
    <n v="4"/>
    <n v="6"/>
    <n v="7"/>
    <n v="1"/>
    <n v="1"/>
    <n v="28.8"/>
    <d v="2015-05-21T11:41:10"/>
    <n v="21"/>
    <x v="1"/>
    <x v="3"/>
  </r>
  <r>
    <n v="561"/>
    <s v="California"/>
    <s v="94061"/>
    <d v="2015-03-23T04:56:30"/>
    <d v="2015-03-23T04:56:34"/>
    <n v="1"/>
    <n v="8"/>
    <n v="6"/>
    <n v="2"/>
    <n v="1"/>
    <n v="4"/>
    <n v="28.8"/>
    <d v="2015-03-23T04:56:31"/>
    <n v="23"/>
    <x v="3"/>
    <x v="23"/>
  </r>
  <r>
    <n v="562"/>
    <s v="Indiana"/>
    <s v="47630"/>
    <d v="2015-02-28T20:33:30"/>
    <d v="2015-03-01T11:37:52"/>
    <n v="3"/>
    <n v="2"/>
    <n v="5"/>
    <n v="2"/>
    <n v="2"/>
    <n v="5"/>
    <n v="36"/>
    <d v="2015-02-28T20:33:31"/>
    <n v="28"/>
    <x v="0"/>
    <x v="5"/>
  </r>
  <r>
    <n v="563"/>
    <s v="Oregon"/>
    <s v="97080"/>
    <d v="2015-09-13T16:14:02"/>
    <d v="2015-09-13T12:14:08"/>
    <n v="1"/>
    <n v="2"/>
    <n v="4"/>
    <n v="2"/>
    <n v="1"/>
    <n v="2"/>
    <n v="86.24"/>
    <d v="2015-09-13T12:14:03"/>
    <n v="13"/>
    <x v="2"/>
    <x v="7"/>
  </r>
  <r>
    <n v="564"/>
    <s v="Tennessee"/>
    <s v="38120"/>
    <d v="2015-04-23T12:31:50"/>
    <d v="2015-04-23T12:32:05"/>
    <n v="1"/>
    <n v="0"/>
    <n v="1"/>
    <n v="1"/>
    <n v="1"/>
    <n v="1"/>
    <n v="57.6"/>
    <d v="2015-04-23T12:36:55"/>
    <n v="23"/>
    <x v="1"/>
    <x v="7"/>
  </r>
  <r>
    <n v="565"/>
    <s v="Wisconsin"/>
    <s v="54403"/>
    <d v="2015-07-12T19:31:19"/>
    <d v="2015-07-12T15:31:23"/>
    <n v="1"/>
    <n v="2"/>
    <n v="6"/>
    <n v="2"/>
    <n v="1"/>
    <n v="4"/>
    <n v="153.6"/>
    <d v="2015-07-12T15:31:20"/>
    <n v="12"/>
    <x v="2"/>
    <x v="10"/>
  </r>
  <r>
    <n v="567"/>
    <s v="New Jersey"/>
    <s v="07052"/>
    <d v="2015-01-18T20:02:21"/>
    <d v="2015-01-18T20:02:35"/>
    <n v="1"/>
    <n v="6"/>
    <n v="14"/>
    <n v="3"/>
    <n v="1"/>
    <n v="8"/>
    <n v="57.6"/>
    <d v="2015-01-18T20:02:22"/>
    <n v="18"/>
    <x v="2"/>
    <x v="5"/>
  </r>
  <r>
    <n v="568"/>
    <s v="North Carolina"/>
    <s v="27284"/>
    <d v="2015-03-22T09:08:27"/>
    <d v="2015-03-22T09:08:31"/>
    <n v="1"/>
    <n v="0"/>
    <n v="2"/>
    <n v="1"/>
    <n v="1"/>
    <n v="2"/>
    <n v="18"/>
    <d v="2015-03-22T09:08:28"/>
    <n v="22"/>
    <x v="2"/>
    <x v="15"/>
  </r>
  <r>
    <n v="569"/>
    <s v="Colorado"/>
    <s v="80443"/>
    <d v="2015-08-01T19:11:21"/>
    <d v="2015-08-01T19:11:24"/>
    <n v="1"/>
    <n v="14"/>
    <n v="2"/>
    <n v="4"/>
    <n v="1"/>
    <n v="1"/>
    <n v="29.92"/>
    <d v="2015-08-01T19:11:21"/>
    <n v="1"/>
    <x v="0"/>
    <x v="12"/>
  </r>
  <r>
    <n v="570"/>
    <s v="Texas"/>
    <s v="76034"/>
    <d v="2015-05-18T19:29:40"/>
    <d v="2015-05-18T19:29:43"/>
    <n v="1"/>
    <n v="0"/>
    <n v="2"/>
    <n v="2"/>
    <n v="1"/>
    <n v="4"/>
    <n v="28.8"/>
    <d v="2015-05-18T19:29:40"/>
    <n v="18"/>
    <x v="3"/>
    <x v="12"/>
  </r>
  <r>
    <n v="571"/>
    <s v="Massachusetts"/>
    <s v="02453"/>
    <d v="2015-04-30T09:14:25"/>
    <d v="2015-04-30T09:14:29"/>
    <n v="1"/>
    <n v="6"/>
    <n v="6"/>
    <n v="2"/>
    <n v="1"/>
    <n v="5"/>
    <n v="36"/>
    <d v="2015-04-30T09:14:26"/>
    <n v="30"/>
    <x v="1"/>
    <x v="15"/>
  </r>
  <r>
    <n v="572"/>
    <s v="Wisconsin"/>
    <s v="53228"/>
    <d v="2015-09-04T11:22:46"/>
    <d v="2015-09-04T11:22:49"/>
    <n v="1"/>
    <n v="2"/>
    <n v="2"/>
    <n v="2"/>
    <n v="1"/>
    <n v="1"/>
    <n v="12"/>
    <d v="2015-09-04T11:22:46"/>
    <n v="4"/>
    <x v="4"/>
    <x v="3"/>
  </r>
  <r>
    <n v="573"/>
    <s v="Maryland"/>
    <s v="21403"/>
    <d v="2015-01-02T02:27:15"/>
    <d v="2015-01-02T02:27:18"/>
    <n v="1"/>
    <n v="2"/>
    <n v="4"/>
    <n v="4"/>
    <n v="1"/>
    <n v="2"/>
    <n v="7"/>
    <d v="2015-01-02T02:27:16"/>
    <n v="2"/>
    <x v="4"/>
    <x v="21"/>
  </r>
  <r>
    <n v="574"/>
    <s v="Pennsylvania"/>
    <s v="15301"/>
    <d v="2015-06-11T15:34:48"/>
    <d v="2015-06-11T11:34:53"/>
    <n v="1"/>
    <n v="0"/>
    <n v="2"/>
    <n v="2"/>
    <n v="1"/>
    <n v="4"/>
    <n v="28.8"/>
    <d v="2015-06-11T11:34:50"/>
    <n v="11"/>
    <x v="1"/>
    <x v="3"/>
  </r>
  <r>
    <n v="575"/>
    <s v="Maryland"/>
    <s v="20910"/>
    <d v="2015-09-06T15:51:00"/>
    <d v="2015-09-06T11:51:04"/>
    <n v="1"/>
    <n v="4"/>
    <n v="2"/>
    <n v="2"/>
    <n v="1"/>
    <n v="1"/>
    <n v="37.4"/>
    <d v="2015-09-06T11:51:01"/>
    <n v="6"/>
    <x v="2"/>
    <x v="3"/>
  </r>
  <r>
    <n v="576"/>
    <m/>
    <m/>
    <d v="2015-08-30T21:55:26"/>
    <d v="2015-08-30T21:55:27"/>
    <n v="1"/>
    <n v="1"/>
    <n v="3"/>
    <n v="1"/>
    <n v="1"/>
    <n v="2"/>
    <n v="22"/>
    <d v="2015-08-30T21:59:30"/>
    <n v="30"/>
    <x v="2"/>
    <x v="2"/>
  </r>
  <r>
    <n v="577"/>
    <s v="Indiana"/>
    <s v="46250"/>
    <d v="2015-06-09T13:28:55"/>
    <d v="2015-06-09T09:29:01"/>
    <n v="1"/>
    <n v="0"/>
    <n v="2"/>
    <n v="2"/>
    <n v="1"/>
    <n v="1"/>
    <n v="27"/>
    <d v="2015-06-09T09:28:57"/>
    <n v="9"/>
    <x v="5"/>
    <x v="15"/>
  </r>
  <r>
    <n v="578"/>
    <m/>
    <m/>
    <d v="2015-03-08T18:12:08"/>
    <d v="2015-03-08T18:12:18"/>
    <n v="1"/>
    <n v="2"/>
    <n v="6"/>
    <n v="1"/>
    <n v="1"/>
    <n v="4"/>
    <n v="28.8"/>
    <d v="2015-03-08T18:12:11"/>
    <n v="8"/>
    <x v="2"/>
    <x v="6"/>
  </r>
  <r>
    <n v="579"/>
    <s v="Wisconsin"/>
    <s v="53593"/>
    <d v="2015-08-12T11:08:34"/>
    <d v="2015-08-12T11:08:37"/>
    <n v="1"/>
    <n v="6"/>
    <n v="2"/>
    <n v="2"/>
    <n v="1"/>
    <n v="1"/>
    <n v="29.92"/>
    <d v="2015-08-12T11:08:34"/>
    <n v="12"/>
    <x v="6"/>
    <x v="3"/>
  </r>
  <r>
    <n v="580"/>
    <s v="Kentucky"/>
    <s v="40014"/>
    <d v="2015-09-20T22:14:34"/>
    <d v="2015-09-20T22:14:38"/>
    <n v="1"/>
    <n v="8"/>
    <n v="6"/>
    <n v="4"/>
    <n v="1"/>
    <n v="3"/>
    <n v="68.64"/>
    <d v="2015-09-20T22:14:34"/>
    <n v="20"/>
    <x v="2"/>
    <x v="1"/>
  </r>
  <r>
    <n v="581"/>
    <s v="Arizona"/>
    <s v="85298"/>
    <d v="2015-01-27T12:01:57"/>
    <d v="2015-01-31T15:47:24"/>
    <n v="4"/>
    <n v="0"/>
    <n v="2"/>
    <n v="4"/>
    <n v="1"/>
    <n v="1"/>
    <n v="30.6"/>
    <d v="2015-01-27T12:01:58"/>
    <n v="27"/>
    <x v="5"/>
    <x v="7"/>
  </r>
  <r>
    <n v="582"/>
    <m/>
    <m/>
    <d v="2015-01-26T21:42:24"/>
    <d v="2015-01-30T19:58:24"/>
    <n v="2"/>
    <n v="2"/>
    <n v="2"/>
    <n v="3"/>
    <n v="1"/>
    <n v="1"/>
    <n v="27"/>
    <d v="2015-01-30T20:00:48"/>
    <n v="30"/>
    <x v="4"/>
    <x v="5"/>
  </r>
  <r>
    <n v="583"/>
    <s v="North Carolina"/>
    <s v="28173"/>
    <d v="2015-01-24T07:35:43"/>
    <d v="2015-02-05T20:56:14"/>
    <n v="2"/>
    <n v="2"/>
    <n v="7"/>
    <n v="6"/>
    <n v="2"/>
    <n v="5"/>
    <n v="18"/>
    <d v="2015-01-24T07:35:44"/>
    <n v="24"/>
    <x v="0"/>
    <x v="16"/>
  </r>
  <r>
    <n v="584"/>
    <s v="California"/>
    <s v="94002"/>
    <d v="2015-06-17T13:17:13"/>
    <d v="2015-06-17T13:17:17"/>
    <n v="1"/>
    <n v="4"/>
    <n v="4"/>
    <n v="3"/>
    <n v="1"/>
    <n v="1"/>
    <n v="27"/>
    <d v="2015-06-17T13:17:14"/>
    <n v="17"/>
    <x v="6"/>
    <x v="17"/>
  </r>
  <r>
    <n v="585"/>
    <s v="Arizona"/>
    <s v="85254"/>
    <d v="2015-02-23T22:50:39"/>
    <d v="2015-02-23T22:50:44"/>
    <n v="1"/>
    <n v="0"/>
    <n v="6"/>
    <n v="1"/>
    <n v="1"/>
    <n v="3"/>
    <n v="18"/>
    <d v="2015-02-23T22:50:40"/>
    <n v="23"/>
    <x v="3"/>
    <x v="1"/>
  </r>
  <r>
    <n v="586"/>
    <s v="Illinois"/>
    <s v="60189"/>
    <d v="2015-06-29T20:38:24"/>
    <d v="2015-06-29T16:38:31"/>
    <n v="1"/>
    <n v="10"/>
    <n v="12"/>
    <n v="2"/>
    <n v="1"/>
    <n v="10"/>
    <n v="72"/>
    <d v="2015-06-29T16:38:26"/>
    <n v="29"/>
    <x v="3"/>
    <x v="4"/>
  </r>
  <r>
    <n v="587"/>
    <m/>
    <m/>
    <d v="2015-02-15T08:21:21"/>
    <d v="2015-02-15T10:33:46"/>
    <n v="3"/>
    <n v="4"/>
    <n v="8"/>
    <n v="4"/>
    <n v="1"/>
    <n v="4"/>
    <n v="30.6"/>
    <d v="2015-02-15T10:37:36"/>
    <n v="15"/>
    <x v="2"/>
    <x v="13"/>
  </r>
  <r>
    <n v="588"/>
    <m/>
    <m/>
    <d v="2015-04-26T17:55:55"/>
    <d v="2015-04-26T17:55:58"/>
    <n v="1"/>
    <n v="2"/>
    <n v="3"/>
    <n v="1"/>
    <n v="1"/>
    <n v="2"/>
    <n v="57.6"/>
    <d v="2015-04-26T18:13:40"/>
    <n v="26"/>
    <x v="2"/>
    <x v="6"/>
  </r>
  <r>
    <n v="589"/>
    <s v="New York"/>
    <s v="10011"/>
    <d v="2015-02-06T18:43:52"/>
    <d v="2015-02-06T18:43:56"/>
    <n v="1"/>
    <n v="0"/>
    <n v="4"/>
    <n v="3"/>
    <n v="1"/>
    <n v="2"/>
    <n v="9"/>
    <d v="2015-02-06T18:43:53"/>
    <n v="6"/>
    <x v="4"/>
    <x v="6"/>
  </r>
  <r>
    <n v="590"/>
    <s v="South Carolina"/>
    <s v="29072"/>
    <d v="2015-01-27T17:50:40"/>
    <d v="2015-01-27T17:50:44"/>
    <n v="1"/>
    <n v="4"/>
    <n v="4"/>
    <n v="2"/>
    <n v="1"/>
    <n v="1"/>
    <n v="28.8"/>
    <d v="2015-01-27T17:50:42"/>
    <n v="27"/>
    <x v="5"/>
    <x v="8"/>
  </r>
  <r>
    <n v="591"/>
    <m/>
    <m/>
    <d v="2015-07-06T20:26:12"/>
    <d v="2015-07-07T08:19:44"/>
    <n v="2"/>
    <n v="10"/>
    <n v="22"/>
    <n v="13"/>
    <n v="1"/>
    <n v="5"/>
    <n v="172.8"/>
    <d v="2015-07-07T08:28:18"/>
    <n v="7"/>
    <x v="5"/>
    <x v="18"/>
  </r>
  <r>
    <n v="592"/>
    <s v="California"/>
    <s v="90807"/>
    <d v="2015-09-11T00:33:12"/>
    <d v="2015-09-11T00:33:15"/>
    <n v="1"/>
    <n v="2"/>
    <n v="2"/>
    <n v="3"/>
    <n v="1"/>
    <n v="1"/>
    <n v="29.92"/>
    <d v="2015-09-11T00:33:12"/>
    <n v="11"/>
    <x v="4"/>
    <x v="14"/>
  </r>
  <r>
    <n v="593"/>
    <s v="California"/>
    <s v="92782"/>
    <d v="2015-09-09T15:54:13"/>
    <d v="2015-09-09T15:54:17"/>
    <n v="1"/>
    <n v="0"/>
    <n v="2"/>
    <n v="2"/>
    <n v="1"/>
    <n v="1"/>
    <n v="56.32"/>
    <d v="2015-09-09T15:54:13"/>
    <n v="9"/>
    <x v="6"/>
    <x v="10"/>
  </r>
  <r>
    <n v="594"/>
    <s v="Connecticut"/>
    <s v="06492"/>
    <d v="2015-02-27T19:55:49"/>
    <d v="2015-03-10T18:04:40"/>
    <n v="3"/>
    <n v="6"/>
    <n v="14"/>
    <n v="3"/>
    <n v="1"/>
    <n v="7"/>
    <n v="50.4"/>
    <d v="2015-02-27T19:55:50"/>
    <n v="27"/>
    <x v="4"/>
    <x v="12"/>
  </r>
  <r>
    <n v="595"/>
    <s v="District of Columbia"/>
    <s v="20005"/>
    <d v="2015-05-03T16:24:37"/>
    <d v="2015-05-03T16:24:40"/>
    <n v="1"/>
    <n v="4"/>
    <n v="8"/>
    <n v="1"/>
    <n v="1"/>
    <n v="2"/>
    <n v="72"/>
    <d v="2015-05-03T16:24:38"/>
    <n v="3"/>
    <x v="2"/>
    <x v="4"/>
  </r>
  <r>
    <n v="596"/>
    <m/>
    <m/>
    <d v="2015-05-19T22:12:07"/>
    <d v="2015-05-19T18:12:09"/>
    <n v="1"/>
    <n v="4"/>
    <n v="4"/>
    <n v="2"/>
    <n v="1"/>
    <n v="1"/>
    <n v="57.6"/>
    <d v="2015-05-19T18:15:34"/>
    <n v="19"/>
    <x v="5"/>
    <x v="6"/>
  </r>
  <r>
    <n v="597"/>
    <s v="Kentucky"/>
    <s v="40503"/>
    <d v="2015-06-05T11:37:17"/>
    <d v="2015-06-05T16:16:41"/>
    <n v="3"/>
    <n v="2"/>
    <n v="4"/>
    <n v="2"/>
    <n v="2"/>
    <n v="4"/>
    <n v="9"/>
    <d v="2015-06-05T11:37:18"/>
    <n v="5"/>
    <x v="4"/>
    <x v="3"/>
  </r>
  <r>
    <n v="598"/>
    <m/>
    <m/>
    <d v="2015-08-28T11:40:43"/>
    <d v="2015-08-28T11:40:47"/>
    <n v="1"/>
    <n v="31"/>
    <n v="8"/>
    <n v="6"/>
    <n v="1"/>
    <n v="3"/>
    <n v="108.9"/>
    <d v="2015-08-28T11:43:35"/>
    <n v="28"/>
    <x v="4"/>
    <x v="3"/>
  </r>
  <r>
    <n v="599"/>
    <s v="South Carolina"/>
    <s v="29180"/>
    <d v="2015-03-14T09:02:04"/>
    <d v="2015-03-14T09:02:09"/>
    <n v="1"/>
    <n v="0"/>
    <n v="8"/>
    <n v="2"/>
    <n v="1"/>
    <n v="4"/>
    <n v="36"/>
    <d v="2015-03-14T09:02:05"/>
    <n v="14"/>
    <x v="0"/>
    <x v="15"/>
  </r>
  <r>
    <n v="600"/>
    <m/>
    <m/>
    <d v="2015-01-20T09:26:12"/>
    <d v="2015-01-20T09:26:15"/>
    <n v="1"/>
    <n v="0"/>
    <n v="4"/>
    <n v="10"/>
    <n v="1"/>
    <n v="4"/>
    <n v="28.8"/>
    <d v="2015-01-20T09:27:46"/>
    <n v="20"/>
    <x v="5"/>
    <x v="15"/>
  </r>
  <r>
    <n v="602"/>
    <s v="Maryland"/>
    <s v="21102"/>
    <d v="2015-07-22T02:31:28"/>
    <d v="2015-07-21T22:31:32"/>
    <n v="1"/>
    <n v="0"/>
    <n v="2"/>
    <n v="2"/>
    <n v="1"/>
    <n v="1"/>
    <n v="12"/>
    <d v="2015-07-21T22:31:29"/>
    <n v="21"/>
    <x v="5"/>
    <x v="1"/>
  </r>
  <r>
    <n v="603"/>
    <s v="Michigan"/>
    <s v="49418"/>
    <d v="2015-03-20T08:18:47"/>
    <d v="2015-03-20T08:18:53"/>
    <n v="1"/>
    <n v="4"/>
    <n v="8"/>
    <n v="2"/>
    <n v="1"/>
    <n v="4"/>
    <n v="28.8"/>
    <d v="2015-03-20T08:18:48"/>
    <n v="20"/>
    <x v="4"/>
    <x v="18"/>
  </r>
  <r>
    <n v="604"/>
    <s v="Georgia"/>
    <s v="30141"/>
    <d v="2015-05-18T08:27:41"/>
    <d v="2015-05-18T08:27:47"/>
    <n v="1"/>
    <n v="4"/>
    <n v="2"/>
    <n v="2"/>
    <n v="1"/>
    <n v="1"/>
    <n v="28.8"/>
    <d v="2015-05-18T08:27:42"/>
    <n v="18"/>
    <x v="3"/>
    <x v="18"/>
  </r>
  <r>
    <n v="605"/>
    <s v="Pennsylvania"/>
    <s v="17815"/>
    <d v="2015-07-09T20:15:15"/>
    <d v="2015-07-09T16:15:19"/>
    <n v="1"/>
    <n v="0"/>
    <n v="2"/>
    <n v="2"/>
    <n v="1"/>
    <n v="1"/>
    <n v="28.8"/>
    <d v="2015-07-09T16:15:16"/>
    <n v="9"/>
    <x v="1"/>
    <x v="4"/>
  </r>
  <r>
    <n v="606"/>
    <s v="Wisconsin"/>
    <s v="54956"/>
    <d v="2015-04-19T22:06:24"/>
    <d v="2015-04-19T22:06:29"/>
    <n v="1"/>
    <n v="0"/>
    <n v="4"/>
    <n v="3"/>
    <n v="1"/>
    <n v="2"/>
    <n v="18"/>
    <d v="2015-04-19T22:06:25"/>
    <n v="19"/>
    <x v="2"/>
    <x v="1"/>
  </r>
  <r>
    <n v="607"/>
    <s v="Wisconsin"/>
    <s v="53211"/>
    <d v="2015-06-19T01:12:10"/>
    <d v="2015-06-18T21:12:14"/>
    <n v="1"/>
    <n v="2"/>
    <n v="4"/>
    <n v="2"/>
    <n v="1"/>
    <n v="4"/>
    <n v="27"/>
    <d v="2015-06-18T21:12:12"/>
    <n v="18"/>
    <x v="1"/>
    <x v="2"/>
  </r>
  <r>
    <n v="608"/>
    <m/>
    <m/>
    <d v="2015-07-25T19:15:34"/>
    <d v="2015-07-25T15:15:35"/>
    <n v="1"/>
    <n v="2"/>
    <n v="2"/>
    <n v="1"/>
    <n v="1"/>
    <n v="2"/>
    <n v="22"/>
    <d v="2015-07-25T15:27:14"/>
    <n v="25"/>
    <x v="0"/>
    <x v="10"/>
  </r>
  <r>
    <n v="609"/>
    <s v="Missouri"/>
    <s v="63139"/>
    <d v="2015-02-19T18:59:41"/>
    <d v="2015-02-22T16:54:07"/>
    <n v="4"/>
    <n v="2"/>
    <n v="4"/>
    <n v="4"/>
    <n v="1"/>
    <n v="1"/>
    <n v="28.8"/>
    <d v="2015-02-19T18:59:42"/>
    <n v="19"/>
    <x v="1"/>
    <x v="6"/>
  </r>
  <r>
    <n v="610"/>
    <s v="Texas"/>
    <s v="77651"/>
    <d v="2015-08-14T11:28:48"/>
    <d v="2015-08-14T07:28:53"/>
    <n v="1"/>
    <n v="0"/>
    <n v="6"/>
    <n v="2"/>
    <n v="1"/>
    <n v="4"/>
    <n v="35.200000000000003"/>
    <d v="2015-08-14T07:28:49"/>
    <n v="14"/>
    <x v="4"/>
    <x v="16"/>
  </r>
  <r>
    <n v="611"/>
    <s v="Michigan"/>
    <s v="48323"/>
    <d v="2015-01-15T13:07:50"/>
    <d v="2015-01-15T13:07:56"/>
    <n v="1"/>
    <n v="0"/>
    <n v="4"/>
    <n v="2"/>
    <n v="1"/>
    <n v="2"/>
    <n v="9"/>
    <d v="2015-01-15T13:07:53"/>
    <n v="15"/>
    <x v="1"/>
    <x v="17"/>
  </r>
  <r>
    <n v="612"/>
    <s v="California"/>
    <s v="94558"/>
    <d v="2015-07-29T20:11:14"/>
    <d v="2015-07-29T20:11:19"/>
    <n v="1"/>
    <n v="2"/>
    <n v="4"/>
    <n v="2"/>
    <n v="1"/>
    <n v="2"/>
    <n v="88.6"/>
    <d v="2015-07-29T20:11:14"/>
    <n v="29"/>
    <x v="6"/>
    <x v="5"/>
  </r>
  <r>
    <n v="613"/>
    <s v="Ohio"/>
    <s v="43214"/>
    <d v="2015-03-11T02:00:35"/>
    <d v="2015-03-11T02:00:40"/>
    <n v="1"/>
    <n v="0"/>
    <n v="6"/>
    <n v="1"/>
    <n v="1"/>
    <n v="2"/>
    <n v="14.4"/>
    <d v="2015-03-11T02:00:36"/>
    <n v="11"/>
    <x v="6"/>
    <x v="21"/>
  </r>
  <r>
    <n v="614"/>
    <s v="California"/>
    <s v="94041"/>
    <d v="2015-06-29T14:35:34"/>
    <d v="2015-06-29T14:35:38"/>
    <n v="1"/>
    <n v="8"/>
    <n v="4"/>
    <n v="3"/>
    <n v="1"/>
    <n v="1"/>
    <n v="57.6"/>
    <d v="2015-06-29T14:35:35"/>
    <n v="29"/>
    <x v="3"/>
    <x v="9"/>
  </r>
  <r>
    <n v="615"/>
    <s v="Colorado"/>
    <s v="80021"/>
    <d v="2015-08-15T04:41:25"/>
    <d v="2015-08-16T16:05:08"/>
    <n v="4"/>
    <n v="3"/>
    <n v="4"/>
    <n v="3"/>
    <n v="1"/>
    <n v="1"/>
    <n v="37.4"/>
    <d v="2015-08-16T16:06:22"/>
    <n v="16"/>
    <x v="2"/>
    <x v="4"/>
  </r>
  <r>
    <n v="616"/>
    <s v="Texas"/>
    <s v="78734"/>
    <d v="2015-09-06T10:54:02"/>
    <d v="2015-09-06T10:54:05"/>
    <n v="1"/>
    <n v="2"/>
    <n v="2"/>
    <n v="3"/>
    <n v="1"/>
    <n v="2"/>
    <n v="22"/>
    <d v="2015-09-06T10:54:02"/>
    <n v="6"/>
    <x v="2"/>
    <x v="13"/>
  </r>
  <r>
    <n v="617"/>
    <s v="Wisconsin"/>
    <s v="53711"/>
    <d v="2015-01-26T18:51:26"/>
    <d v="2015-01-26T18:51:31"/>
    <n v="1"/>
    <n v="0"/>
    <n v="8"/>
    <n v="2"/>
    <n v="1"/>
    <n v="4"/>
    <n v="28.8"/>
    <d v="2015-01-26T18:51:27"/>
    <n v="26"/>
    <x v="3"/>
    <x v="6"/>
  </r>
  <r>
    <n v="618"/>
    <s v="Florida"/>
    <s v="33324"/>
    <d v="2015-08-10T15:22:23"/>
    <d v="2015-08-10T15:22:26"/>
    <n v="1"/>
    <n v="4"/>
    <n v="4"/>
    <n v="2"/>
    <n v="1"/>
    <n v="2"/>
    <n v="22"/>
    <d v="2015-08-10T15:22:23"/>
    <n v="10"/>
    <x v="3"/>
    <x v="10"/>
  </r>
  <r>
    <n v="619"/>
    <s v="South Carolina"/>
    <s v="29605"/>
    <d v="2015-04-19T17:01:58"/>
    <d v="2015-04-19T17:02:03"/>
    <n v="1"/>
    <n v="2"/>
    <n v="14"/>
    <n v="1"/>
    <n v="1"/>
    <n v="9"/>
    <n v="64.8"/>
    <d v="2015-04-19T17:01:59"/>
    <n v="19"/>
    <x v="2"/>
    <x v="8"/>
  </r>
  <r>
    <n v="620"/>
    <s v="Michigan"/>
    <s v="48072"/>
    <d v="2015-02-23T18:32:34"/>
    <d v="2015-02-23T18:32:40"/>
    <n v="1"/>
    <n v="0"/>
    <n v="8"/>
    <n v="1"/>
    <n v="1"/>
    <n v="4"/>
    <n v="28.8"/>
    <d v="2015-02-23T18:32:35"/>
    <n v="23"/>
    <x v="3"/>
    <x v="6"/>
  </r>
  <r>
    <n v="621"/>
    <s v="Texas"/>
    <s v="75070"/>
    <d v="2015-01-30T17:15:37"/>
    <d v="2015-02-02T08:40:37"/>
    <n v="2"/>
    <n v="0"/>
    <n v="5"/>
    <n v="3"/>
    <n v="1"/>
    <n v="2"/>
    <n v="9"/>
    <d v="2015-01-30T17:15:39"/>
    <n v="30"/>
    <x v="4"/>
    <x v="8"/>
  </r>
  <r>
    <n v="622"/>
    <s v="Maryland"/>
    <s v="21215"/>
    <d v="2015-02-01T13:52:49"/>
    <d v="2015-02-01T13:52:55"/>
    <n v="1"/>
    <n v="0"/>
    <n v="6"/>
    <n v="2"/>
    <n v="1"/>
    <n v="2"/>
    <n v="9"/>
    <d v="2015-02-01T13:52:51"/>
    <n v="1"/>
    <x v="2"/>
    <x v="17"/>
  </r>
  <r>
    <n v="623"/>
    <s v="Oklahoma"/>
    <s v="73064"/>
    <d v="2015-07-09T16:18:26"/>
    <d v="2015-07-09T16:18:29"/>
    <n v="1"/>
    <n v="4"/>
    <n v="4"/>
    <n v="2"/>
    <n v="1"/>
    <n v="1"/>
    <n v="28.8"/>
    <d v="2015-07-09T16:18:26"/>
    <n v="9"/>
    <x v="1"/>
    <x v="4"/>
  </r>
  <r>
    <n v="624"/>
    <s v="Ohio"/>
    <s v="44030"/>
    <d v="2015-05-29T15:24:03"/>
    <d v="2015-05-30T08:06:34"/>
    <n v="3"/>
    <n v="0"/>
    <n v="2"/>
    <n v="2"/>
    <n v="1"/>
    <n v="1"/>
    <n v="72"/>
    <d v="2015-05-29T15:24:03"/>
    <n v="29"/>
    <x v="4"/>
    <x v="10"/>
  </r>
  <r>
    <n v="625"/>
    <s v="California"/>
    <s v="94619"/>
    <d v="2015-05-21T22:51:29"/>
    <d v="2015-05-21T22:51:32"/>
    <n v="1"/>
    <n v="0"/>
    <n v="4"/>
    <n v="2"/>
    <n v="1"/>
    <n v="2"/>
    <n v="18"/>
    <d v="2015-05-21T22:51:30"/>
    <n v="21"/>
    <x v="1"/>
    <x v="1"/>
  </r>
  <r>
    <n v="626"/>
    <s v="California"/>
    <s v="91977"/>
    <d v="2015-03-03T02:42:18"/>
    <d v="2015-03-08T05:10:41"/>
    <n v="9"/>
    <n v="2"/>
    <n v="8"/>
    <n v="4"/>
    <n v="1"/>
    <n v="4"/>
    <n v="27"/>
    <d v="2015-03-03T02:42:19"/>
    <n v="3"/>
    <x v="5"/>
    <x v="21"/>
  </r>
  <r>
    <n v="628"/>
    <s v="Connecticut"/>
    <s v="06516"/>
    <d v="2015-05-19T02:32:32"/>
    <d v="2015-05-18T22:32:35"/>
    <n v="1"/>
    <n v="2"/>
    <n v="10"/>
    <n v="4"/>
    <n v="1"/>
    <n v="8"/>
    <n v="57.6"/>
    <d v="2015-05-18T22:36:21"/>
    <n v="18"/>
    <x v="3"/>
    <x v="1"/>
  </r>
  <r>
    <n v="629"/>
    <s v="New Jersey"/>
    <s v="07001"/>
    <d v="2015-07-14T13:47:07"/>
    <d v="2015-07-14T13:47:12"/>
    <n v="1"/>
    <n v="1"/>
    <n v="3"/>
    <n v="2"/>
    <n v="1"/>
    <n v="1"/>
    <n v="37.4"/>
    <d v="2015-07-14T13:47:08"/>
    <n v="14"/>
    <x v="5"/>
    <x v="17"/>
  </r>
  <r>
    <n v="631"/>
    <s v="Indiana"/>
    <s v="46142"/>
    <d v="2015-02-26T08:52:14"/>
    <d v="2015-02-26T08:52:17"/>
    <n v="1"/>
    <n v="0"/>
    <n v="2"/>
    <n v="1"/>
    <n v="1"/>
    <n v="1"/>
    <n v="57.6"/>
    <d v="2015-02-26T08:52:15"/>
    <n v="26"/>
    <x v="1"/>
    <x v="18"/>
  </r>
  <r>
    <n v="632"/>
    <m/>
    <m/>
    <d v="2015-07-03T16:34:26"/>
    <d v="2015-07-03T12:34:28"/>
    <n v="1"/>
    <n v="4"/>
    <n v="12"/>
    <n v="5"/>
    <n v="1"/>
    <n v="6"/>
    <n v="43.2"/>
    <d v="2015-07-03T12:37:07"/>
    <n v="3"/>
    <x v="4"/>
    <x v="7"/>
  </r>
  <r>
    <n v="634"/>
    <s v="New Hampshire"/>
    <s v="03063"/>
    <d v="2015-08-11T02:07:49"/>
    <d v="2015-08-10T22:07:53"/>
    <n v="1"/>
    <n v="4"/>
    <n v="2"/>
    <n v="2"/>
    <n v="1"/>
    <n v="1"/>
    <n v="37.4"/>
    <d v="2015-08-10T22:07:50"/>
    <n v="10"/>
    <x v="3"/>
    <x v="1"/>
  </r>
  <r>
    <n v="635"/>
    <s v="Iowa"/>
    <s v="52722"/>
    <d v="2015-02-10T12:41:19"/>
    <d v="2015-02-10T12:41:23"/>
    <n v="1"/>
    <n v="2"/>
    <n v="2"/>
    <n v="1"/>
    <n v="1"/>
    <n v="1"/>
    <n v="27.2"/>
    <d v="2015-02-10T12:41:21"/>
    <n v="10"/>
    <x v="5"/>
    <x v="7"/>
  </r>
  <r>
    <n v="636"/>
    <s v="Washington"/>
    <s v="98112"/>
    <d v="2015-09-03T23:53:35"/>
    <d v="2015-09-03T19:53:39"/>
    <n v="1"/>
    <n v="4"/>
    <n v="2"/>
    <n v="2"/>
    <n v="1"/>
    <n v="1"/>
    <n v="29.92"/>
    <d v="2015-09-03T19:53:35"/>
    <n v="3"/>
    <x v="1"/>
    <x v="12"/>
  </r>
  <r>
    <n v="637"/>
    <s v="Texas"/>
    <s v="77450"/>
    <d v="2015-02-14T19:26:11"/>
    <d v="2015-02-14T19:26:16"/>
    <n v="1"/>
    <n v="2"/>
    <n v="4"/>
    <n v="2"/>
    <n v="1"/>
    <n v="2"/>
    <n v="9"/>
    <d v="2015-02-14T19:26:12"/>
    <n v="14"/>
    <x v="0"/>
    <x v="12"/>
  </r>
  <r>
    <n v="638"/>
    <s v="California"/>
    <s v="90245"/>
    <d v="2015-06-08T17:59:18"/>
    <d v="2015-06-08T16:35:25"/>
    <n v="3"/>
    <n v="1"/>
    <n v="6"/>
    <n v="4"/>
    <n v="1"/>
    <n v="4"/>
    <n v="36"/>
    <d v="2015-06-08T14:02:41"/>
    <n v="8"/>
    <x v="3"/>
    <x v="9"/>
  </r>
  <r>
    <n v="639"/>
    <s v="New York"/>
    <s v="13066"/>
    <d v="2015-07-06T14:12:25"/>
    <d v="2015-07-06T10:12:29"/>
    <n v="1"/>
    <n v="4"/>
    <n v="2"/>
    <n v="2"/>
    <n v="1"/>
    <n v="1"/>
    <n v="28.8"/>
    <d v="2015-07-06T10:12:26"/>
    <n v="6"/>
    <x v="3"/>
    <x v="13"/>
  </r>
  <r>
    <n v="640"/>
    <s v="Virginia"/>
    <s v="20147"/>
    <d v="2015-02-23T20:30:10"/>
    <d v="2015-03-03T18:34:34"/>
    <n v="4"/>
    <n v="0"/>
    <n v="15"/>
    <n v="4"/>
    <n v="2"/>
    <n v="24"/>
    <n v="72"/>
    <d v="2015-02-23T20:33:25"/>
    <n v="23"/>
    <x v="3"/>
    <x v="5"/>
  </r>
  <r>
    <n v="641"/>
    <s v="Idaho"/>
    <s v="83646"/>
    <d v="2015-07-20T01:19:12"/>
    <d v="2015-07-20T01:19:16"/>
    <n v="1"/>
    <n v="2"/>
    <n v="2"/>
    <n v="3"/>
    <n v="1"/>
    <n v="1"/>
    <n v="29.92"/>
    <d v="2015-07-20T01:19:13"/>
    <n v="20"/>
    <x v="3"/>
    <x v="20"/>
  </r>
  <r>
    <n v="642"/>
    <s v="Colorado"/>
    <s v="80219"/>
    <d v="2015-08-08T12:22:09"/>
    <d v="2015-08-08T08:22:15"/>
    <n v="1"/>
    <n v="16"/>
    <n v="12"/>
    <n v="2"/>
    <n v="1"/>
    <n v="4"/>
    <n v="36"/>
    <d v="2015-08-08T08:22:10"/>
    <n v="8"/>
    <x v="0"/>
    <x v="18"/>
  </r>
  <r>
    <n v="643"/>
    <s v="Illinois"/>
    <s v="60062"/>
    <d v="2015-02-23T10:49:39"/>
    <d v="2015-02-23T10:49:43"/>
    <n v="1"/>
    <n v="0"/>
    <n v="6"/>
    <n v="1"/>
    <n v="1"/>
    <n v="4"/>
    <n v="28.8"/>
    <d v="2015-02-23T10:49:39"/>
    <n v="23"/>
    <x v="3"/>
    <x v="13"/>
  </r>
  <r>
    <n v="644"/>
    <s v="Massachusetts"/>
    <s v="01746"/>
    <d v="2015-07-13T17:05:51"/>
    <d v="2015-07-13T17:05:55"/>
    <n v="1"/>
    <n v="4"/>
    <n v="8"/>
    <n v="2"/>
    <n v="1"/>
    <n v="4"/>
    <n v="28.8"/>
    <d v="2015-07-13T17:05:51"/>
    <n v="13"/>
    <x v="3"/>
    <x v="8"/>
  </r>
  <r>
    <n v="645"/>
    <s v="Pennsylvania"/>
    <s v="15239"/>
    <d v="2015-06-12T23:52:37"/>
    <d v="2015-06-12T19:52:41"/>
    <n v="1"/>
    <n v="6"/>
    <n v="6"/>
    <n v="2"/>
    <n v="1"/>
    <n v="4"/>
    <n v="27"/>
    <d v="2015-06-12T19:52:38"/>
    <n v="12"/>
    <x v="4"/>
    <x v="12"/>
  </r>
  <r>
    <n v="646"/>
    <s v="Wisconsin"/>
    <s v="54935"/>
    <d v="2015-09-17T15:36:28"/>
    <d v="2015-09-17T11:36:32"/>
    <n v="1"/>
    <n v="8"/>
    <n v="6"/>
    <n v="2"/>
    <n v="1"/>
    <n v="1"/>
    <n v="27.2"/>
    <d v="2015-09-17T11:36:29"/>
    <n v="17"/>
    <x v="1"/>
    <x v="3"/>
  </r>
  <r>
    <n v="647"/>
    <s v="Texas"/>
    <s v="78757"/>
    <d v="2015-03-12T03:05:38"/>
    <d v="2015-03-12T03:05:42"/>
    <n v="1"/>
    <n v="0"/>
    <n v="4"/>
    <n v="1"/>
    <n v="1"/>
    <n v="2"/>
    <n v="14.4"/>
    <d v="2015-03-12T03:05:39"/>
    <n v="12"/>
    <x v="1"/>
    <x v="19"/>
  </r>
  <r>
    <n v="648"/>
    <s v="Minnesota"/>
    <s v="55318"/>
    <d v="2015-06-29T18:04:04"/>
    <d v="2015-07-01T15:35:20"/>
    <n v="6"/>
    <n v="2"/>
    <n v="4"/>
    <n v="4"/>
    <n v="1"/>
    <n v="2"/>
    <n v="57.6"/>
    <d v="2015-06-29T14:04:05"/>
    <n v="29"/>
    <x v="3"/>
    <x v="9"/>
  </r>
  <r>
    <n v="649"/>
    <s v="Georgia"/>
    <s v="30152"/>
    <d v="2015-06-11T17:54:47"/>
    <d v="2015-06-12T02:19:07"/>
    <n v="5"/>
    <n v="5"/>
    <n v="3"/>
    <n v="7"/>
    <n v="2"/>
    <n v="2"/>
    <n v="36"/>
    <d v="2015-06-11T13:56:54"/>
    <n v="11"/>
    <x v="1"/>
    <x v="17"/>
  </r>
  <r>
    <n v="650"/>
    <s v="Michigan"/>
    <s v="48823"/>
    <d v="2015-07-02T17:42:33"/>
    <d v="2015-07-02T17:42:37"/>
    <n v="1"/>
    <n v="6"/>
    <n v="6"/>
    <n v="2"/>
    <n v="1"/>
    <n v="7"/>
    <n v="50.4"/>
    <d v="2015-07-02T17:42:34"/>
    <n v="2"/>
    <x v="1"/>
    <x v="8"/>
  </r>
  <r>
    <n v="652"/>
    <s v="Connecticut"/>
    <s v="06903"/>
    <d v="2015-03-09T19:40:43"/>
    <d v="2015-03-09T19:40:50"/>
    <n v="1"/>
    <n v="0"/>
    <n v="4"/>
    <n v="1"/>
    <n v="1"/>
    <n v="1"/>
    <n v="28.8"/>
    <d v="2015-03-09T19:40:45"/>
    <n v="9"/>
    <x v="3"/>
    <x v="12"/>
  </r>
  <r>
    <n v="653"/>
    <m/>
    <m/>
    <d v="2015-07-15T01:50:58"/>
    <d v="2015-07-14T21:50:59"/>
    <n v="1"/>
    <n v="2"/>
    <n v="2"/>
    <n v="2"/>
    <n v="1"/>
    <n v="2"/>
    <n v="97.28"/>
    <d v="2015-07-14T21:55:20"/>
    <n v="14"/>
    <x v="5"/>
    <x v="2"/>
  </r>
  <r>
    <n v="654"/>
    <s v="California"/>
    <s v="90025"/>
    <d v="2015-05-21T17:26:38"/>
    <d v="2015-05-21T17:26:41"/>
    <n v="1"/>
    <n v="4"/>
    <n v="4"/>
    <n v="4"/>
    <n v="1"/>
    <n v="2"/>
    <n v="14.4"/>
    <d v="2015-05-21T17:26:38"/>
    <n v="21"/>
    <x v="1"/>
    <x v="8"/>
  </r>
  <r>
    <n v="655"/>
    <s v="South Carolina"/>
    <s v="29707"/>
    <d v="2015-03-12T11:58:15"/>
    <d v="2015-03-12T11:58:23"/>
    <n v="1"/>
    <n v="0"/>
    <n v="4"/>
    <n v="1"/>
    <n v="1"/>
    <n v="2"/>
    <n v="9"/>
    <d v="2015-03-12T11:58:16"/>
    <n v="12"/>
    <x v="1"/>
    <x v="3"/>
  </r>
  <r>
    <n v="656"/>
    <s v="Iowa"/>
    <s v="50401"/>
    <d v="2015-01-29T20:07:23"/>
    <d v="2015-01-29T20:07:27"/>
    <n v="1"/>
    <n v="0"/>
    <n v="4"/>
    <n v="1"/>
    <n v="1"/>
    <n v="2"/>
    <n v="18"/>
    <d v="2015-01-29T20:07:24"/>
    <n v="29"/>
    <x v="1"/>
    <x v="5"/>
  </r>
  <r>
    <n v="657"/>
    <s v="Michigan"/>
    <s v="49507"/>
    <d v="2015-08-14T18:04:40"/>
    <d v="2015-08-14T18:04:43"/>
    <n v="1"/>
    <n v="6"/>
    <n v="8"/>
    <n v="2"/>
    <n v="1"/>
    <n v="4"/>
    <n v="36"/>
    <d v="2015-08-14T18:04:40"/>
    <n v="14"/>
    <x v="4"/>
    <x v="6"/>
  </r>
  <r>
    <n v="658"/>
    <s v="Michigan"/>
    <s v="48169"/>
    <d v="2015-08-28T17:47:56"/>
    <d v="2015-08-28T13:48:00"/>
    <n v="1"/>
    <n v="4"/>
    <n v="2"/>
    <n v="2"/>
    <n v="1"/>
    <n v="1"/>
    <n v="56.32"/>
    <d v="2015-08-28T13:47:57"/>
    <n v="28"/>
    <x v="4"/>
    <x v="17"/>
  </r>
  <r>
    <n v="659"/>
    <s v="Illinois"/>
    <s v="61103"/>
    <d v="2015-03-03T12:28:25"/>
    <d v="2015-03-03T12:28:30"/>
    <n v="1"/>
    <n v="4"/>
    <n v="4"/>
    <n v="1"/>
    <n v="1"/>
    <n v="4"/>
    <n v="28.8"/>
    <d v="2015-03-03T12:28:26"/>
    <n v="3"/>
    <x v="5"/>
    <x v="7"/>
  </r>
  <r>
    <n v="660"/>
    <m/>
    <m/>
    <d v="2015-07-28T01:57:37"/>
    <d v="2015-07-27T21:57:37"/>
    <n v="1"/>
    <n v="2"/>
    <n v="5"/>
    <n v="3"/>
    <n v="1"/>
    <n v="4"/>
    <n v="36.799999999999997"/>
    <d v="2015-07-27T22:07:55"/>
    <n v="27"/>
    <x v="3"/>
    <x v="1"/>
  </r>
  <r>
    <n v="661"/>
    <s v="Texas"/>
    <s v="75024"/>
    <d v="2015-08-04T15:40:55"/>
    <d v="2015-08-04T11:40:56"/>
    <n v="1"/>
    <n v="4"/>
    <n v="8"/>
    <n v="8"/>
    <n v="1"/>
    <n v="2"/>
    <n v="22"/>
    <d v="2015-08-04T11:45:38"/>
    <n v="4"/>
    <x v="5"/>
    <x v="3"/>
  </r>
  <r>
    <n v="662"/>
    <s v="California"/>
    <s v="92705"/>
    <d v="2015-01-17T11:27:33"/>
    <d v="2015-01-22T13:19:46"/>
    <n v="3"/>
    <n v="0"/>
    <n v="6"/>
    <n v="3"/>
    <n v="1"/>
    <n v="3"/>
    <n v="18"/>
    <d v="2015-01-17T11:27:35"/>
    <n v="17"/>
    <x v="0"/>
    <x v="3"/>
  </r>
  <r>
    <n v="663"/>
    <s v="Washington"/>
    <s v="98027"/>
    <d v="2015-08-29T16:19:40"/>
    <d v="2015-08-29T12:19:45"/>
    <n v="1"/>
    <n v="2"/>
    <n v="4"/>
    <n v="4"/>
    <n v="1"/>
    <n v="2"/>
    <n v="38.72"/>
    <d v="2015-08-29T12:19:41"/>
    <n v="29"/>
    <x v="0"/>
    <x v="7"/>
  </r>
  <r>
    <n v="664"/>
    <s v="Oklahoma"/>
    <s v="74501"/>
    <d v="2015-07-08T00:41:20"/>
    <d v="2015-07-07T20:41:21"/>
    <n v="1"/>
    <n v="4"/>
    <n v="8"/>
    <n v="2"/>
    <n v="1"/>
    <n v="4"/>
    <n v="28.8"/>
    <d v="2015-07-07T20:48:57"/>
    <n v="7"/>
    <x v="5"/>
    <x v="5"/>
  </r>
  <r>
    <n v="665"/>
    <s v="Massachusetts"/>
    <s v="01119"/>
    <d v="2015-08-06T16:48:54"/>
    <d v="2015-08-06T12:48:58"/>
    <n v="1"/>
    <n v="6"/>
    <n v="6"/>
    <n v="2"/>
    <n v="1"/>
    <n v="4"/>
    <n v="35.200000000000003"/>
    <d v="2015-08-06T12:48:55"/>
    <n v="6"/>
    <x v="1"/>
    <x v="7"/>
  </r>
  <r>
    <n v="666"/>
    <s v="California"/>
    <s v="95134"/>
    <d v="2015-04-09T17:19:57"/>
    <d v="2015-04-09T17:20:02"/>
    <n v="1"/>
    <n v="6"/>
    <n v="4"/>
    <n v="1"/>
    <n v="1"/>
    <n v="3"/>
    <n v="43.2"/>
    <d v="2015-04-09T17:19:58"/>
    <n v="9"/>
    <x v="1"/>
    <x v="8"/>
  </r>
  <r>
    <n v="667"/>
    <s v="Connecticut"/>
    <s v="06853"/>
    <d v="2015-07-10T12:48:25"/>
    <d v="2015-07-10T12:48:28"/>
    <n v="1"/>
    <n v="0"/>
    <n v="2"/>
    <n v="2"/>
    <n v="1"/>
    <n v="1"/>
    <n v="48"/>
    <d v="2015-07-10T12:48:25"/>
    <n v="10"/>
    <x v="4"/>
    <x v="7"/>
  </r>
  <r>
    <n v="668"/>
    <s v="Michigan"/>
    <s v="48208"/>
    <d v="2015-07-06T23:56:25"/>
    <d v="2015-07-06T19:56:29"/>
    <n v="1"/>
    <n v="2"/>
    <n v="6"/>
    <n v="2"/>
    <n v="1"/>
    <n v="4"/>
    <n v="28.8"/>
    <d v="2015-07-06T19:56:26"/>
    <n v="6"/>
    <x v="3"/>
    <x v="12"/>
  </r>
  <r>
    <n v="669"/>
    <s v="New York"/>
    <s v="10027"/>
    <d v="2015-02-02T16:03:20"/>
    <d v="2015-03-17T07:16:12"/>
    <n v="4"/>
    <n v="7"/>
    <n v="18"/>
    <n v="7"/>
    <n v="3"/>
    <n v="8"/>
    <n v="14.4"/>
    <d v="2015-02-02T16:03:21"/>
    <n v="2"/>
    <x v="3"/>
    <x v="4"/>
  </r>
  <r>
    <n v="670"/>
    <s v="Maryland"/>
    <s v="21740"/>
    <d v="2015-01-25T21:23:42"/>
    <d v="2015-03-02T19:16:20"/>
    <n v="2"/>
    <n v="2"/>
    <n v="22"/>
    <n v="5"/>
    <n v="2"/>
    <n v="12"/>
    <n v="28.8"/>
    <d v="2015-01-25T21:23:43"/>
    <n v="25"/>
    <x v="2"/>
    <x v="2"/>
  </r>
  <r>
    <n v="671"/>
    <s v="Washington"/>
    <s v="98029"/>
    <d v="2015-02-19T16:52:00"/>
    <d v="2015-02-26T11:58:54"/>
    <n v="6"/>
    <n v="1"/>
    <n v="14"/>
    <n v="3"/>
    <n v="1"/>
    <n v="7"/>
    <n v="50.4"/>
    <d v="2015-02-19T16:52:01"/>
    <n v="19"/>
    <x v="1"/>
    <x v="4"/>
  </r>
  <r>
    <n v="672"/>
    <m/>
    <m/>
    <d v="2015-04-12T17:56:59"/>
    <d v="2015-04-12T17:57:04"/>
    <n v="1"/>
    <n v="2"/>
    <n v="10"/>
    <n v="2"/>
    <n v="1"/>
    <n v="6"/>
    <n v="54"/>
    <d v="2015-04-12T18:00:46"/>
    <n v="12"/>
    <x v="2"/>
    <x v="6"/>
  </r>
  <r>
    <n v="673"/>
    <s v="Massachusetts"/>
    <s v="01085"/>
    <d v="2015-04-03T12:08:08"/>
    <d v="2015-04-03T12:08:13"/>
    <n v="1"/>
    <n v="0"/>
    <n v="2"/>
    <n v="1"/>
    <n v="1"/>
    <n v="1"/>
    <n v="28.8"/>
    <d v="2015-04-03T12:08:09"/>
    <n v="3"/>
    <x v="4"/>
    <x v="7"/>
  </r>
  <r>
    <n v="674"/>
    <s v="Michigan"/>
    <s v="48611"/>
    <d v="2015-07-08T09:40:03"/>
    <d v="2015-07-08T09:40:07"/>
    <n v="1"/>
    <n v="6"/>
    <n v="4"/>
    <n v="2"/>
    <n v="1"/>
    <n v="6"/>
    <n v="43.2"/>
    <d v="2015-07-08T09:40:04"/>
    <n v="8"/>
    <x v="6"/>
    <x v="15"/>
  </r>
  <r>
    <n v="676"/>
    <s v="Connecticut"/>
    <s v="06470"/>
    <d v="2015-01-21T12:23:18"/>
    <d v="2015-03-09T15:45:01"/>
    <n v="2"/>
    <n v="4"/>
    <n v="18"/>
    <n v="5"/>
    <n v="2"/>
    <n v="12"/>
    <n v="34.4"/>
    <d v="2015-01-21T12:23:19"/>
    <n v="21"/>
    <x v="6"/>
    <x v="7"/>
  </r>
  <r>
    <n v="677"/>
    <s v="Florida"/>
    <s v="33315"/>
    <d v="2015-08-20T18:00:10"/>
    <d v="2015-08-20T18:00:13"/>
    <n v="1"/>
    <n v="6"/>
    <n v="2"/>
    <n v="2"/>
    <n v="1"/>
    <n v="1"/>
    <n v="56.32"/>
    <d v="2015-08-20T18:00:11"/>
    <n v="20"/>
    <x v="1"/>
    <x v="6"/>
  </r>
  <r>
    <n v="678"/>
    <s v="Pennsylvania"/>
    <s v="17960"/>
    <d v="2015-06-22T18:34:41"/>
    <d v="2015-06-22T18:34:45"/>
    <n v="1"/>
    <n v="2"/>
    <n v="2"/>
    <n v="3"/>
    <n v="1"/>
    <n v="1"/>
    <n v="72"/>
    <d v="2015-06-22T18:34:41"/>
    <n v="22"/>
    <x v="3"/>
    <x v="6"/>
  </r>
  <r>
    <n v="679"/>
    <m/>
    <m/>
    <d v="2015-06-30T03:49:55"/>
    <d v="2015-06-30T09:55:09"/>
    <n v="2"/>
    <n v="0"/>
    <n v="2"/>
    <n v="2"/>
    <n v="1"/>
    <n v="2"/>
    <n v="18"/>
    <d v="2015-06-29T23:49:56"/>
    <n v="29"/>
    <x v="3"/>
    <x v="0"/>
  </r>
  <r>
    <n v="680"/>
    <s v="Connecticut"/>
    <s v="06074"/>
    <d v="2015-06-04T11:55:30"/>
    <d v="2015-06-04T07:55:34"/>
    <n v="1"/>
    <n v="4"/>
    <n v="4"/>
    <n v="2"/>
    <n v="1"/>
    <n v="2"/>
    <n v="18"/>
    <d v="2015-06-04T07:55:32"/>
    <n v="4"/>
    <x v="1"/>
    <x v="16"/>
  </r>
  <r>
    <n v="681"/>
    <s v="Washington"/>
    <s v="98019"/>
    <d v="2015-01-24T21:10:56"/>
    <d v="2015-01-24T21:11:00"/>
    <n v="1"/>
    <n v="0"/>
    <n v="12"/>
    <n v="5"/>
    <n v="1"/>
    <n v="2"/>
    <n v="9"/>
    <d v="2015-01-24T21:10:57"/>
    <n v="24"/>
    <x v="0"/>
    <x v="2"/>
  </r>
  <r>
    <n v="682"/>
    <m/>
    <m/>
    <d v="2015-07-26T21:26:59"/>
    <d v="2015-07-26T17:27:03"/>
    <n v="1"/>
    <n v="4"/>
    <n v="8"/>
    <n v="5"/>
    <n v="1"/>
    <n v="6"/>
    <n v="267.3"/>
    <d v="2015-07-26T17:32:54"/>
    <n v="26"/>
    <x v="2"/>
    <x v="8"/>
  </r>
  <r>
    <n v="683"/>
    <s v="California"/>
    <s v="95993"/>
    <d v="2015-01-26T21:08:41"/>
    <d v="2015-01-26T21:08:46"/>
    <n v="1"/>
    <n v="6"/>
    <n v="8"/>
    <n v="7"/>
    <n v="1"/>
    <n v="4"/>
    <n v="28.8"/>
    <d v="2015-01-26T21:08:44"/>
    <n v="26"/>
    <x v="3"/>
    <x v="2"/>
  </r>
  <r>
    <n v="684"/>
    <s v="Maryland"/>
    <s v="21117"/>
    <d v="2015-08-20T09:08:57"/>
    <d v="2015-08-20T09:09:01"/>
    <n v="1"/>
    <n v="2"/>
    <n v="2"/>
    <n v="2"/>
    <n v="1"/>
    <n v="1"/>
    <n v="29.92"/>
    <d v="2015-08-20T09:08:57"/>
    <n v="20"/>
    <x v="1"/>
    <x v="15"/>
  </r>
  <r>
    <n v="685"/>
    <s v="North Carolina"/>
    <s v="28560"/>
    <d v="2015-02-03T10:26:16"/>
    <d v="2015-02-03T10:26:21"/>
    <n v="1"/>
    <n v="0"/>
    <n v="12"/>
    <n v="2"/>
    <n v="1"/>
    <n v="4"/>
    <n v="30.6"/>
    <d v="2015-02-03T10:26:17"/>
    <n v="3"/>
    <x v="5"/>
    <x v="13"/>
  </r>
  <r>
    <n v="686"/>
    <s v="Missouri"/>
    <s v="65203"/>
    <d v="2015-08-31T00:41:57"/>
    <d v="2015-08-30T20:42:01"/>
    <n v="1"/>
    <n v="6"/>
    <n v="10"/>
    <n v="2"/>
    <n v="1"/>
    <n v="4"/>
    <n v="35.200000000000003"/>
    <d v="2015-08-30T20:41:58"/>
    <n v="30"/>
    <x v="2"/>
    <x v="5"/>
  </r>
  <r>
    <n v="687"/>
    <s v="Florida"/>
    <s v="32162"/>
    <d v="2015-02-08T19:12:26"/>
    <d v="2015-02-08T19:12:31"/>
    <n v="1"/>
    <n v="0"/>
    <n v="4"/>
    <n v="1"/>
    <n v="1"/>
    <n v="2"/>
    <n v="18"/>
    <d v="2015-02-08T19:12:27"/>
    <n v="8"/>
    <x v="2"/>
    <x v="12"/>
  </r>
  <r>
    <n v="688"/>
    <m/>
    <m/>
    <d v="2015-07-04T02:26:38"/>
    <d v="2015-07-03T22:26:39"/>
    <n v="1"/>
    <n v="6"/>
    <n v="6"/>
    <n v="4"/>
    <n v="1"/>
    <n v="4"/>
    <n v="28.8"/>
    <d v="2015-07-03T22:28:28"/>
    <n v="3"/>
    <x v="4"/>
    <x v="1"/>
  </r>
  <r>
    <n v="689"/>
    <s v="Iowa"/>
    <s v="52245"/>
    <d v="2015-04-19T23:17:05"/>
    <d v="2015-04-19T23:17:12"/>
    <n v="1"/>
    <n v="4"/>
    <n v="18"/>
    <n v="1"/>
    <n v="1"/>
    <n v="8"/>
    <n v="56"/>
    <d v="2015-04-19T23:17:07"/>
    <n v="19"/>
    <x v="2"/>
    <x v="0"/>
  </r>
  <r>
    <n v="690"/>
    <s v="Connecticut"/>
    <s v="06824"/>
    <d v="2015-04-04T15:20:07"/>
    <d v="2015-04-04T15:20:11"/>
    <n v="1"/>
    <n v="4"/>
    <n v="2"/>
    <n v="1"/>
    <n v="1"/>
    <n v="1"/>
    <n v="57.6"/>
    <d v="2015-04-04T15:20:07"/>
    <n v="4"/>
    <x v="0"/>
    <x v="10"/>
  </r>
  <r>
    <n v="691"/>
    <m/>
    <m/>
    <d v="2015-01-28T12:35:23"/>
    <d v="2015-03-05T12:22:18"/>
    <n v="2"/>
    <n v="4"/>
    <n v="43"/>
    <n v="6"/>
    <n v="1"/>
    <n v="8"/>
    <n v="57.6"/>
    <d v="2015-01-28T12:37:13"/>
    <n v="28"/>
    <x v="6"/>
    <x v="7"/>
  </r>
  <r>
    <n v="692"/>
    <s v="Florida"/>
    <s v="33614"/>
    <d v="2015-07-17T18:06:23"/>
    <d v="2015-07-17T18:06:28"/>
    <n v="1"/>
    <n v="10"/>
    <n v="12"/>
    <n v="8"/>
    <n v="1"/>
    <n v="2"/>
    <n v="38.72"/>
    <d v="2015-07-17T18:06:24"/>
    <n v="17"/>
    <x v="4"/>
    <x v="6"/>
  </r>
  <r>
    <n v="693"/>
    <s v="New Jersey"/>
    <s v="08520"/>
    <d v="2015-01-27T22:29:04"/>
    <d v="2015-01-27T22:29:07"/>
    <n v="1"/>
    <n v="0"/>
    <n v="4"/>
    <n v="3"/>
    <n v="1"/>
    <n v="1"/>
    <n v="28.8"/>
    <d v="2015-01-27T22:29:05"/>
    <n v="27"/>
    <x v="5"/>
    <x v="1"/>
  </r>
  <r>
    <n v="695"/>
    <s v="California"/>
    <s v="92240"/>
    <d v="2015-02-13T04:07:36"/>
    <d v="2015-03-07T04:39:18"/>
    <n v="4"/>
    <n v="3"/>
    <n v="8"/>
    <n v="10"/>
    <n v="1"/>
    <n v="4"/>
    <n v="28.8"/>
    <d v="2015-02-14T04:30:30"/>
    <n v="14"/>
    <x v="0"/>
    <x v="23"/>
  </r>
  <r>
    <n v="696"/>
    <s v="Michigan"/>
    <s v="49085"/>
    <d v="2015-01-17T21:03:28"/>
    <d v="2015-01-17T21:03:32"/>
    <n v="1"/>
    <n v="0"/>
    <n v="4"/>
    <n v="3"/>
    <n v="1"/>
    <n v="5"/>
    <n v="45"/>
    <d v="2015-01-17T21:03:29"/>
    <n v="17"/>
    <x v="0"/>
    <x v="2"/>
  </r>
  <r>
    <n v="697"/>
    <s v="Minnesota"/>
    <s v="55427"/>
    <d v="2015-01-21T17:01:28"/>
    <d v="2015-01-21T17:01:32"/>
    <n v="1"/>
    <n v="4"/>
    <n v="10"/>
    <n v="2"/>
    <n v="1"/>
    <n v="5"/>
    <n v="57.6"/>
    <d v="2015-01-21T17:01:29"/>
    <n v="21"/>
    <x v="6"/>
    <x v="8"/>
  </r>
  <r>
    <n v="698"/>
    <s v="Texas"/>
    <s v="78729"/>
    <d v="2015-03-28T17:43:12"/>
    <d v="2015-03-28T17:43:18"/>
    <n v="1"/>
    <n v="6"/>
    <n v="10"/>
    <n v="2"/>
    <n v="1"/>
    <n v="5"/>
    <n v="36"/>
    <d v="2015-03-28T17:43:13"/>
    <n v="28"/>
    <x v="0"/>
    <x v="8"/>
  </r>
  <r>
    <n v="699"/>
    <m/>
    <m/>
    <d v="2015-07-11T19:53:53"/>
    <d v="2015-07-11T15:53:54"/>
    <n v="1"/>
    <n v="2"/>
    <n v="5"/>
    <n v="3"/>
    <n v="1"/>
    <n v="4"/>
    <n v="28.8"/>
    <d v="2015-07-11T15:57:00"/>
    <n v="11"/>
    <x v="0"/>
    <x v="10"/>
  </r>
  <r>
    <n v="700"/>
    <s v="Washington"/>
    <s v="98122"/>
    <d v="2015-03-01T23:53:36"/>
    <d v="2015-03-01T23:53:41"/>
    <n v="1"/>
    <n v="2"/>
    <n v="2"/>
    <n v="1"/>
    <n v="1"/>
    <n v="1"/>
    <n v="28.8"/>
    <d v="2015-03-01T23:53:37"/>
    <n v="1"/>
    <x v="2"/>
    <x v="0"/>
  </r>
  <r>
    <n v="701"/>
    <s v="Ohio"/>
    <s v="45430"/>
    <d v="2015-04-16T11:50:26"/>
    <d v="2015-04-16T11:50:30"/>
    <n v="1"/>
    <n v="4"/>
    <n v="4"/>
    <n v="1"/>
    <n v="1"/>
    <n v="2"/>
    <n v="14.4"/>
    <d v="2015-04-16T11:50:27"/>
    <n v="16"/>
    <x v="1"/>
    <x v="3"/>
  </r>
  <r>
    <n v="702"/>
    <s v="Oregon"/>
    <s v="97231"/>
    <d v="2015-07-13T15:51:47"/>
    <d v="2015-07-13T11:51:51"/>
    <n v="1"/>
    <n v="6"/>
    <n v="8"/>
    <n v="4"/>
    <n v="1"/>
    <n v="4"/>
    <n v="28.8"/>
    <d v="2015-07-13T11:51:48"/>
    <n v="13"/>
    <x v="3"/>
    <x v="3"/>
  </r>
  <r>
    <n v="703"/>
    <s v="New York"/>
    <s v="10065"/>
    <d v="2015-02-18T10:36:23"/>
    <d v="2015-02-18T10:36:27"/>
    <n v="1"/>
    <n v="0"/>
    <n v="10"/>
    <n v="2"/>
    <n v="1"/>
    <n v="4"/>
    <n v="27"/>
    <d v="2015-02-18T10:36:24"/>
    <n v="18"/>
    <x v="6"/>
    <x v="13"/>
  </r>
  <r>
    <n v="704"/>
    <s v="California"/>
    <s v="94041"/>
    <d v="2015-01-21T21:12:40"/>
    <d v="2015-01-21T21:12:44"/>
    <n v="1"/>
    <n v="2"/>
    <n v="10"/>
    <n v="2"/>
    <n v="1"/>
    <n v="5"/>
    <n v="36"/>
    <d v="2015-01-21T21:12:41"/>
    <n v="21"/>
    <x v="6"/>
    <x v="2"/>
  </r>
  <r>
    <n v="705"/>
    <s v="Colorado"/>
    <s v="80424"/>
    <d v="2015-03-10T21:50:53"/>
    <d v="2015-03-10T21:50:58"/>
    <n v="1"/>
    <n v="0"/>
    <n v="2"/>
    <n v="1"/>
    <n v="1"/>
    <n v="1"/>
    <n v="28.8"/>
    <d v="2015-03-10T21:50:54"/>
    <n v="10"/>
    <x v="5"/>
    <x v="2"/>
  </r>
  <r>
    <n v="706"/>
    <s v="Iowa"/>
    <s v="50658"/>
    <d v="2015-06-25T19:57:29"/>
    <d v="2015-06-25T19:57:34"/>
    <n v="1"/>
    <n v="0"/>
    <n v="6"/>
    <n v="2"/>
    <n v="1"/>
    <n v="3"/>
    <n v="86.4"/>
    <d v="2015-06-25T19:57:30"/>
    <n v="25"/>
    <x v="1"/>
    <x v="12"/>
  </r>
  <r>
    <n v="707"/>
    <s v="California"/>
    <s v="94114"/>
    <d v="2015-03-24T13:12:51"/>
    <d v="2015-03-24T13:12:55"/>
    <n v="1"/>
    <n v="2"/>
    <n v="6"/>
    <n v="1"/>
    <n v="1"/>
    <n v="4"/>
    <n v="28.8"/>
    <d v="2015-03-24T13:18:58"/>
    <n v="24"/>
    <x v="5"/>
    <x v="17"/>
  </r>
  <r>
    <n v="708"/>
    <s v="California"/>
    <s v="95123"/>
    <d v="2015-03-24T15:01:03"/>
    <d v="2015-03-24T15:01:09"/>
    <n v="1"/>
    <n v="0"/>
    <n v="10"/>
    <n v="1"/>
    <n v="1"/>
    <n v="4"/>
    <n v="28.8"/>
    <d v="2015-03-24T15:01:04"/>
    <n v="24"/>
    <x v="5"/>
    <x v="10"/>
  </r>
  <r>
    <n v="709"/>
    <m/>
    <m/>
    <d v="2015-03-01T10:29:04"/>
    <d v="2015-03-01T10:29:07"/>
    <n v="1"/>
    <n v="2"/>
    <n v="2"/>
    <n v="2"/>
    <n v="1"/>
    <n v="1"/>
    <n v="27"/>
    <d v="2015-03-01T10:31:52"/>
    <n v="1"/>
    <x v="2"/>
    <x v="13"/>
  </r>
  <r>
    <n v="710"/>
    <m/>
    <m/>
    <d v="2015-09-06T03:05:28"/>
    <d v="2015-09-06T03:05:29"/>
    <n v="1"/>
    <n v="9"/>
    <n v="9"/>
    <n v="12"/>
    <n v="2"/>
    <n v="4"/>
    <n v="13"/>
    <d v="2015-09-06T03:19:53"/>
    <n v="6"/>
    <x v="2"/>
    <x v="19"/>
  </r>
  <r>
    <n v="711"/>
    <s v="California"/>
    <s v="91320"/>
    <d v="2015-01-19T14:15:15"/>
    <d v="2015-01-20T12:54:03"/>
    <n v="3"/>
    <n v="0"/>
    <n v="2"/>
    <n v="3"/>
    <n v="1"/>
    <n v="1"/>
    <n v="28.8"/>
    <d v="2015-01-19T14:15:29"/>
    <n v="19"/>
    <x v="3"/>
    <x v="9"/>
  </r>
  <r>
    <n v="712"/>
    <m/>
    <m/>
    <d v="2015-06-30T04:44:55"/>
    <d v="2015-06-30T00:44:56"/>
    <n v="1"/>
    <n v="9"/>
    <n v="9"/>
    <n v="4"/>
    <n v="1"/>
    <n v="2"/>
    <n v="12"/>
    <d v="2015-06-30T00:51:34"/>
    <n v="30"/>
    <x v="5"/>
    <x v="14"/>
  </r>
  <r>
    <n v="713"/>
    <m/>
    <m/>
    <d v="2015-03-04T13:19:24"/>
    <d v="2015-03-04T13:19:32"/>
    <n v="1"/>
    <n v="4"/>
    <n v="10"/>
    <n v="4"/>
    <n v="1"/>
    <n v="4"/>
    <n v="28.8"/>
    <d v="2015-03-04T13:19:26"/>
    <n v="4"/>
    <x v="6"/>
    <x v="17"/>
  </r>
  <r>
    <n v="714"/>
    <m/>
    <m/>
    <d v="2015-03-21T14:15:09"/>
    <d v="2015-03-21T14:15:14"/>
    <n v="1"/>
    <n v="0"/>
    <n v="4"/>
    <n v="3"/>
    <n v="1"/>
    <n v="2"/>
    <n v="14.4"/>
    <d v="2015-03-21T14:15:11"/>
    <n v="21"/>
    <x v="0"/>
    <x v="9"/>
  </r>
  <r>
    <n v="715"/>
    <s v="California"/>
    <s v="90746"/>
    <d v="2015-02-22T11:43:06"/>
    <d v="2015-02-22T11:43:12"/>
    <n v="1"/>
    <n v="0"/>
    <n v="12"/>
    <n v="1"/>
    <n v="1"/>
    <n v="6"/>
    <n v="43.2"/>
    <d v="2015-02-22T11:43:08"/>
    <n v="22"/>
    <x v="2"/>
    <x v="3"/>
  </r>
  <r>
    <n v="716"/>
    <m/>
    <m/>
    <d v="2015-07-09T23:02:37"/>
    <d v="2015-07-09T19:02:39"/>
    <n v="1"/>
    <n v="2"/>
    <n v="6"/>
    <n v="5"/>
    <n v="1"/>
    <n v="2"/>
    <n v="57.6"/>
    <d v="2015-07-09T19:04:49"/>
    <n v="9"/>
    <x v="1"/>
    <x v="12"/>
  </r>
  <r>
    <n v="717"/>
    <s v="Illinois"/>
    <s v="60613"/>
    <d v="2015-05-21T17:26:13"/>
    <d v="2015-05-21T17:26:16"/>
    <n v="1"/>
    <n v="4"/>
    <n v="2"/>
    <n v="2"/>
    <n v="1"/>
    <n v="1"/>
    <n v="57.6"/>
    <d v="2015-05-21T17:26:13"/>
    <n v="21"/>
    <x v="1"/>
    <x v="8"/>
  </r>
  <r>
    <n v="718"/>
    <s v="New York"/>
    <s v="11901"/>
    <d v="2015-06-23T22:14:52"/>
    <d v="2015-06-24T10:46:45"/>
    <n v="2"/>
    <n v="2"/>
    <n v="2"/>
    <n v="4"/>
    <n v="1"/>
    <n v="1"/>
    <n v="38.4"/>
    <d v="2015-06-23T18:18:43"/>
    <n v="23"/>
    <x v="5"/>
    <x v="6"/>
  </r>
  <r>
    <n v="719"/>
    <s v="Texas"/>
    <s v="79705"/>
    <d v="2015-05-07T20:53:45"/>
    <d v="2015-05-07T20:53:49"/>
    <n v="1"/>
    <n v="0"/>
    <n v="4"/>
    <n v="2"/>
    <n v="1"/>
    <n v="2"/>
    <n v="14.4"/>
    <d v="2015-05-07T20:53:46"/>
    <n v="7"/>
    <x v="1"/>
    <x v="5"/>
  </r>
  <r>
    <n v="720"/>
    <s v="Georgia"/>
    <s v="31411"/>
    <d v="2015-03-04T07:13:53"/>
    <d v="2015-03-10T18:02:43"/>
    <n v="3"/>
    <n v="1"/>
    <n v="1"/>
    <n v="2"/>
    <n v="1"/>
    <n v="1"/>
    <n v="36"/>
    <d v="2015-03-04T07:21:18"/>
    <n v="4"/>
    <x v="6"/>
    <x v="16"/>
  </r>
  <r>
    <n v="721"/>
    <s v="Iowa"/>
    <s v="50201"/>
    <d v="2015-08-01T13:54:06"/>
    <d v="2015-08-03T13:31:33"/>
    <n v="6"/>
    <n v="6"/>
    <n v="2"/>
    <n v="3"/>
    <n v="1"/>
    <n v="1"/>
    <n v="37.4"/>
    <d v="2015-08-01T13:54:07"/>
    <n v="1"/>
    <x v="0"/>
    <x v="17"/>
  </r>
  <r>
    <n v="722"/>
    <s v="New York"/>
    <s v="11204"/>
    <d v="2015-07-07T02:21:45"/>
    <d v="2015-07-06T22:21:50"/>
    <n v="1"/>
    <n v="2"/>
    <n v="2"/>
    <n v="2"/>
    <n v="1"/>
    <n v="1"/>
    <n v="72"/>
    <d v="2015-07-06T22:21:46"/>
    <n v="6"/>
    <x v="3"/>
    <x v="1"/>
  </r>
  <r>
    <n v="723"/>
    <m/>
    <m/>
    <d v="2015-04-04T10:49:18"/>
    <d v="2015-04-04T10:49:20"/>
    <n v="1"/>
    <n v="1"/>
    <n v="11"/>
    <n v="3"/>
    <n v="1"/>
    <n v="7"/>
    <n v="59"/>
    <d v="2015-04-04T11:04:30"/>
    <n v="4"/>
    <x v="0"/>
    <x v="3"/>
  </r>
  <r>
    <n v="724"/>
    <m/>
    <m/>
    <d v="2015-04-26T01:25:45"/>
    <d v="2015-04-30T08:13:50"/>
    <n v="3"/>
    <n v="5"/>
    <n v="12"/>
    <n v="8"/>
    <n v="1"/>
    <n v="11"/>
    <n v="79.2"/>
    <d v="2015-04-30T09:22:37"/>
    <n v="30"/>
    <x v="1"/>
    <x v="15"/>
  </r>
  <r>
    <n v="725"/>
    <s v="California"/>
    <s v="93712"/>
    <d v="2015-01-03T03:08:37"/>
    <d v="2015-01-03T03:08:43"/>
    <n v="1"/>
    <n v="6"/>
    <n v="4"/>
    <n v="3"/>
    <n v="1"/>
    <n v="4"/>
    <n v="28.8"/>
    <d v="2015-01-03T03:08:38"/>
    <n v="3"/>
    <x v="0"/>
    <x v="19"/>
  </r>
  <r>
    <n v="726"/>
    <s v="California"/>
    <s v="94556"/>
    <d v="2015-08-08T21:42:01"/>
    <d v="2015-08-08T17:42:06"/>
    <n v="1"/>
    <n v="2"/>
    <n v="4"/>
    <n v="2"/>
    <n v="1"/>
    <n v="1"/>
    <n v="37.4"/>
    <d v="2015-08-08T17:42:01"/>
    <n v="8"/>
    <x v="0"/>
    <x v="8"/>
  </r>
  <r>
    <n v="727"/>
    <s v="South Carolina"/>
    <s v="29649"/>
    <d v="2015-03-22T21:06:04"/>
    <d v="2015-03-22T21:06:12"/>
    <n v="1"/>
    <n v="2"/>
    <n v="8"/>
    <n v="1"/>
    <n v="1"/>
    <n v="4"/>
    <n v="36"/>
    <d v="2015-03-22T21:06:06"/>
    <n v="22"/>
    <x v="2"/>
    <x v="2"/>
  </r>
  <r>
    <n v="728"/>
    <s v="Pennsylvania"/>
    <s v="15068"/>
    <d v="2015-01-19T09:59:37"/>
    <d v="2015-01-19T09:59:41"/>
    <n v="1"/>
    <n v="2"/>
    <n v="4"/>
    <n v="6"/>
    <n v="1"/>
    <n v="2"/>
    <n v="9"/>
    <d v="2015-01-19T09:59:38"/>
    <n v="19"/>
    <x v="3"/>
    <x v="15"/>
  </r>
  <r>
    <n v="729"/>
    <s v="California"/>
    <s v="90022"/>
    <d v="2015-07-25T02:53:11"/>
    <d v="2015-07-25T02:53:14"/>
    <n v="1"/>
    <n v="5"/>
    <n v="3"/>
    <n v="3"/>
    <n v="1"/>
    <n v="1"/>
    <n v="11"/>
    <d v="2015-07-25T02:53:11"/>
    <n v="25"/>
    <x v="0"/>
    <x v="21"/>
  </r>
  <r>
    <n v="730"/>
    <s v="Ohio"/>
    <s v="45249"/>
    <d v="2015-05-13T14:19:59"/>
    <d v="2015-05-13T14:20:03"/>
    <n v="1"/>
    <n v="2"/>
    <n v="6"/>
    <n v="2"/>
    <n v="1"/>
    <n v="3"/>
    <n v="18"/>
    <d v="2015-05-13T14:20:00"/>
    <n v="13"/>
    <x v="6"/>
    <x v="9"/>
  </r>
  <r>
    <n v="731"/>
    <s v="Michigan"/>
    <s v="49321"/>
    <d v="2015-06-16T18:14:59"/>
    <d v="2015-06-16T14:15:12"/>
    <n v="1"/>
    <n v="0"/>
    <n v="10"/>
    <n v="7"/>
    <n v="1"/>
    <n v="5"/>
    <n v="36"/>
    <d v="2015-06-16T14:15:06"/>
    <n v="16"/>
    <x v="5"/>
    <x v="9"/>
  </r>
  <r>
    <n v="732"/>
    <s v="California"/>
    <s v="94306"/>
    <d v="2015-07-06T00:54:25"/>
    <d v="2015-07-06T00:54:30"/>
    <n v="1"/>
    <n v="10"/>
    <n v="14"/>
    <n v="3"/>
    <n v="1"/>
    <n v="7"/>
    <n v="74.400000000000006"/>
    <d v="2015-07-06T00:54:25"/>
    <n v="6"/>
    <x v="3"/>
    <x v="14"/>
  </r>
  <r>
    <n v="733"/>
    <s v="California"/>
    <s v="92124"/>
    <d v="2015-03-28T12:55:22"/>
    <d v="2015-03-28T12:55:25"/>
    <n v="1"/>
    <n v="0"/>
    <n v="2"/>
    <n v="3"/>
    <n v="1"/>
    <n v="1"/>
    <n v="9"/>
    <d v="2015-03-28T12:58:34"/>
    <n v="28"/>
    <x v="0"/>
    <x v="7"/>
  </r>
  <r>
    <n v="734"/>
    <s v="Washington"/>
    <s v="98029"/>
    <d v="2015-03-04T00:09:52"/>
    <d v="2015-03-04T00:09:56"/>
    <n v="1"/>
    <n v="2"/>
    <n v="6"/>
    <n v="1"/>
    <n v="1"/>
    <n v="2"/>
    <n v="72"/>
    <d v="2015-03-04T00:09:53"/>
    <n v="4"/>
    <x v="6"/>
    <x v="14"/>
  </r>
  <r>
    <n v="735"/>
    <s v="Texas"/>
    <s v="76903"/>
    <d v="2015-06-05T14:44:28"/>
    <d v="2015-06-05T10:44:30"/>
    <n v="1"/>
    <n v="0"/>
    <n v="2"/>
    <n v="1"/>
    <n v="1"/>
    <n v="1"/>
    <n v="28.8"/>
    <d v="2015-06-05T10:54:25"/>
    <n v="5"/>
    <x v="4"/>
    <x v="13"/>
  </r>
  <r>
    <n v="736"/>
    <s v="Texas"/>
    <s v="77450"/>
    <d v="2015-09-12T15:51:28"/>
    <d v="2015-09-12T11:51:33"/>
    <n v="1"/>
    <n v="2"/>
    <n v="4"/>
    <n v="2"/>
    <n v="1"/>
    <n v="2"/>
    <n v="38.72"/>
    <d v="2015-09-12T11:51:29"/>
    <n v="12"/>
    <x v="0"/>
    <x v="3"/>
  </r>
  <r>
    <n v="737"/>
    <s v="California"/>
    <s v="90027"/>
    <d v="2015-05-09T00:01:41"/>
    <d v="2015-05-09T00:01:45"/>
    <n v="1"/>
    <n v="0"/>
    <n v="4"/>
    <n v="2"/>
    <n v="1"/>
    <n v="2"/>
    <n v="57.6"/>
    <d v="2015-05-09T00:01:42"/>
    <n v="9"/>
    <x v="0"/>
    <x v="14"/>
  </r>
  <r>
    <n v="738"/>
    <s v="California"/>
    <s v="94541"/>
    <d v="2015-07-22T16:09:02"/>
    <d v="2015-07-22T16:09:06"/>
    <n v="1"/>
    <n v="0"/>
    <n v="2"/>
    <n v="3"/>
    <n v="1"/>
    <n v="2"/>
    <n v="19.2"/>
    <d v="2015-07-22T16:09:03"/>
    <n v="22"/>
    <x v="6"/>
    <x v="4"/>
  </r>
  <r>
    <n v="740"/>
    <s v="New York"/>
    <s v="10022"/>
    <d v="2015-08-18T19:06:45"/>
    <d v="2015-08-18T15:06:49"/>
    <n v="1"/>
    <n v="0"/>
    <n v="8"/>
    <n v="2"/>
    <n v="1"/>
    <n v="4"/>
    <n v="44"/>
    <d v="2015-08-18T15:06:46"/>
    <n v="18"/>
    <x v="5"/>
    <x v="10"/>
  </r>
  <r>
    <n v="741"/>
    <s v="Massachusetts"/>
    <s v="02476"/>
    <d v="2015-07-16T14:04:20"/>
    <d v="2015-07-16T14:04:24"/>
    <n v="1"/>
    <n v="0"/>
    <n v="2"/>
    <n v="2"/>
    <n v="1"/>
    <n v="1"/>
    <n v="29.92"/>
    <d v="2015-07-16T14:04:20"/>
    <n v="16"/>
    <x v="1"/>
    <x v="9"/>
  </r>
  <r>
    <n v="742"/>
    <s v="Pennsylvania"/>
    <s v="18914"/>
    <d v="2015-06-09T15:29:52"/>
    <d v="2015-06-09T15:30:04"/>
    <n v="1"/>
    <n v="4"/>
    <n v="8"/>
    <n v="9"/>
    <n v="1"/>
    <n v="4"/>
    <n v="24.75"/>
    <d v="2015-06-09T15:30:01"/>
    <n v="9"/>
    <x v="5"/>
    <x v="10"/>
  </r>
  <r>
    <n v="743"/>
    <s v="Tennessee"/>
    <s v="37877"/>
    <d v="2015-01-05T20:03:13"/>
    <d v="2015-02-10T16:12:51"/>
    <n v="3"/>
    <n v="2"/>
    <n v="14"/>
    <n v="7"/>
    <n v="2"/>
    <n v="6"/>
    <n v="28.8"/>
    <d v="2015-01-05T20:03:14"/>
    <n v="5"/>
    <x v="3"/>
    <x v="5"/>
  </r>
  <r>
    <n v="744"/>
    <s v="Hawaii"/>
    <s v="96789"/>
    <d v="2015-06-17T17:29:05"/>
    <d v="2015-06-17T13:29:06"/>
    <n v="1"/>
    <n v="0"/>
    <n v="1"/>
    <n v="1"/>
    <n v="1"/>
    <n v="1"/>
    <n v="38.4"/>
    <d v="2015-06-17T13:34:33"/>
    <n v="17"/>
    <x v="6"/>
    <x v="17"/>
  </r>
  <r>
    <n v="745"/>
    <m/>
    <m/>
    <d v="2014-11-28T23:27:10"/>
    <d v="2015-01-16T18:55:03"/>
    <n v="3"/>
    <n v="1"/>
    <n v="18"/>
    <n v="5"/>
    <n v="1"/>
    <n v="6"/>
    <n v="43.2"/>
    <d v="2015-01-08T22:04:45"/>
    <n v="8"/>
    <x v="1"/>
    <x v="1"/>
  </r>
  <r>
    <n v="746"/>
    <s v="Ohio"/>
    <s v="45069"/>
    <d v="2015-06-26T20:42:39"/>
    <d v="2015-06-26T16:42:47"/>
    <n v="1"/>
    <n v="14"/>
    <n v="6"/>
    <n v="3"/>
    <n v="1"/>
    <n v="3"/>
    <n v="138"/>
    <d v="2015-06-26T16:42:42"/>
    <n v="26"/>
    <x v="4"/>
    <x v="4"/>
  </r>
  <r>
    <n v="747"/>
    <m/>
    <m/>
    <d v="2015-07-13T15:34:47"/>
    <d v="2015-07-13T11:34:48"/>
    <n v="1"/>
    <n v="2"/>
    <n v="2"/>
    <n v="4"/>
    <n v="1"/>
    <n v="4"/>
    <n v="28.8"/>
    <d v="2015-07-13T11:35:54"/>
    <n v="13"/>
    <x v="3"/>
    <x v="3"/>
  </r>
  <r>
    <n v="748"/>
    <s v="Indiana"/>
    <s v="46755"/>
    <d v="2015-02-24T21:45:21"/>
    <d v="2015-02-24T21:45:26"/>
    <n v="1"/>
    <n v="0"/>
    <n v="8"/>
    <n v="1"/>
    <n v="1"/>
    <n v="4"/>
    <n v="28.8"/>
    <d v="2015-02-24T21:45:22"/>
    <n v="24"/>
    <x v="5"/>
    <x v="2"/>
  </r>
  <r>
    <n v="749"/>
    <s v="Rhode Island"/>
    <s v="02889"/>
    <d v="2015-08-28T19:29:09"/>
    <d v="2015-08-28T19:29:11"/>
    <n v="1"/>
    <n v="4"/>
    <n v="4"/>
    <n v="6"/>
    <n v="1"/>
    <n v="1"/>
    <n v="52.8"/>
    <d v="2015-08-28T19:33:09"/>
    <n v="28"/>
    <x v="4"/>
    <x v="12"/>
  </r>
  <r>
    <n v="750"/>
    <m/>
    <m/>
    <d v="2015-03-03T19:15:28"/>
    <d v="2015-03-03T19:15:33"/>
    <n v="1"/>
    <n v="0"/>
    <n v="2"/>
    <n v="1"/>
    <n v="1"/>
    <n v="3"/>
    <n v="27"/>
    <d v="2015-03-03T19:19:56"/>
    <n v="3"/>
    <x v="5"/>
    <x v="12"/>
  </r>
  <r>
    <n v="751"/>
    <s v="New York"/>
    <s v="13066"/>
    <d v="2015-08-31T16:21:38"/>
    <d v="2015-08-31T12:21:43"/>
    <n v="1"/>
    <n v="4"/>
    <n v="4"/>
    <n v="2"/>
    <n v="1"/>
    <n v="2"/>
    <n v="56.1"/>
    <d v="2015-08-31T12:21:39"/>
    <n v="31"/>
    <x v="3"/>
    <x v="7"/>
  </r>
  <r>
    <n v="752"/>
    <s v="Pennsylvania"/>
    <s v="19061"/>
    <d v="2015-08-08T23:25:51"/>
    <d v="2015-08-10T20:34:16"/>
    <n v="7"/>
    <n v="5"/>
    <n v="5"/>
    <n v="7"/>
    <n v="1"/>
    <n v="2"/>
    <n v="17.600000000000001"/>
    <d v="2015-08-08T23:25:52"/>
    <n v="8"/>
    <x v="0"/>
    <x v="0"/>
  </r>
  <r>
    <n v="753"/>
    <s v="Illinois"/>
    <s v="60073"/>
    <d v="2015-08-01T04:25:14"/>
    <d v="2015-08-01T00:25:20"/>
    <n v="1"/>
    <n v="6"/>
    <n v="6"/>
    <n v="2"/>
    <n v="1"/>
    <n v="4"/>
    <n v="35.200000000000003"/>
    <d v="2015-08-01T00:25:15"/>
    <n v="1"/>
    <x v="0"/>
    <x v="14"/>
  </r>
  <r>
    <n v="754"/>
    <s v="Indiana"/>
    <s v="47459"/>
    <d v="2015-03-05T16:54:48"/>
    <d v="2015-03-05T16:54:54"/>
    <n v="1"/>
    <n v="0"/>
    <n v="10"/>
    <n v="1"/>
    <n v="1"/>
    <n v="5"/>
    <n v="36"/>
    <d v="2015-03-05T16:54:50"/>
    <n v="5"/>
    <x v="1"/>
    <x v="4"/>
  </r>
  <r>
    <n v="755"/>
    <s v="Illinois"/>
    <s v="60013"/>
    <d v="2015-02-24T23:11:18"/>
    <d v="2015-03-16T20:57:43"/>
    <n v="5"/>
    <n v="4"/>
    <n v="6"/>
    <n v="4"/>
    <n v="1"/>
    <n v="3"/>
    <n v="21.6"/>
    <d v="2015-02-24T23:11:19"/>
    <n v="24"/>
    <x v="5"/>
    <x v="0"/>
  </r>
  <r>
    <n v="756"/>
    <s v="California"/>
    <s v="94025"/>
    <d v="2015-06-14T23:38:10"/>
    <d v="2015-06-14T23:38:14"/>
    <n v="1"/>
    <n v="0"/>
    <n v="8"/>
    <n v="2"/>
    <n v="1"/>
    <n v="4"/>
    <n v="28.8"/>
    <d v="2015-06-14T23:38:11"/>
    <n v="14"/>
    <x v="2"/>
    <x v="0"/>
  </r>
  <r>
    <n v="757"/>
    <s v="Virginia"/>
    <s v="22204"/>
    <d v="2015-02-09T21:08:06"/>
    <d v="2015-02-10T06:20:06"/>
    <n v="3"/>
    <n v="0"/>
    <n v="8"/>
    <n v="3"/>
    <n v="1"/>
    <n v="3"/>
    <n v="18"/>
    <d v="2015-02-09T21:08:07"/>
    <n v="9"/>
    <x v="3"/>
    <x v="2"/>
  </r>
  <r>
    <n v="758"/>
    <m/>
    <s v="9030"/>
    <d v="2013-09-20T19:29:40"/>
    <d v="2015-03-25T03:43:45"/>
    <n v="1"/>
    <n v="3"/>
    <n v="8"/>
    <n v="1"/>
    <n v="1"/>
    <n v="4"/>
    <n v="36"/>
    <d v="2015-03-25T03:48:01"/>
    <n v="25"/>
    <x v="6"/>
    <x v="19"/>
  </r>
  <r>
    <n v="759"/>
    <m/>
    <m/>
    <d v="2015-05-20T12:10:55"/>
    <d v="2015-05-20T12:10:59"/>
    <n v="1"/>
    <n v="2"/>
    <n v="4"/>
    <n v="2"/>
    <n v="1"/>
    <n v="2"/>
    <n v="18"/>
    <d v="2015-05-20T12:10:57"/>
    <n v="20"/>
    <x v="6"/>
    <x v="7"/>
  </r>
  <r>
    <n v="761"/>
    <s v="Massachusetts"/>
    <s v="01844"/>
    <d v="2015-04-23T23:16:58"/>
    <d v="2015-04-23T23:17:04"/>
    <n v="1"/>
    <n v="2"/>
    <n v="2"/>
    <n v="1"/>
    <n v="1"/>
    <n v="1"/>
    <n v="36"/>
    <d v="2015-04-23T23:16:59"/>
    <n v="23"/>
    <x v="1"/>
    <x v="0"/>
  </r>
  <r>
    <n v="762"/>
    <s v="Massachusetts"/>
    <s v="02468"/>
    <d v="2015-01-15T15:23:07"/>
    <d v="2015-02-09T14:10:05"/>
    <n v="2"/>
    <n v="0"/>
    <n v="4"/>
    <n v="4"/>
    <n v="2"/>
    <n v="15"/>
    <n v="27"/>
    <d v="2015-01-15T15:23:09"/>
    <n v="15"/>
    <x v="1"/>
    <x v="10"/>
  </r>
  <r>
    <n v="763"/>
    <s v="Ohio"/>
    <s v="44094"/>
    <d v="2015-09-05T23:09:35"/>
    <d v="2015-09-05T23:09:39"/>
    <n v="1"/>
    <n v="2"/>
    <n v="2"/>
    <n v="2"/>
    <n v="1"/>
    <n v="1"/>
    <n v="56.32"/>
    <d v="2015-09-05T23:09:35"/>
    <n v="5"/>
    <x v="0"/>
    <x v="0"/>
  </r>
  <r>
    <n v="765"/>
    <s v="North Carolina"/>
    <s v="28092"/>
    <d v="2015-09-11T00:03:10"/>
    <d v="2015-09-11T00:03:12"/>
    <n v="1"/>
    <n v="6"/>
    <n v="5"/>
    <n v="4"/>
    <n v="1"/>
    <n v="3"/>
    <n v="47.52"/>
    <d v="2015-09-11T00:27:16"/>
    <n v="11"/>
    <x v="4"/>
    <x v="14"/>
  </r>
  <r>
    <n v="766"/>
    <s v="Tennessee"/>
    <s v="38018"/>
    <d v="2015-04-05T07:45:32"/>
    <d v="2015-04-05T07:45:39"/>
    <n v="1"/>
    <n v="0"/>
    <n v="4"/>
    <n v="1"/>
    <n v="1"/>
    <n v="4"/>
    <n v="28.8"/>
    <d v="2015-04-05T07:45:32"/>
    <n v="5"/>
    <x v="2"/>
    <x v="16"/>
  </r>
  <r>
    <n v="767"/>
    <s v="West Virginia"/>
    <s v="25413"/>
    <d v="2015-06-11T15:10:18"/>
    <d v="2015-06-11T11:10:23"/>
    <n v="1"/>
    <n v="4"/>
    <n v="4"/>
    <n v="2"/>
    <n v="1"/>
    <n v="2"/>
    <n v="57.6"/>
    <d v="2015-06-11T11:10:19"/>
    <n v="11"/>
    <x v="1"/>
    <x v="3"/>
  </r>
  <r>
    <n v="768"/>
    <s v="Georgia"/>
    <s v="30045"/>
    <d v="2015-01-03T17:18:53"/>
    <d v="2015-01-04T13:07:06"/>
    <n v="3"/>
    <n v="0"/>
    <n v="12"/>
    <n v="2"/>
    <n v="1"/>
    <n v="4"/>
    <n v="36"/>
    <d v="2015-01-03T17:18:54"/>
    <n v="3"/>
    <x v="0"/>
    <x v="8"/>
  </r>
  <r>
    <n v="769"/>
    <s v="Florida"/>
    <s v="34608"/>
    <d v="2015-03-07T23:11:35"/>
    <d v="2015-03-07T23:11:39"/>
    <n v="1"/>
    <n v="0"/>
    <n v="8"/>
    <n v="3"/>
    <n v="1"/>
    <n v="2"/>
    <n v="18"/>
    <d v="2015-03-07T23:13:53"/>
    <n v="7"/>
    <x v="0"/>
    <x v="0"/>
  </r>
  <r>
    <n v="771"/>
    <s v="Illinois"/>
    <s v="60618"/>
    <d v="2015-01-12T12:40:54"/>
    <d v="2015-02-10T12:25:02"/>
    <n v="6"/>
    <n v="0"/>
    <n v="11"/>
    <n v="8"/>
    <n v="2"/>
    <n v="8"/>
    <n v="9"/>
    <d v="2015-01-12T12:40:56"/>
    <n v="12"/>
    <x v="3"/>
    <x v="7"/>
  </r>
  <r>
    <n v="772"/>
    <s v="Florida"/>
    <s v="33432"/>
    <d v="2015-03-13T20:00:20"/>
    <d v="2015-03-13T20:00:27"/>
    <n v="1"/>
    <n v="0"/>
    <n v="8"/>
    <n v="1"/>
    <n v="1"/>
    <n v="4"/>
    <n v="28.8"/>
    <d v="2015-03-13T20:00:22"/>
    <n v="13"/>
    <x v="4"/>
    <x v="5"/>
  </r>
  <r>
    <n v="773"/>
    <m/>
    <m/>
    <d v="2015-02-06T21:59:27"/>
    <d v="2015-02-06T21:59:32"/>
    <n v="1"/>
    <n v="0"/>
    <n v="4"/>
    <n v="2"/>
    <n v="1"/>
    <n v="2"/>
    <n v="52.7"/>
    <d v="2015-02-06T21:59:29"/>
    <n v="6"/>
    <x v="4"/>
    <x v="2"/>
  </r>
  <r>
    <n v="774"/>
    <s v="California"/>
    <s v="92648"/>
    <d v="2015-07-13T19:23:55"/>
    <d v="2015-07-13T17:43:39"/>
    <n v="3"/>
    <n v="4"/>
    <n v="4"/>
    <n v="2"/>
    <n v="1"/>
    <n v="2"/>
    <n v="72"/>
    <d v="2015-07-13T15:23:56"/>
    <n v="13"/>
    <x v="3"/>
    <x v="10"/>
  </r>
  <r>
    <n v="775"/>
    <s v="Connecticut"/>
    <s v="06437"/>
    <d v="2015-09-25T00:37:14"/>
    <d v="2015-09-24T20:37:18"/>
    <n v="1"/>
    <n v="2"/>
    <n v="2"/>
    <n v="2"/>
    <n v="1"/>
    <n v="1"/>
    <n v="29.92"/>
    <d v="2015-09-24T20:37:15"/>
    <n v="24"/>
    <x v="1"/>
    <x v="5"/>
  </r>
  <r>
    <n v="777"/>
    <s v="California"/>
    <s v="94110"/>
    <d v="2015-06-01T15:09:41"/>
    <d v="2015-06-01T15:09:46"/>
    <n v="1"/>
    <n v="18"/>
    <n v="10"/>
    <n v="7"/>
    <n v="1"/>
    <n v="6"/>
    <n v="60.75"/>
    <d v="2015-06-01T15:09:42"/>
    <n v="1"/>
    <x v="3"/>
    <x v="10"/>
  </r>
  <r>
    <n v="778"/>
    <s v="California"/>
    <s v="94501"/>
    <d v="2015-03-18T21:24:56"/>
    <d v="2015-03-18T21:25:00"/>
    <n v="1"/>
    <n v="2"/>
    <n v="4"/>
    <n v="1"/>
    <n v="1"/>
    <n v="4"/>
    <n v="28.8"/>
    <d v="2015-03-18T21:24:57"/>
    <n v="18"/>
    <x v="6"/>
    <x v="2"/>
  </r>
  <r>
    <n v="779"/>
    <s v="California"/>
    <s v="95835"/>
    <d v="2015-03-24T19:42:27"/>
    <d v="2015-03-24T19:42:30"/>
    <n v="1"/>
    <n v="0"/>
    <n v="2"/>
    <n v="2"/>
    <n v="1"/>
    <n v="1"/>
    <n v="72"/>
    <d v="2015-03-24T19:45:17"/>
    <n v="24"/>
    <x v="5"/>
    <x v="12"/>
  </r>
  <r>
    <n v="780"/>
    <s v="Missouri"/>
    <s v="63025"/>
    <d v="2015-02-20T11:55:20"/>
    <d v="2015-02-20T11:55:24"/>
    <n v="1"/>
    <n v="0"/>
    <n v="2"/>
    <n v="1"/>
    <n v="1"/>
    <n v="4"/>
    <n v="28.8"/>
    <d v="2015-02-20T11:55:21"/>
    <n v="20"/>
    <x v="4"/>
    <x v="3"/>
  </r>
  <r>
    <n v="781"/>
    <s v="Texas"/>
    <s v="76633"/>
    <d v="2015-02-06T23:39:35"/>
    <d v="2015-02-07T13:37:29"/>
    <n v="2"/>
    <n v="1"/>
    <n v="2"/>
    <n v="2"/>
    <n v="1"/>
    <n v="1"/>
    <n v="30.6"/>
    <d v="2015-02-06T23:39:36"/>
    <n v="6"/>
    <x v="4"/>
    <x v="0"/>
  </r>
  <r>
    <n v="782"/>
    <m/>
    <m/>
    <d v="2015-06-08T22:31:07"/>
    <d v="2015-06-08T18:31:09"/>
    <n v="1"/>
    <n v="4"/>
    <n v="4"/>
    <n v="2"/>
    <n v="1"/>
    <n v="2"/>
    <n v="38.4"/>
    <d v="2015-06-08T18:33:40"/>
    <n v="8"/>
    <x v="3"/>
    <x v="6"/>
  </r>
  <r>
    <n v="783"/>
    <s v="District of Columbia"/>
    <s v="20036"/>
    <d v="2015-01-10T15:48:39"/>
    <d v="2015-03-06T21:58:55"/>
    <n v="2"/>
    <n v="5"/>
    <n v="3"/>
    <n v="6"/>
    <n v="2"/>
    <n v="2"/>
    <n v="72"/>
    <d v="2015-01-10T15:48:40"/>
    <n v="10"/>
    <x v="0"/>
    <x v="10"/>
  </r>
  <r>
    <n v="784"/>
    <m/>
    <m/>
    <d v="2015-06-03T18:01:06"/>
    <d v="2015-06-03T14:01:15"/>
    <n v="1"/>
    <n v="2"/>
    <n v="10"/>
    <n v="7"/>
    <n v="1"/>
    <n v="3"/>
    <n v="81.599999999999994"/>
    <d v="2015-06-03T14:18:45"/>
    <n v="3"/>
    <x v="6"/>
    <x v="9"/>
  </r>
  <r>
    <n v="785"/>
    <s v="Colorado"/>
    <s v="80917"/>
    <d v="2015-02-17T15:31:13"/>
    <d v="2015-02-17T15:31:18"/>
    <n v="1"/>
    <n v="0"/>
    <n v="4"/>
    <n v="1"/>
    <n v="1"/>
    <n v="2"/>
    <n v="9"/>
    <d v="2015-02-17T15:31:15"/>
    <n v="17"/>
    <x v="5"/>
    <x v="10"/>
  </r>
  <r>
    <n v="786"/>
    <s v="Texas"/>
    <s v="78665"/>
    <d v="2015-07-29T19:44:10"/>
    <d v="2015-07-29T19:44:14"/>
    <n v="1"/>
    <n v="4"/>
    <n v="10"/>
    <n v="5"/>
    <n v="1"/>
    <n v="5"/>
    <n v="187"/>
    <d v="2015-07-29T19:44:10"/>
    <n v="29"/>
    <x v="6"/>
    <x v="12"/>
  </r>
  <r>
    <n v="787"/>
    <m/>
    <m/>
    <d v="2015-02-04T12:11:31"/>
    <d v="2015-02-04T17:32:11"/>
    <n v="2"/>
    <n v="0"/>
    <n v="9"/>
    <n v="17"/>
    <n v="1"/>
    <n v="4"/>
    <n v="30.6"/>
    <d v="2015-02-04T17:42:55"/>
    <n v="4"/>
    <x v="6"/>
    <x v="8"/>
  </r>
  <r>
    <n v="788"/>
    <s v="Illinois"/>
    <s v="60559"/>
    <d v="2015-03-02T22:58:26"/>
    <d v="2015-03-02T22:58:28"/>
    <n v="1"/>
    <n v="1"/>
    <n v="2"/>
    <n v="1"/>
    <n v="1"/>
    <n v="2"/>
    <n v="36"/>
    <d v="2015-03-02T23:06:45"/>
    <n v="2"/>
    <x v="3"/>
    <x v="0"/>
  </r>
  <r>
    <n v="789"/>
    <s v="Arkansas"/>
    <s v="72205"/>
    <d v="2015-06-27T19:49:51"/>
    <d v="2015-06-27T19:49:58"/>
    <n v="1"/>
    <n v="10"/>
    <n v="4"/>
    <n v="2"/>
    <n v="1"/>
    <n v="2"/>
    <n v="38.4"/>
    <d v="2015-06-27T19:49:52"/>
    <n v="27"/>
    <x v="0"/>
    <x v="12"/>
  </r>
  <r>
    <n v="791"/>
    <s v="California"/>
    <s v="95926"/>
    <d v="2015-03-02T21:38:17"/>
    <d v="2015-03-02T21:38:24"/>
    <n v="1"/>
    <n v="0"/>
    <n v="12"/>
    <n v="1"/>
    <n v="1"/>
    <n v="15"/>
    <n v="108"/>
    <d v="2015-03-02T21:38:18"/>
    <n v="2"/>
    <x v="3"/>
    <x v="2"/>
  </r>
  <r>
    <n v="792"/>
    <m/>
    <m/>
    <d v="2015-05-17T18:05:37"/>
    <d v="2015-05-17T14:05:39"/>
    <n v="1"/>
    <n v="3"/>
    <n v="5"/>
    <n v="3"/>
    <n v="1"/>
    <n v="2"/>
    <n v="18"/>
    <d v="2015-05-17T14:13:29"/>
    <n v="17"/>
    <x v="2"/>
    <x v="9"/>
  </r>
  <r>
    <n v="793"/>
    <s v="Virginia"/>
    <s v="23669"/>
    <d v="2014-09-27T22:02:24"/>
    <d v="2015-03-08T00:22:57"/>
    <n v="6"/>
    <n v="7"/>
    <n v="3"/>
    <n v="8"/>
    <n v="2"/>
    <n v="2"/>
    <n v="36"/>
    <d v="2015-02-09T11:32:16"/>
    <n v="9"/>
    <x v="3"/>
    <x v="3"/>
  </r>
  <r>
    <n v="794"/>
    <s v="Tennessee"/>
    <s v="37067"/>
    <d v="2015-07-02T13:39:49"/>
    <d v="2015-07-02T09:39:53"/>
    <n v="1"/>
    <n v="0"/>
    <n v="2"/>
    <n v="2"/>
    <n v="1"/>
    <n v="1"/>
    <n v="38.4"/>
    <d v="2015-07-02T09:39:50"/>
    <n v="2"/>
    <x v="1"/>
    <x v="15"/>
  </r>
  <r>
    <n v="795"/>
    <s v="Illinois"/>
    <s v="60014"/>
    <d v="2015-05-21T21:08:05"/>
    <d v="2015-05-21T21:08:08"/>
    <n v="1"/>
    <n v="0"/>
    <n v="4"/>
    <n v="5"/>
    <n v="1"/>
    <n v="1"/>
    <n v="28.8"/>
    <d v="2015-05-21T21:08:06"/>
    <n v="21"/>
    <x v="1"/>
    <x v="2"/>
  </r>
  <r>
    <n v="796"/>
    <s v="Arizona"/>
    <s v="85248"/>
    <d v="2015-03-11T22:51:56"/>
    <d v="2015-03-11T22:52:03"/>
    <n v="1"/>
    <n v="0"/>
    <n v="10"/>
    <n v="1"/>
    <n v="1"/>
    <n v="5"/>
    <n v="36"/>
    <d v="2015-03-11T22:51:57"/>
    <n v="11"/>
    <x v="6"/>
    <x v="1"/>
  </r>
  <r>
    <n v="797"/>
    <s v="Nevada"/>
    <s v="89130"/>
    <d v="2015-01-23T12:26:44"/>
    <d v="2015-01-23T12:26:52"/>
    <n v="1"/>
    <n v="0"/>
    <n v="2"/>
    <n v="2"/>
    <n v="1"/>
    <n v="1"/>
    <n v="115.2"/>
    <d v="2015-01-23T12:26:50"/>
    <n v="23"/>
    <x v="4"/>
    <x v="7"/>
  </r>
  <r>
    <n v="798"/>
    <s v="Pennsylvania"/>
    <s v="18974"/>
    <d v="2015-07-15T14:16:49"/>
    <d v="2015-07-15T14:16:52"/>
    <n v="1"/>
    <n v="2"/>
    <n v="6"/>
    <n v="2"/>
    <n v="1"/>
    <n v="4"/>
    <n v="46"/>
    <d v="2015-07-15T14:16:49"/>
    <n v="15"/>
    <x v="6"/>
    <x v="9"/>
  </r>
  <r>
    <n v="799"/>
    <s v="Wisconsin"/>
    <s v="54944"/>
    <d v="2015-09-11T08:21:06"/>
    <d v="2015-09-11T08:21:10"/>
    <n v="1"/>
    <n v="2"/>
    <n v="2"/>
    <n v="2"/>
    <n v="1"/>
    <n v="1"/>
    <n v="28.05"/>
    <d v="2015-09-11T08:21:06"/>
    <n v="11"/>
    <x v="4"/>
    <x v="18"/>
  </r>
  <r>
    <n v="800"/>
    <s v="Connecticut"/>
    <s v="06611"/>
    <d v="2015-03-24T20:53:18"/>
    <d v="2015-03-24T20:53:24"/>
    <n v="1"/>
    <n v="0"/>
    <n v="2"/>
    <n v="1"/>
    <n v="1"/>
    <n v="1"/>
    <n v="57.6"/>
    <d v="2015-03-24T20:53:20"/>
    <n v="24"/>
    <x v="5"/>
    <x v="5"/>
  </r>
  <r>
    <n v="801"/>
    <s v="Utah"/>
    <s v="84103"/>
    <d v="2015-07-02T09:53:40"/>
    <d v="2015-07-02T09:53:44"/>
    <n v="1"/>
    <n v="0"/>
    <n v="8"/>
    <n v="2"/>
    <n v="1"/>
    <n v="4"/>
    <n v="36"/>
    <d v="2015-07-02T09:53:40"/>
    <n v="2"/>
    <x v="1"/>
    <x v="15"/>
  </r>
  <r>
    <n v="802"/>
    <s v="New Hampshire"/>
    <s v="03301"/>
    <d v="2015-03-04T14:47:26"/>
    <d v="2015-03-04T14:47:31"/>
    <n v="1"/>
    <n v="0"/>
    <n v="16"/>
    <n v="1"/>
    <n v="1"/>
    <n v="4"/>
    <n v="28.8"/>
    <d v="2015-03-04T14:47:27"/>
    <n v="4"/>
    <x v="6"/>
    <x v="9"/>
  </r>
  <r>
    <n v="803"/>
    <s v="Texas"/>
    <s v="77351"/>
    <d v="2015-01-22T16:01:21"/>
    <d v="2015-01-22T16:01:25"/>
    <n v="1"/>
    <n v="0"/>
    <n v="4"/>
    <n v="3"/>
    <n v="1"/>
    <n v="2"/>
    <n v="9"/>
    <d v="2015-01-22T16:01:22"/>
    <n v="22"/>
    <x v="1"/>
    <x v="4"/>
  </r>
  <r>
    <n v="804"/>
    <s v="Georgia"/>
    <s v="30291"/>
    <d v="2015-08-21T17:44:46"/>
    <d v="2015-08-21T13:44:50"/>
    <n v="1"/>
    <n v="4"/>
    <n v="2"/>
    <n v="2"/>
    <n v="1"/>
    <n v="1"/>
    <n v="29.92"/>
    <d v="2015-08-21T13:44:47"/>
    <n v="21"/>
    <x v="4"/>
    <x v="17"/>
  </r>
  <r>
    <n v="805"/>
    <s v="Missouri"/>
    <s v="63368"/>
    <d v="2015-02-04T19:23:15"/>
    <d v="2015-02-18T23:14:32"/>
    <n v="5"/>
    <n v="0"/>
    <n v="9"/>
    <n v="6"/>
    <n v="2"/>
    <n v="4"/>
    <n v="9"/>
    <d v="2015-02-04T19:23:17"/>
    <n v="4"/>
    <x v="6"/>
    <x v="12"/>
  </r>
  <r>
    <n v="806"/>
    <s v="California"/>
    <s v="94941"/>
    <d v="2015-03-11T00:40:30"/>
    <d v="2015-03-11T00:40:35"/>
    <n v="1"/>
    <n v="2"/>
    <n v="2"/>
    <n v="1"/>
    <n v="1"/>
    <n v="1"/>
    <n v="115.2"/>
    <d v="2015-03-11T00:40:31"/>
    <n v="11"/>
    <x v="6"/>
    <x v="14"/>
  </r>
  <r>
    <n v="807"/>
    <s v="Iowa"/>
    <s v="50322"/>
    <d v="2015-01-17T12:24:29"/>
    <d v="2015-01-17T12:24:33"/>
    <n v="1"/>
    <n v="0"/>
    <n v="6"/>
    <n v="2"/>
    <n v="1"/>
    <n v="2"/>
    <n v="9"/>
    <d v="2015-01-17T12:24:30"/>
    <n v="17"/>
    <x v="0"/>
    <x v="7"/>
  </r>
  <r>
    <n v="808"/>
    <s v="Illinois"/>
    <s v="60030"/>
    <d v="2015-06-01T18:09:42"/>
    <d v="2015-06-03T14:53:43"/>
    <n v="5"/>
    <n v="0"/>
    <n v="6"/>
    <n v="8"/>
    <n v="1"/>
    <n v="3"/>
    <n v="21.6"/>
    <d v="2015-06-01T14:11:14"/>
    <n v="1"/>
    <x v="3"/>
    <x v="9"/>
  </r>
  <r>
    <n v="809"/>
    <s v="Nebraska"/>
    <s v="68059"/>
    <d v="2015-05-25T11:34:44"/>
    <d v="2015-05-25T11:34:48"/>
    <n v="1"/>
    <n v="2"/>
    <n v="2"/>
    <n v="2"/>
    <n v="1"/>
    <n v="1"/>
    <n v="28.8"/>
    <d v="2015-05-25T11:34:45"/>
    <n v="25"/>
    <x v="3"/>
    <x v="3"/>
  </r>
  <r>
    <n v="810"/>
    <s v="Michigan"/>
    <s v="48307"/>
    <d v="2015-01-18T16:30:29"/>
    <d v="2015-01-19T08:38:16"/>
    <n v="2"/>
    <n v="0"/>
    <n v="2"/>
    <n v="3"/>
    <n v="1"/>
    <n v="4"/>
    <n v="28.8"/>
    <d v="2015-01-18T16:30:38"/>
    <n v="18"/>
    <x v="2"/>
    <x v="4"/>
  </r>
  <r>
    <n v="811"/>
    <s v="Kentucky"/>
    <s v="41018"/>
    <d v="2015-07-08T12:27:45"/>
    <d v="2015-07-08T08:27:49"/>
    <n v="1"/>
    <n v="4"/>
    <n v="4"/>
    <n v="2"/>
    <n v="1"/>
    <n v="2"/>
    <n v="86.4"/>
    <d v="2015-07-08T08:27:46"/>
    <n v="8"/>
    <x v="6"/>
    <x v="18"/>
  </r>
  <r>
    <n v="812"/>
    <s v="New York"/>
    <s v="10010"/>
    <d v="2015-07-13T16:01:03"/>
    <d v="2015-07-13T16:01:06"/>
    <n v="1"/>
    <n v="2"/>
    <n v="2"/>
    <n v="2"/>
    <n v="1"/>
    <n v="8"/>
    <n v="72"/>
    <d v="2015-07-13T16:01:03"/>
    <n v="13"/>
    <x v="3"/>
    <x v="4"/>
  </r>
  <r>
    <n v="813"/>
    <m/>
    <m/>
    <d v="2015-07-06T17:44:20"/>
    <d v="2015-07-06T13:44:21"/>
    <n v="1"/>
    <n v="2"/>
    <n v="4"/>
    <n v="4"/>
    <n v="1"/>
    <n v="1"/>
    <n v="28.8"/>
    <d v="2015-07-06T13:45:55"/>
    <n v="6"/>
    <x v="3"/>
    <x v="17"/>
  </r>
  <r>
    <n v="814"/>
    <s v="Illinois"/>
    <s v="62062"/>
    <d v="2015-01-22T11:53:21"/>
    <d v="2015-01-22T11:53:25"/>
    <n v="1"/>
    <n v="0"/>
    <n v="2"/>
    <n v="2"/>
    <n v="1"/>
    <n v="2"/>
    <n v="9"/>
    <d v="2015-01-22T11:53:22"/>
    <n v="22"/>
    <x v="1"/>
    <x v="3"/>
  </r>
  <r>
    <n v="815"/>
    <m/>
    <m/>
    <d v="2015-09-08T19:53:36"/>
    <d v="2015-09-08T19:53:37"/>
    <n v="1"/>
    <n v="2"/>
    <n v="2"/>
    <n v="2"/>
    <n v="1"/>
    <n v="1"/>
    <n v="29.92"/>
    <d v="2015-09-08T19:56:34"/>
    <n v="8"/>
    <x v="5"/>
    <x v="12"/>
  </r>
  <r>
    <n v="816"/>
    <s v="Iowa"/>
    <s v="50131"/>
    <d v="2015-07-03T14:22:37"/>
    <d v="2015-07-03T14:22:41"/>
    <n v="1"/>
    <n v="6"/>
    <n v="10"/>
    <n v="2"/>
    <n v="1"/>
    <n v="5"/>
    <n v="36"/>
    <d v="2015-07-03T14:22:37"/>
    <n v="3"/>
    <x v="4"/>
    <x v="9"/>
  </r>
  <r>
    <n v="817"/>
    <s v="Texas"/>
    <s v="75019"/>
    <d v="2015-06-25T06:06:48"/>
    <d v="2015-06-25T06:06:52"/>
    <n v="1"/>
    <n v="2"/>
    <n v="2"/>
    <n v="3"/>
    <n v="1"/>
    <n v="4"/>
    <n v="28.8"/>
    <d v="2015-06-25T06:06:49"/>
    <n v="25"/>
    <x v="1"/>
    <x v="11"/>
  </r>
  <r>
    <n v="818"/>
    <s v="Washington"/>
    <s v="98550"/>
    <d v="2015-04-08T13:26:01"/>
    <d v="2015-04-08T13:26:03"/>
    <n v="1"/>
    <n v="0"/>
    <n v="2"/>
    <n v="1"/>
    <n v="1"/>
    <n v="1"/>
    <n v="28.8"/>
    <d v="2015-04-08T13:34:38"/>
    <n v="8"/>
    <x v="6"/>
    <x v="17"/>
  </r>
  <r>
    <n v="819"/>
    <m/>
    <m/>
    <d v="2015-03-07T16:05:26"/>
    <d v="2015-03-07T16:05:31"/>
    <n v="1"/>
    <n v="2"/>
    <n v="2"/>
    <n v="3"/>
    <n v="1"/>
    <n v="1"/>
    <n v="57.6"/>
    <d v="2015-03-07T16:05:27"/>
    <n v="7"/>
    <x v="0"/>
    <x v="4"/>
  </r>
  <r>
    <n v="820"/>
    <s v="New York"/>
    <s v="14534"/>
    <d v="2015-09-15T21:19:41"/>
    <d v="2015-09-15T21:19:44"/>
    <n v="1"/>
    <n v="4"/>
    <n v="2"/>
    <n v="3"/>
    <n v="1"/>
    <n v="1"/>
    <n v="29.92"/>
    <d v="2015-09-15T21:19:41"/>
    <n v="15"/>
    <x v="5"/>
    <x v="2"/>
  </r>
  <r>
    <n v="821"/>
    <s v="Connecticut"/>
    <s v="06457"/>
    <d v="2015-01-19T19:04:21"/>
    <d v="2015-01-19T19:04:26"/>
    <n v="1"/>
    <n v="0"/>
    <n v="2"/>
    <n v="2"/>
    <n v="1"/>
    <n v="1"/>
    <n v="57.6"/>
    <d v="2015-01-19T19:04:23"/>
    <n v="19"/>
    <x v="3"/>
    <x v="12"/>
  </r>
  <r>
    <n v="822"/>
    <s v="Alabama"/>
    <s v="35079"/>
    <d v="2015-02-13T09:56:16"/>
    <d v="2015-02-13T09:56:20"/>
    <n v="1"/>
    <n v="0"/>
    <n v="4"/>
    <n v="3"/>
    <n v="1"/>
    <n v="2"/>
    <n v="14.4"/>
    <d v="2015-02-13T09:56:17"/>
    <n v="13"/>
    <x v="4"/>
    <x v="15"/>
  </r>
  <r>
    <n v="823"/>
    <s v="North Dakota"/>
    <s v="58701"/>
    <d v="2015-01-30T05:39:04"/>
    <d v="2015-02-04T13:40:47"/>
    <n v="6"/>
    <n v="2"/>
    <n v="2"/>
    <n v="2"/>
    <n v="1"/>
    <n v="1"/>
    <n v="57.6"/>
    <d v="2015-01-30T05:39:07"/>
    <n v="30"/>
    <x v="4"/>
    <x v="22"/>
  </r>
  <r>
    <n v="824"/>
    <s v="New York"/>
    <s v="10011"/>
    <d v="2015-06-15T12:34:10"/>
    <d v="2015-06-15T17:01:14"/>
    <n v="3"/>
    <n v="2"/>
    <n v="4"/>
    <n v="3"/>
    <n v="1"/>
    <n v="1"/>
    <n v="28.8"/>
    <d v="2015-06-15T12:34:11"/>
    <n v="15"/>
    <x v="3"/>
    <x v="7"/>
  </r>
  <r>
    <n v="825"/>
    <s v="New York"/>
    <s v="10021"/>
    <d v="2015-04-21T19:31:36"/>
    <d v="2015-04-22T22:51:05"/>
    <n v="3"/>
    <n v="4"/>
    <n v="12"/>
    <n v="3"/>
    <n v="1"/>
    <n v="4"/>
    <n v="28.8"/>
    <d v="2015-04-21T19:31:37"/>
    <n v="21"/>
    <x v="5"/>
    <x v="12"/>
  </r>
  <r>
    <n v="826"/>
    <s v="Virginia"/>
    <s v="20111"/>
    <d v="2015-08-29T10:45:04"/>
    <d v="2015-08-29T10:45:08"/>
    <n v="1"/>
    <n v="12"/>
    <n v="8"/>
    <n v="2"/>
    <n v="1"/>
    <n v="4"/>
    <n v="71.400000000000006"/>
    <d v="2015-08-29T10:45:04"/>
    <n v="29"/>
    <x v="0"/>
    <x v="13"/>
  </r>
  <r>
    <n v="827"/>
    <s v="California"/>
    <s v="90211"/>
    <d v="2015-06-06T17:42:57"/>
    <d v="2015-06-06T17:43:01"/>
    <n v="1"/>
    <n v="0"/>
    <n v="2"/>
    <n v="2"/>
    <n v="1"/>
    <n v="1"/>
    <n v="28.8"/>
    <d v="2015-06-06T17:42:58"/>
    <n v="6"/>
    <x v="0"/>
    <x v="8"/>
  </r>
  <r>
    <n v="828"/>
    <m/>
    <m/>
    <d v="2015-04-17T20:42:22"/>
    <d v="2015-04-17T20:42:27"/>
    <n v="1"/>
    <n v="2"/>
    <n v="20"/>
    <n v="4"/>
    <n v="1"/>
    <n v="5"/>
    <n v="36"/>
    <d v="2015-04-17T20:46:08"/>
    <n v="17"/>
    <x v="4"/>
    <x v="5"/>
  </r>
  <r>
    <n v="829"/>
    <s v="Texas"/>
    <s v="78723"/>
    <d v="2015-08-18T01:25:22"/>
    <d v="2015-08-18T01:25:25"/>
    <n v="1"/>
    <n v="8"/>
    <n v="2"/>
    <n v="2"/>
    <n v="1"/>
    <n v="1"/>
    <n v="29.92"/>
    <d v="2015-08-18T01:25:22"/>
    <n v="18"/>
    <x v="5"/>
    <x v="20"/>
  </r>
  <r>
    <n v="830"/>
    <s v="Virginia"/>
    <s v="22308"/>
    <d v="2015-07-25T18:06:32"/>
    <d v="2015-07-26T12:44:01"/>
    <n v="4"/>
    <n v="14"/>
    <n v="6"/>
    <n v="5"/>
    <n v="1"/>
    <n v="3"/>
    <n v="162.80000000000001"/>
    <d v="2015-07-25T18:06:33"/>
    <n v="25"/>
    <x v="0"/>
    <x v="6"/>
  </r>
  <r>
    <n v="831"/>
    <s v="Massachusetts"/>
    <s v="02184"/>
    <d v="2015-01-17T20:53:40"/>
    <d v="2015-01-30T08:43:44"/>
    <n v="5"/>
    <n v="0"/>
    <n v="14"/>
    <n v="8"/>
    <n v="1"/>
    <n v="7"/>
    <n v="50.4"/>
    <d v="2015-01-17T20:53:42"/>
    <n v="17"/>
    <x v="0"/>
    <x v="5"/>
  </r>
  <r>
    <n v="832"/>
    <s v="Pennsylvania"/>
    <s v="16229"/>
    <d v="2015-09-05T08:57:01"/>
    <d v="2015-09-05T08:57:02"/>
    <n v="1"/>
    <n v="5"/>
    <n v="7"/>
    <n v="5"/>
    <n v="1"/>
    <n v="1"/>
    <n v="29.92"/>
    <d v="2015-09-05T09:21:02"/>
    <n v="5"/>
    <x v="0"/>
    <x v="15"/>
  </r>
  <r>
    <n v="833"/>
    <s v="Colorado"/>
    <s v="81621"/>
    <d v="2015-01-18T23:47:31"/>
    <d v="2015-01-18T23:47:36"/>
    <n v="1"/>
    <n v="0"/>
    <n v="8"/>
    <n v="2"/>
    <n v="1"/>
    <n v="4"/>
    <n v="28.8"/>
    <d v="2015-01-18T23:47:33"/>
    <n v="18"/>
    <x v="2"/>
    <x v="0"/>
  </r>
  <r>
    <n v="834"/>
    <s v="Ohio"/>
    <s v="44118"/>
    <d v="2015-02-07T07:54:29"/>
    <d v="2015-02-08T08:21:35"/>
    <n v="3"/>
    <n v="2"/>
    <n v="10"/>
    <n v="3"/>
    <n v="1"/>
    <n v="4"/>
    <n v="27.2"/>
    <d v="2015-02-07T07:54:31"/>
    <n v="7"/>
    <x v="0"/>
    <x v="16"/>
  </r>
  <r>
    <n v="835"/>
    <s v="Minnesota"/>
    <s v="55317"/>
    <d v="2015-09-05T16:26:58"/>
    <d v="2015-09-05T16:27:09"/>
    <n v="1"/>
    <n v="2"/>
    <n v="2"/>
    <n v="2"/>
    <n v="1"/>
    <n v="1"/>
    <n v="32.64"/>
    <d v="2015-09-05T16:26:58"/>
    <n v="5"/>
    <x v="0"/>
    <x v="4"/>
  </r>
  <r>
    <n v="836"/>
    <s v="Ohio"/>
    <s v="44120"/>
    <d v="2015-06-12T12:56:18"/>
    <d v="2015-06-12T12:56:27"/>
    <n v="1"/>
    <n v="0"/>
    <n v="10"/>
    <n v="3"/>
    <n v="1"/>
    <n v="4"/>
    <n v="27"/>
    <d v="2015-06-12T12:56:24"/>
    <n v="12"/>
    <x v="4"/>
    <x v="7"/>
  </r>
  <r>
    <n v="837"/>
    <s v="Minnesota"/>
    <s v="55106"/>
    <d v="2015-03-07T10:38:12"/>
    <d v="2015-03-07T10:38:16"/>
    <n v="1"/>
    <n v="0"/>
    <n v="6"/>
    <n v="1"/>
    <n v="1"/>
    <n v="2"/>
    <n v="9"/>
    <d v="2015-03-07T10:38:13"/>
    <n v="7"/>
    <x v="0"/>
    <x v="13"/>
  </r>
  <r>
    <n v="838"/>
    <m/>
    <m/>
    <d v="2015-03-15T21:27:41"/>
    <d v="2015-05-13T18:32:33"/>
    <n v="2"/>
    <n v="1"/>
    <n v="2"/>
    <n v="2"/>
    <n v="1"/>
    <n v="2"/>
    <n v="18"/>
    <d v="2015-05-13T18:36:31"/>
    <n v="13"/>
    <x v="6"/>
    <x v="6"/>
  </r>
  <r>
    <n v="839"/>
    <s v="Florida"/>
    <s v="32955"/>
    <d v="2015-07-15T01:14:53"/>
    <d v="2015-07-14T21:14:54"/>
    <n v="1"/>
    <n v="0"/>
    <n v="4"/>
    <n v="6"/>
    <n v="1"/>
    <n v="2"/>
    <n v="22"/>
    <d v="2015-07-14T21:19:04"/>
    <n v="14"/>
    <x v="5"/>
    <x v="2"/>
  </r>
  <r>
    <n v="840"/>
    <s v="North Carolina"/>
    <s v="28540"/>
    <d v="2015-03-18T13:28:24"/>
    <d v="2015-03-18T15:38:51"/>
    <n v="3"/>
    <n v="0"/>
    <n v="4"/>
    <n v="2"/>
    <n v="1"/>
    <n v="4"/>
    <n v="28.8"/>
    <d v="2015-03-18T13:36:04"/>
    <n v="18"/>
    <x v="6"/>
    <x v="17"/>
  </r>
  <r>
    <n v="841"/>
    <s v="Massachusetts"/>
    <s v="02766"/>
    <d v="2015-07-01T13:27:02"/>
    <d v="2015-07-01T13:27:05"/>
    <n v="1"/>
    <n v="0"/>
    <n v="2"/>
    <n v="2"/>
    <n v="1"/>
    <n v="1"/>
    <n v="28.8"/>
    <d v="2015-07-01T13:27:02"/>
    <n v="1"/>
    <x v="6"/>
    <x v="17"/>
  </r>
  <r>
    <n v="842"/>
    <s v="Colorado"/>
    <s v="81521"/>
    <d v="2015-05-29T13:53:28"/>
    <d v="2015-05-29T13:53:32"/>
    <n v="1"/>
    <n v="0"/>
    <n v="2"/>
    <n v="2"/>
    <n v="1"/>
    <n v="1"/>
    <n v="28.8"/>
    <d v="2015-05-29T13:53:29"/>
    <n v="29"/>
    <x v="4"/>
    <x v="17"/>
  </r>
  <r>
    <n v="843"/>
    <m/>
    <m/>
    <d v="2015-04-16T18:53:48"/>
    <d v="2015-04-16T18:53:52"/>
    <n v="1"/>
    <n v="0"/>
    <n v="8"/>
    <n v="3"/>
    <n v="1"/>
    <n v="4"/>
    <n v="28.8"/>
    <d v="2015-04-16T18:56:33"/>
    <n v="16"/>
    <x v="1"/>
    <x v="6"/>
  </r>
  <r>
    <n v="844"/>
    <s v="New York"/>
    <s v="11226"/>
    <d v="2015-01-18T01:06:04"/>
    <d v="2015-01-18T01:06:09"/>
    <n v="1"/>
    <n v="0"/>
    <n v="4"/>
    <n v="2"/>
    <n v="1"/>
    <n v="2"/>
    <n v="9"/>
    <d v="2015-01-18T01:06:06"/>
    <n v="18"/>
    <x v="2"/>
    <x v="20"/>
  </r>
  <r>
    <n v="845"/>
    <m/>
    <m/>
    <d v="2015-01-19T19:16:05"/>
    <d v="2015-01-19T19:16:10"/>
    <n v="1"/>
    <n v="0"/>
    <n v="6"/>
    <n v="5"/>
    <n v="1"/>
    <n v="2"/>
    <n v="14.4"/>
    <d v="2015-01-19T19:18:19"/>
    <n v="19"/>
    <x v="3"/>
    <x v="12"/>
  </r>
  <r>
    <n v="846"/>
    <s v="Washington"/>
    <s v="98444"/>
    <d v="2015-04-01T18:05:51"/>
    <d v="2015-04-01T18:05:55"/>
    <n v="1"/>
    <n v="0"/>
    <n v="7"/>
    <n v="7"/>
    <n v="1"/>
    <n v="4"/>
    <n v="28.8"/>
    <d v="2015-04-01T18:27:53"/>
    <n v="1"/>
    <x v="6"/>
    <x v="6"/>
  </r>
  <r>
    <n v="848"/>
    <s v="Wisconsin"/>
    <s v="53114"/>
    <d v="2015-06-03T22:03:06"/>
    <d v="2015-06-03T22:03:09"/>
    <n v="1"/>
    <n v="0"/>
    <n v="2"/>
    <n v="2"/>
    <n v="1"/>
    <n v="4"/>
    <n v="36"/>
    <d v="2015-06-03T22:03:07"/>
    <n v="3"/>
    <x v="6"/>
    <x v="1"/>
  </r>
  <r>
    <n v="849"/>
    <s v="Ohio"/>
    <s v="44805"/>
    <d v="2015-06-15T10:16:24"/>
    <d v="2015-06-15T10:16:29"/>
    <n v="1"/>
    <n v="2"/>
    <n v="8"/>
    <n v="2"/>
    <n v="1"/>
    <n v="7"/>
    <n v="72"/>
    <d v="2015-06-15T10:16:25"/>
    <n v="15"/>
    <x v="3"/>
    <x v="13"/>
  </r>
  <r>
    <n v="850"/>
    <m/>
    <m/>
    <d v="2015-09-11T12:24:41"/>
    <d v="2015-09-11T12:24:41"/>
    <n v="1"/>
    <n v="3"/>
    <n v="2"/>
    <n v="1"/>
    <n v="1"/>
    <n v="4"/>
    <n v="44"/>
    <d v="2015-09-11T12:29:59"/>
    <n v="11"/>
    <x v="4"/>
    <x v="7"/>
  </r>
  <r>
    <n v="851"/>
    <s v="Ohio"/>
    <s v="43206"/>
    <d v="2015-04-06T13:43:58"/>
    <d v="2015-04-06T13:44:04"/>
    <n v="1"/>
    <n v="0"/>
    <n v="14"/>
    <n v="1"/>
    <n v="1"/>
    <n v="4"/>
    <n v="27"/>
    <d v="2015-04-06T13:43:59"/>
    <n v="6"/>
    <x v="3"/>
    <x v="17"/>
  </r>
  <r>
    <n v="852"/>
    <s v="California"/>
    <s v="95683"/>
    <d v="2015-07-20T19:11:34"/>
    <d v="2015-07-20T15:11:41"/>
    <n v="1"/>
    <n v="2"/>
    <n v="2"/>
    <n v="2"/>
    <n v="1"/>
    <n v="2"/>
    <n v="22"/>
    <d v="2015-07-20T15:11:36"/>
    <n v="20"/>
    <x v="3"/>
    <x v="10"/>
  </r>
  <r>
    <n v="854"/>
    <m/>
    <m/>
    <d v="2015-09-13T18:06:37"/>
    <d v="2015-09-13T18:06:38"/>
    <n v="1"/>
    <n v="10"/>
    <n v="4"/>
    <n v="2"/>
    <n v="1"/>
    <n v="2"/>
    <n v="59.84"/>
    <d v="2015-09-13T18:08:52"/>
    <n v="13"/>
    <x v="2"/>
    <x v="6"/>
  </r>
  <r>
    <n v="855"/>
    <s v="Maryland"/>
    <s v="21771"/>
    <d v="2015-07-08T02:27:41"/>
    <d v="2015-07-07T22:27:47"/>
    <n v="1"/>
    <n v="2"/>
    <n v="2"/>
    <n v="2"/>
    <n v="1"/>
    <n v="1"/>
    <n v="54"/>
    <d v="2015-07-07T22:27:42"/>
    <n v="7"/>
    <x v="5"/>
    <x v="1"/>
  </r>
  <r>
    <n v="856"/>
    <s v="Wisconsin"/>
    <s v="53095"/>
    <d v="2015-08-24T19:55:00"/>
    <d v="2015-08-24T15:55:05"/>
    <n v="1"/>
    <n v="4"/>
    <n v="8"/>
    <n v="2"/>
    <n v="1"/>
    <n v="4"/>
    <n v="35.200000000000003"/>
    <d v="2015-08-24T15:55:00"/>
    <n v="24"/>
    <x v="3"/>
    <x v="10"/>
  </r>
  <r>
    <n v="857"/>
    <s v="New York"/>
    <s v="10509"/>
    <d v="2015-05-09T10:03:09"/>
    <d v="2015-05-09T10:03:13"/>
    <n v="1"/>
    <n v="8"/>
    <n v="8"/>
    <n v="2"/>
    <n v="1"/>
    <n v="4"/>
    <n v="28.8"/>
    <d v="2015-05-09T10:03:09"/>
    <n v="9"/>
    <x v="0"/>
    <x v="13"/>
  </r>
  <r>
    <n v="858"/>
    <s v="Texas"/>
    <s v="76227"/>
    <d v="2015-02-28T11:50:43"/>
    <d v="2015-02-28T11:50:48"/>
    <n v="1"/>
    <n v="0"/>
    <n v="2"/>
    <n v="1"/>
    <n v="1"/>
    <n v="1"/>
    <n v="57.6"/>
    <d v="2015-02-28T11:50:44"/>
    <n v="28"/>
    <x v="0"/>
    <x v="3"/>
  </r>
  <r>
    <n v="860"/>
    <s v="New York"/>
    <s v="10028"/>
    <d v="2015-01-21T11:41:19"/>
    <d v="2015-01-21T11:41:22"/>
    <n v="1"/>
    <n v="0"/>
    <n v="4"/>
    <n v="2"/>
    <n v="1"/>
    <n v="2"/>
    <n v="18"/>
    <d v="2015-01-21T11:41:20"/>
    <n v="21"/>
    <x v="6"/>
    <x v="3"/>
  </r>
  <r>
    <n v="861"/>
    <s v="Utah"/>
    <s v="84098"/>
    <d v="2015-07-19T23:50:22"/>
    <d v="2015-07-19T19:50:28"/>
    <n v="1"/>
    <n v="8"/>
    <n v="8"/>
    <n v="3"/>
    <n v="1"/>
    <n v="2"/>
    <n v="38.72"/>
    <d v="2015-07-19T19:50:23"/>
    <n v="19"/>
    <x v="2"/>
    <x v="12"/>
  </r>
  <r>
    <n v="862"/>
    <s v="Virginia"/>
    <s v="22314"/>
    <d v="2015-07-23T11:24:52"/>
    <d v="2015-07-23T11:24:55"/>
    <n v="1"/>
    <n v="4"/>
    <n v="8"/>
    <n v="4"/>
    <n v="1"/>
    <n v="3"/>
    <n v="33"/>
    <d v="2015-07-23T11:24:52"/>
    <n v="23"/>
    <x v="1"/>
    <x v="3"/>
  </r>
  <r>
    <n v="863"/>
    <s v="Michigan"/>
    <s v="48144"/>
    <d v="2015-04-24T23:40:43"/>
    <d v="2015-04-24T23:40:48"/>
    <n v="1"/>
    <n v="2"/>
    <n v="8"/>
    <n v="1"/>
    <n v="1"/>
    <n v="3"/>
    <n v="27"/>
    <d v="2015-04-24T23:40:44"/>
    <n v="24"/>
    <x v="4"/>
    <x v="0"/>
  </r>
  <r>
    <n v="864"/>
    <s v="Indiana"/>
    <s v="47802"/>
    <d v="2015-04-21T10:02:57"/>
    <d v="2015-04-21T10:03:02"/>
    <n v="1"/>
    <n v="6"/>
    <n v="10"/>
    <n v="1"/>
    <n v="1"/>
    <n v="4"/>
    <n v="27.2"/>
    <d v="2015-04-21T10:02:58"/>
    <n v="21"/>
    <x v="5"/>
    <x v="13"/>
  </r>
  <r>
    <n v="865"/>
    <s v="New Jersey"/>
    <s v="08051"/>
    <d v="2015-06-04T01:35:16"/>
    <d v="2015-06-03T21:35:19"/>
    <n v="1"/>
    <n v="8"/>
    <n v="22"/>
    <n v="2"/>
    <n v="1"/>
    <n v="12"/>
    <n v="108"/>
    <d v="2015-06-03T21:38:03"/>
    <n v="3"/>
    <x v="6"/>
    <x v="2"/>
  </r>
  <r>
    <n v="866"/>
    <s v="New Jersey"/>
    <s v="08857"/>
    <d v="2015-05-09T11:02:19"/>
    <d v="2015-05-09T11:02:23"/>
    <n v="1"/>
    <n v="0"/>
    <n v="2"/>
    <n v="2"/>
    <n v="1"/>
    <n v="1"/>
    <n v="28.8"/>
    <d v="2015-05-09T11:02:20"/>
    <n v="9"/>
    <x v="0"/>
    <x v="3"/>
  </r>
  <r>
    <n v="867"/>
    <s v="Idaho"/>
    <s v="83672"/>
    <d v="2015-09-07T11:27:03"/>
    <d v="2015-09-07T22:28:08"/>
    <n v="2"/>
    <n v="8"/>
    <n v="14"/>
    <n v="7"/>
    <n v="1"/>
    <n v="4"/>
    <n v="119.68"/>
    <d v="2015-09-07T11:30:00"/>
    <n v="7"/>
    <x v="3"/>
    <x v="3"/>
  </r>
  <r>
    <n v="868"/>
    <s v="Texas"/>
    <s v="76107"/>
    <d v="2015-09-24T19:39:51"/>
    <d v="2015-09-24T19:39:54"/>
    <n v="1"/>
    <n v="1"/>
    <n v="4"/>
    <n v="4"/>
    <n v="1"/>
    <n v="2"/>
    <n v="22"/>
    <d v="2015-09-24T19:39:51"/>
    <n v="24"/>
    <x v="1"/>
    <x v="12"/>
  </r>
  <r>
    <n v="869"/>
    <s v="Pennsylvania"/>
    <s v="17109"/>
    <d v="2015-01-15T14:07:32"/>
    <d v="2015-01-15T17:11:40"/>
    <n v="3"/>
    <n v="2"/>
    <n v="4"/>
    <n v="2"/>
    <n v="1"/>
    <n v="2"/>
    <n v="18"/>
    <d v="2015-01-15T14:07:35"/>
    <n v="15"/>
    <x v="1"/>
    <x v="9"/>
  </r>
  <r>
    <n v="870"/>
    <s v="Florida"/>
    <s v="32812"/>
    <d v="2015-09-03T14:23:55"/>
    <d v="2015-09-03T14:23:59"/>
    <n v="1"/>
    <n v="8"/>
    <n v="4"/>
    <n v="2"/>
    <n v="1"/>
    <n v="2"/>
    <n v="51.68"/>
    <d v="2015-09-03T14:23:56"/>
    <n v="3"/>
    <x v="1"/>
    <x v="9"/>
  </r>
  <r>
    <n v="871"/>
    <s v="Colorado"/>
    <s v="80525"/>
    <d v="2015-03-17T19:56:06"/>
    <d v="2015-03-17T19:56:11"/>
    <n v="1"/>
    <n v="1"/>
    <n v="8"/>
    <n v="1"/>
    <n v="1"/>
    <n v="4"/>
    <n v="28.8"/>
    <d v="2015-03-17T19:56:07"/>
    <n v="17"/>
    <x v="5"/>
    <x v="12"/>
  </r>
  <r>
    <n v="872"/>
    <s v="California"/>
    <s v="94521"/>
    <d v="2015-06-05T16:34:37"/>
    <d v="2015-06-05T16:34:40"/>
    <n v="1"/>
    <n v="6"/>
    <n v="4"/>
    <n v="2"/>
    <n v="1"/>
    <n v="3"/>
    <n v="21.6"/>
    <d v="2015-06-05T16:34:37"/>
    <n v="5"/>
    <x v="4"/>
    <x v="4"/>
  </r>
  <r>
    <n v="873"/>
    <s v="New Mexico"/>
    <s v="88201"/>
    <d v="2015-02-25T20:27:13"/>
    <d v="2015-02-25T20:27:20"/>
    <n v="1"/>
    <n v="0"/>
    <n v="2"/>
    <n v="1"/>
    <n v="1"/>
    <n v="1"/>
    <n v="28.8"/>
    <d v="2015-02-25T20:27:17"/>
    <n v="25"/>
    <x v="6"/>
    <x v="5"/>
  </r>
  <r>
    <n v="874"/>
    <s v="Louisiana"/>
    <s v="70447"/>
    <d v="2015-09-15T19:01:16"/>
    <d v="2015-09-15T19:01:20"/>
    <n v="1"/>
    <n v="2"/>
    <n v="4"/>
    <n v="4"/>
    <n v="1"/>
    <n v="2"/>
    <n v="59.84"/>
    <d v="2015-09-15T19:01:17"/>
    <n v="15"/>
    <x v="5"/>
    <x v="12"/>
  </r>
  <r>
    <n v="875"/>
    <s v="Ohio"/>
    <s v="44514"/>
    <d v="2015-02-08T11:11:10"/>
    <d v="2015-02-08T11:11:16"/>
    <n v="1"/>
    <n v="0"/>
    <n v="2"/>
    <n v="1"/>
    <n v="1"/>
    <n v="1"/>
    <n v="36"/>
    <d v="2015-02-08T11:11:12"/>
    <n v="8"/>
    <x v="2"/>
    <x v="3"/>
  </r>
  <r>
    <n v="876"/>
    <s v="Rhode Island"/>
    <s v="02904"/>
    <d v="2015-03-09T11:16:45"/>
    <d v="2015-03-09T11:16:50"/>
    <n v="1"/>
    <n v="2"/>
    <n v="8"/>
    <n v="2"/>
    <n v="1"/>
    <n v="4"/>
    <n v="28.8"/>
    <d v="2015-03-09T11:16:47"/>
    <n v="9"/>
    <x v="3"/>
    <x v="3"/>
  </r>
  <r>
    <n v="877"/>
    <s v="Texas"/>
    <s v="78656"/>
    <d v="2015-05-22T21:48:36"/>
    <d v="2015-05-22T21:48:40"/>
    <n v="1"/>
    <n v="2"/>
    <n v="2"/>
    <n v="2"/>
    <n v="1"/>
    <n v="1"/>
    <n v="28.8"/>
    <d v="2015-05-22T21:48:37"/>
    <n v="22"/>
    <x v="4"/>
    <x v="2"/>
  </r>
  <r>
    <n v="878"/>
    <s v="Washington"/>
    <s v="98166"/>
    <d v="2015-02-03T15:49:34"/>
    <d v="2015-02-03T15:49:39"/>
    <n v="1"/>
    <n v="0"/>
    <n v="2"/>
    <n v="1"/>
    <n v="1"/>
    <n v="2"/>
    <n v="18"/>
    <d v="2015-02-03T15:49:36"/>
    <n v="3"/>
    <x v="5"/>
    <x v="10"/>
  </r>
  <r>
    <n v="879"/>
    <s v="New York"/>
    <s v="10023"/>
    <d v="2015-01-16T23:27:00"/>
    <d v="2015-01-16T23:27:09"/>
    <n v="1"/>
    <n v="0"/>
    <n v="8"/>
    <n v="2"/>
    <n v="1"/>
    <n v="3"/>
    <n v="24"/>
    <d v="2015-01-16T23:27:02"/>
    <n v="16"/>
    <x v="4"/>
    <x v="0"/>
  </r>
  <r>
    <n v="880"/>
    <s v="Florida"/>
    <s v="33496"/>
    <d v="2015-06-25T08:43:28"/>
    <d v="2015-06-25T08:43:32"/>
    <n v="1"/>
    <n v="4"/>
    <n v="6"/>
    <n v="2"/>
    <n v="1"/>
    <n v="1"/>
    <n v="28.8"/>
    <d v="2015-06-25T08:43:29"/>
    <n v="25"/>
    <x v="1"/>
    <x v="18"/>
  </r>
  <r>
    <n v="881"/>
    <s v="Texas"/>
    <s v="75007"/>
    <d v="2015-03-17T08:00:39"/>
    <d v="2015-03-17T08:00:45"/>
    <n v="1"/>
    <n v="2"/>
    <n v="6"/>
    <n v="1"/>
    <n v="1"/>
    <n v="5"/>
    <n v="36"/>
    <d v="2015-03-17T08:00:40"/>
    <n v="17"/>
    <x v="5"/>
    <x v="18"/>
  </r>
  <r>
    <n v="882"/>
    <m/>
    <m/>
    <d v="2015-09-22T11:25:46"/>
    <d v="2015-09-22T11:25:47"/>
    <n v="1"/>
    <n v="4"/>
    <n v="4"/>
    <n v="5"/>
    <n v="1"/>
    <n v="1"/>
    <n v="37.4"/>
    <d v="2015-09-22T11:32:35"/>
    <n v="22"/>
    <x v="5"/>
    <x v="3"/>
  </r>
  <r>
    <n v="883"/>
    <s v="Florida"/>
    <s v="32134"/>
    <d v="2015-06-03T13:54:09"/>
    <d v="2015-06-03T13:54:12"/>
    <n v="1"/>
    <n v="0"/>
    <n v="2"/>
    <n v="2"/>
    <n v="1"/>
    <n v="1"/>
    <n v="28.8"/>
    <d v="2015-06-03T13:54:10"/>
    <n v="3"/>
    <x v="6"/>
    <x v="17"/>
  </r>
  <r>
    <n v="884"/>
    <m/>
    <m/>
    <d v="2015-05-19T18:23:43"/>
    <d v="2015-05-19T14:23:45"/>
    <n v="1"/>
    <n v="2"/>
    <n v="2"/>
    <n v="2"/>
    <n v="1"/>
    <n v="2"/>
    <n v="18"/>
    <d v="2015-05-19T14:26:49"/>
    <n v="19"/>
    <x v="5"/>
    <x v="9"/>
  </r>
  <r>
    <n v="885"/>
    <s v="Massachusetts"/>
    <s v="02421"/>
    <d v="2015-04-13T23:40:45"/>
    <d v="2015-04-13T23:40:52"/>
    <n v="1"/>
    <n v="4"/>
    <n v="10"/>
    <n v="1"/>
    <n v="1"/>
    <n v="4"/>
    <n v="28.8"/>
    <d v="2015-04-13T23:40:46"/>
    <n v="13"/>
    <x v="3"/>
    <x v="0"/>
  </r>
  <r>
    <n v="887"/>
    <s v="New York"/>
    <s v="11743"/>
    <d v="2015-08-09T15:06:30"/>
    <d v="2015-08-09T11:06:34"/>
    <n v="1"/>
    <n v="2"/>
    <n v="2"/>
    <n v="2"/>
    <n v="1"/>
    <n v="1"/>
    <n v="11"/>
    <d v="2015-08-09T11:06:30"/>
    <n v="9"/>
    <x v="2"/>
    <x v="3"/>
  </r>
  <r>
    <n v="888"/>
    <s v="Michigan"/>
    <s v="49093"/>
    <d v="2015-04-13T09:07:50"/>
    <d v="2015-04-13T09:07:55"/>
    <n v="1"/>
    <n v="0"/>
    <n v="4"/>
    <n v="1"/>
    <n v="1"/>
    <n v="2"/>
    <n v="18"/>
    <d v="2015-04-13T09:07:51"/>
    <n v="13"/>
    <x v="3"/>
    <x v="15"/>
  </r>
  <r>
    <n v="889"/>
    <s v="Texas"/>
    <s v="78731"/>
    <d v="2015-09-01T22:41:05"/>
    <d v="2015-09-01T22:41:09"/>
    <n v="1"/>
    <n v="2"/>
    <n v="2"/>
    <n v="2"/>
    <n v="1"/>
    <n v="2"/>
    <n v="59.84"/>
    <d v="2015-09-01T22:41:05"/>
    <n v="1"/>
    <x v="5"/>
    <x v="1"/>
  </r>
  <r>
    <n v="890"/>
    <s v="California"/>
    <s v="92679"/>
    <d v="2015-08-10T20:16:14"/>
    <d v="2015-08-10T16:16:15"/>
    <n v="1"/>
    <n v="2"/>
    <n v="2"/>
    <n v="1"/>
    <n v="1"/>
    <n v="1"/>
    <n v="32.64"/>
    <d v="2015-08-10T16:32:55"/>
    <n v="10"/>
    <x v="3"/>
    <x v="4"/>
  </r>
  <r>
    <n v="891"/>
    <s v="Connecticut"/>
    <s v="06905"/>
    <d v="2015-03-28T19:12:31"/>
    <d v="2015-03-28T19:12:36"/>
    <n v="1"/>
    <n v="4"/>
    <n v="22"/>
    <n v="6"/>
    <n v="1"/>
    <n v="9"/>
    <n v="64.8"/>
    <d v="2015-03-28T19:12:32"/>
    <n v="28"/>
    <x v="0"/>
    <x v="12"/>
  </r>
  <r>
    <n v="893"/>
    <s v="Tennessee"/>
    <s v="37343"/>
    <d v="2015-07-15T12:47:36"/>
    <d v="2015-07-15T12:47:43"/>
    <n v="1"/>
    <n v="2"/>
    <n v="4"/>
    <n v="3"/>
    <n v="1"/>
    <n v="2"/>
    <n v="65.28"/>
    <d v="2015-07-15T12:47:36"/>
    <n v="15"/>
    <x v="6"/>
    <x v="7"/>
  </r>
  <r>
    <n v="894"/>
    <m/>
    <m/>
    <d v="2015-07-26T15:13:13"/>
    <d v="2015-07-27T09:53:35"/>
    <n v="2"/>
    <n v="5"/>
    <n v="6"/>
    <n v="4"/>
    <n v="1"/>
    <n v="2"/>
    <n v="22"/>
    <d v="2015-07-26T11:14:32"/>
    <n v="26"/>
    <x v="2"/>
    <x v="3"/>
  </r>
  <r>
    <n v="895"/>
    <s v="California"/>
    <s v="90025"/>
    <d v="2015-02-23T00:09:58"/>
    <d v="2015-02-23T00:10:03"/>
    <n v="1"/>
    <n v="4"/>
    <n v="2"/>
    <n v="1"/>
    <n v="1"/>
    <n v="1"/>
    <n v="115.2"/>
    <d v="2015-02-23T00:09:59"/>
    <n v="23"/>
    <x v="3"/>
    <x v="14"/>
  </r>
  <r>
    <n v="896"/>
    <s v="New Jersey"/>
    <s v="08016"/>
    <d v="2015-05-15T00:47:52"/>
    <d v="2015-05-15T00:48:03"/>
    <n v="1"/>
    <n v="6"/>
    <n v="8"/>
    <n v="4"/>
    <n v="1"/>
    <n v="2"/>
    <n v="36"/>
    <d v="2015-05-15T00:47:53"/>
    <n v="15"/>
    <x v="4"/>
    <x v="14"/>
  </r>
  <r>
    <n v="897"/>
    <s v="North Carolina"/>
    <s v="27804"/>
    <d v="2015-07-07T21:31:57"/>
    <d v="2015-07-07T17:32:01"/>
    <n v="1"/>
    <n v="2"/>
    <n v="2"/>
    <n v="3"/>
    <n v="1"/>
    <n v="1"/>
    <n v="6.75"/>
    <d v="2015-07-07T17:31:58"/>
    <n v="7"/>
    <x v="5"/>
    <x v="8"/>
  </r>
  <r>
    <n v="898"/>
    <s v="California"/>
    <s v="90630"/>
    <d v="2015-08-22T11:12:37"/>
    <d v="2015-08-27T11:23:32"/>
    <n v="3"/>
    <n v="0"/>
    <n v="2"/>
    <n v="4"/>
    <n v="1"/>
    <n v="1"/>
    <n v="29.92"/>
    <d v="2015-08-22T11:12:37"/>
    <n v="22"/>
    <x v="0"/>
    <x v="3"/>
  </r>
  <r>
    <n v="900"/>
    <s v="New Jersey"/>
    <s v="07030"/>
    <d v="2015-09-01T14:38:39"/>
    <d v="2015-09-01T14:38:43"/>
    <n v="1"/>
    <n v="6"/>
    <n v="8"/>
    <n v="2"/>
    <n v="1"/>
    <n v="4"/>
    <n v="35.200000000000003"/>
    <d v="2015-09-01T14:38:39"/>
    <n v="1"/>
    <x v="5"/>
    <x v="9"/>
  </r>
  <r>
    <n v="901"/>
    <s v="Michigan"/>
    <s v="48103"/>
    <d v="2015-07-29T17:28:57"/>
    <d v="2015-07-29T17:29:01"/>
    <n v="1"/>
    <n v="2"/>
    <n v="6"/>
    <n v="2"/>
    <n v="1"/>
    <n v="3"/>
    <n v="89.76"/>
    <d v="2015-07-29T17:28:57"/>
    <n v="29"/>
    <x v="6"/>
    <x v="8"/>
  </r>
  <r>
    <n v="902"/>
    <s v="New York"/>
    <s v="10022"/>
    <d v="2015-06-24T23:36:45"/>
    <d v="2015-06-24T23:36:53"/>
    <n v="1"/>
    <n v="2"/>
    <n v="4"/>
    <n v="2"/>
    <n v="1"/>
    <n v="1"/>
    <n v="36"/>
    <d v="2015-06-24T23:36:46"/>
    <n v="24"/>
    <x v="6"/>
    <x v="0"/>
  </r>
  <r>
    <n v="903"/>
    <s v="California"/>
    <s v="90732"/>
    <d v="2015-08-21T05:43:25"/>
    <d v="2015-08-21T01:43:26"/>
    <n v="1"/>
    <n v="1"/>
    <n v="3"/>
    <n v="1"/>
    <n v="1"/>
    <n v="3"/>
    <n v="168.96"/>
    <d v="2015-08-21T02:00:31"/>
    <n v="21"/>
    <x v="4"/>
    <x v="21"/>
  </r>
  <r>
    <n v="904"/>
    <s v="New York"/>
    <s v="10528"/>
    <d v="2015-07-22T15:15:33"/>
    <d v="2015-07-23T08:52:51"/>
    <n v="2"/>
    <n v="5"/>
    <n v="13"/>
    <n v="8"/>
    <n v="2"/>
    <n v="12"/>
    <n v="79"/>
    <d v="2015-07-22T11:17:33"/>
    <n v="22"/>
    <x v="6"/>
    <x v="3"/>
  </r>
  <r>
    <n v="905"/>
    <s v="Texas"/>
    <s v="78744"/>
    <d v="2015-05-09T22:40:15"/>
    <d v="2015-05-09T22:40:19"/>
    <n v="1"/>
    <n v="4"/>
    <n v="8"/>
    <n v="5"/>
    <n v="1"/>
    <n v="5"/>
    <n v="144"/>
    <d v="2015-05-09T22:40:16"/>
    <n v="9"/>
    <x v="0"/>
    <x v="1"/>
  </r>
  <r>
    <n v="906"/>
    <s v="California"/>
    <s v="90404"/>
    <d v="2015-01-07T03:03:41"/>
    <d v="2015-01-07T03:04:17"/>
    <n v="2"/>
    <n v="2"/>
    <n v="14"/>
    <n v="3"/>
    <n v="1"/>
    <n v="6"/>
    <n v="43.2"/>
    <d v="2015-01-07T03:03:43"/>
    <n v="7"/>
    <x v="6"/>
    <x v="19"/>
  </r>
  <r>
    <n v="907"/>
    <s v="Georgia"/>
    <s v="30461"/>
    <d v="2015-04-28T11:47:22"/>
    <d v="2015-04-28T11:47:26"/>
    <n v="1"/>
    <n v="4"/>
    <n v="8"/>
    <n v="1"/>
    <n v="1"/>
    <n v="4"/>
    <n v="28.8"/>
    <d v="2015-04-28T11:47:23"/>
    <n v="28"/>
    <x v="5"/>
    <x v="3"/>
  </r>
  <r>
    <n v="908"/>
    <s v="Minnesota"/>
    <s v="55360"/>
    <d v="2015-09-06T12:26:20"/>
    <d v="2015-09-06T12:26:23"/>
    <n v="1"/>
    <n v="4"/>
    <n v="2"/>
    <n v="2"/>
    <n v="1"/>
    <n v="2"/>
    <n v="22"/>
    <d v="2015-09-06T12:26:20"/>
    <n v="6"/>
    <x v="2"/>
    <x v="7"/>
  </r>
  <r>
    <n v="909"/>
    <m/>
    <m/>
    <d v="2015-04-01T14:04:41"/>
    <d v="2015-04-01T14:04:45"/>
    <n v="1"/>
    <n v="2"/>
    <n v="4"/>
    <n v="2"/>
    <n v="1"/>
    <n v="2"/>
    <n v="45"/>
    <d v="2015-04-01T14:07:26"/>
    <n v="1"/>
    <x v="6"/>
    <x v="9"/>
  </r>
  <r>
    <n v="910"/>
    <s v="California"/>
    <s v="92122"/>
    <d v="2015-03-30T22:15:33"/>
    <d v="2015-03-30T22:15:37"/>
    <n v="1"/>
    <n v="2"/>
    <n v="2"/>
    <n v="1"/>
    <n v="1"/>
    <n v="1"/>
    <n v="115.2"/>
    <d v="2015-03-30T22:15:33"/>
    <n v="30"/>
    <x v="3"/>
    <x v="1"/>
  </r>
  <r>
    <n v="911"/>
    <s v="New Hampshire"/>
    <s v="03303"/>
    <d v="2015-09-05T15:28:25"/>
    <d v="2015-09-05T11:28:30"/>
    <n v="1"/>
    <n v="0"/>
    <n v="2"/>
    <n v="2"/>
    <n v="1"/>
    <n v="1"/>
    <n v="28.05"/>
    <d v="2015-09-05T11:28:26"/>
    <n v="5"/>
    <x v="0"/>
    <x v="3"/>
  </r>
  <r>
    <n v="912"/>
    <s v="New York"/>
    <s v="13104"/>
    <d v="2015-09-19T15:18:06"/>
    <d v="2015-09-19T15:18:16"/>
    <n v="1"/>
    <n v="2"/>
    <n v="4"/>
    <n v="2"/>
    <n v="1"/>
    <n v="1"/>
    <n v="70.400000000000006"/>
    <d v="2015-09-19T15:18:06"/>
    <n v="19"/>
    <x v="0"/>
    <x v="10"/>
  </r>
  <r>
    <n v="913"/>
    <s v="Georgia"/>
    <s v="30338"/>
    <d v="2015-09-08T22:56:56"/>
    <d v="2015-09-09T15:52:13"/>
    <n v="5"/>
    <n v="6"/>
    <n v="4"/>
    <n v="2"/>
    <n v="1"/>
    <n v="6"/>
    <n v="52.8"/>
    <d v="2015-09-08T22:56:56"/>
    <n v="8"/>
    <x v="5"/>
    <x v="1"/>
  </r>
  <r>
    <n v="914"/>
    <s v="Pennsylvania"/>
    <s v="19146"/>
    <d v="2015-06-12T13:47:11"/>
    <d v="2015-06-14T23:05:13"/>
    <n v="3"/>
    <n v="4"/>
    <n v="4"/>
    <n v="3"/>
    <n v="1"/>
    <n v="2"/>
    <n v="21"/>
    <d v="2015-06-12T13:47:12"/>
    <n v="12"/>
    <x v="4"/>
    <x v="17"/>
  </r>
  <r>
    <n v="915"/>
    <s v="Tennessee"/>
    <s v="37932"/>
    <d v="2015-06-10T18:36:05"/>
    <d v="2015-06-10T14:36:11"/>
    <n v="1"/>
    <n v="6"/>
    <n v="8"/>
    <n v="4"/>
    <n v="1"/>
    <n v="4"/>
    <n v="28.8"/>
    <d v="2015-06-10T14:36:08"/>
    <n v="10"/>
    <x v="6"/>
    <x v="9"/>
  </r>
  <r>
    <n v="916"/>
    <s v="Ohio"/>
    <s v="45213"/>
    <d v="2015-02-04T16:57:27"/>
    <d v="2015-02-04T16:57:34"/>
    <n v="1"/>
    <n v="2"/>
    <n v="2"/>
    <n v="1"/>
    <n v="1"/>
    <n v="1"/>
    <n v="28.8"/>
    <d v="2015-02-04T16:57:30"/>
    <n v="4"/>
    <x v="6"/>
    <x v="4"/>
  </r>
  <r>
    <n v="917"/>
    <s v="Arizona"/>
    <s v="85226"/>
    <d v="2015-04-12T22:46:52"/>
    <d v="2015-04-12T22:46:58"/>
    <n v="1"/>
    <n v="2"/>
    <n v="4"/>
    <n v="1"/>
    <n v="1"/>
    <n v="4"/>
    <n v="28.8"/>
    <d v="2015-04-12T22:46:53"/>
    <n v="12"/>
    <x v="2"/>
    <x v="1"/>
  </r>
  <r>
    <n v="918"/>
    <s v="Kentucky"/>
    <s v="42431"/>
    <d v="2015-06-09T12:19:24"/>
    <d v="2015-06-09T12:19:28"/>
    <n v="1"/>
    <n v="0"/>
    <n v="8"/>
    <n v="2"/>
    <n v="1"/>
    <n v="4"/>
    <n v="36"/>
    <d v="2015-06-09T12:19:25"/>
    <n v="9"/>
    <x v="5"/>
    <x v="7"/>
  </r>
  <r>
    <n v="919"/>
    <s v="Iowa"/>
    <s v="51248"/>
    <d v="2015-02-10T01:47:39"/>
    <d v="2015-02-10T01:47:46"/>
    <n v="1"/>
    <n v="2"/>
    <n v="4"/>
    <n v="2"/>
    <n v="1"/>
    <n v="2"/>
    <n v="36"/>
    <d v="2015-02-10T01:47:42"/>
    <n v="10"/>
    <x v="5"/>
    <x v="20"/>
  </r>
  <r>
    <n v="920"/>
    <s v="California"/>
    <s v="94523"/>
    <d v="2015-06-24T12:02:01"/>
    <d v="2015-06-24T12:02:04"/>
    <n v="1"/>
    <n v="0"/>
    <n v="2"/>
    <n v="2"/>
    <n v="1"/>
    <n v="2"/>
    <n v="14.4"/>
    <d v="2015-06-24T12:02:02"/>
    <n v="24"/>
    <x v="6"/>
    <x v="7"/>
  </r>
  <r>
    <n v="921"/>
    <m/>
    <m/>
    <d v="2015-03-13T11:45:22"/>
    <d v="2015-03-13T11:45:30"/>
    <n v="1"/>
    <n v="2"/>
    <n v="6"/>
    <n v="2"/>
    <n v="1"/>
    <n v="2"/>
    <n v="115.2"/>
    <d v="2015-03-13T11:48:22"/>
    <n v="13"/>
    <x v="4"/>
    <x v="3"/>
  </r>
  <r>
    <n v="922"/>
    <s v="Washington"/>
    <s v="98264"/>
    <d v="2015-08-09T15:25:53"/>
    <d v="2015-08-10T21:34:33"/>
    <n v="2"/>
    <n v="4"/>
    <n v="3"/>
    <n v="4"/>
    <n v="1"/>
    <n v="1"/>
    <n v="50.4"/>
    <d v="2015-08-09T15:25:53"/>
    <n v="9"/>
    <x v="2"/>
    <x v="10"/>
  </r>
  <r>
    <n v="923"/>
    <s v="New York"/>
    <s v="10023"/>
    <d v="2015-02-15T13:47:47"/>
    <d v="2015-02-15T13:47:54"/>
    <n v="1"/>
    <n v="0"/>
    <n v="10"/>
    <n v="1"/>
    <n v="1"/>
    <n v="6"/>
    <n v="45.9"/>
    <d v="2015-02-15T13:47:49"/>
    <n v="15"/>
    <x v="2"/>
    <x v="17"/>
  </r>
  <r>
    <n v="924"/>
    <s v="Wisconsin"/>
    <s v="53048"/>
    <d v="2015-07-20T16:11:40"/>
    <d v="2015-07-20T16:11:45"/>
    <n v="1"/>
    <n v="0"/>
    <n v="2"/>
    <n v="2"/>
    <n v="1"/>
    <n v="1"/>
    <n v="29.92"/>
    <d v="2015-07-20T16:11:41"/>
    <n v="20"/>
    <x v="3"/>
    <x v="4"/>
  </r>
  <r>
    <n v="926"/>
    <s v="Washington"/>
    <s v="98372"/>
    <d v="2015-07-22T23:36:47"/>
    <d v="2015-07-22T19:36:50"/>
    <n v="1"/>
    <n v="2"/>
    <n v="2"/>
    <n v="2"/>
    <n v="1"/>
    <n v="1"/>
    <n v="29.92"/>
    <d v="2015-07-22T19:36:48"/>
    <n v="22"/>
    <x v="6"/>
    <x v="12"/>
  </r>
  <r>
    <n v="927"/>
    <s v="Washington"/>
    <s v="98012"/>
    <d v="2015-05-22T11:01:59"/>
    <d v="2015-05-22T11:02:02"/>
    <n v="1"/>
    <n v="0"/>
    <n v="2"/>
    <n v="2"/>
    <n v="1"/>
    <n v="1"/>
    <n v="28.8"/>
    <d v="2015-05-22T11:02:00"/>
    <n v="22"/>
    <x v="4"/>
    <x v="3"/>
  </r>
  <r>
    <n v="928"/>
    <s v="New Hampshire"/>
    <s v="03054"/>
    <d v="2015-08-31T22:23:13"/>
    <d v="2015-08-31T18:23:17"/>
    <n v="1"/>
    <n v="4"/>
    <n v="2"/>
    <n v="2"/>
    <n v="1"/>
    <n v="2"/>
    <n v="59.84"/>
    <d v="2015-08-31T18:23:13"/>
    <n v="31"/>
    <x v="3"/>
    <x v="6"/>
  </r>
  <r>
    <n v="929"/>
    <s v="Michigan"/>
    <s v="48073"/>
    <d v="2015-05-29T09:06:47"/>
    <d v="2015-05-29T09:06:51"/>
    <n v="1"/>
    <n v="0"/>
    <n v="8"/>
    <n v="2"/>
    <n v="1"/>
    <n v="4"/>
    <n v="28.8"/>
    <d v="2015-05-29T09:06:48"/>
    <n v="29"/>
    <x v="4"/>
    <x v="15"/>
  </r>
  <r>
    <n v="930"/>
    <m/>
    <m/>
    <d v="2015-01-13T03:57:13"/>
    <d v="2015-01-13T03:57:24"/>
    <n v="1"/>
    <n v="6"/>
    <n v="6"/>
    <n v="3"/>
    <n v="1"/>
    <n v="4"/>
    <n v="28.8"/>
    <d v="2015-01-13T04:00:07"/>
    <n v="13"/>
    <x v="5"/>
    <x v="23"/>
  </r>
  <r>
    <n v="931"/>
    <s v="Minnesota"/>
    <s v="55127"/>
    <d v="2015-04-28T14:12:09"/>
    <d v="2015-04-28T14:12:18"/>
    <n v="1"/>
    <n v="3"/>
    <n v="4"/>
    <n v="1"/>
    <n v="1"/>
    <n v="2"/>
    <n v="72"/>
    <d v="2015-04-28T14:22:10"/>
    <n v="28"/>
    <x v="5"/>
    <x v="9"/>
  </r>
  <r>
    <n v="932"/>
    <s v="Texas"/>
    <s v="76426"/>
    <d v="2015-05-26T03:39:10"/>
    <d v="2015-05-27T22:13:21"/>
    <n v="5"/>
    <n v="8"/>
    <n v="6"/>
    <n v="3"/>
    <n v="1"/>
    <n v="2"/>
    <n v="14.4"/>
    <d v="2015-05-26T03:39:10"/>
    <n v="26"/>
    <x v="5"/>
    <x v="19"/>
  </r>
  <r>
    <n v="933"/>
    <s v="California"/>
    <s v="94107"/>
    <d v="2015-06-21T17:35:39"/>
    <d v="2015-06-21T13:35:44"/>
    <n v="1"/>
    <n v="2"/>
    <n v="4"/>
    <n v="2"/>
    <n v="1"/>
    <n v="2"/>
    <n v="67.2"/>
    <d v="2015-06-21T13:35:41"/>
    <n v="21"/>
    <x v="2"/>
    <x v="17"/>
  </r>
  <r>
    <n v="934"/>
    <s v="Florida"/>
    <s v="32619"/>
    <d v="2015-06-04T17:56:29"/>
    <d v="2015-06-04T13:56:36"/>
    <n v="1"/>
    <n v="2"/>
    <n v="2"/>
    <n v="2"/>
    <n v="1"/>
    <n v="2"/>
    <n v="18"/>
    <d v="2015-06-04T13:56:31"/>
    <n v="4"/>
    <x v="1"/>
    <x v="17"/>
  </r>
  <r>
    <n v="936"/>
    <m/>
    <m/>
    <d v="2015-03-05T08:19:25"/>
    <d v="2015-03-05T08:19:28"/>
    <n v="1"/>
    <n v="0"/>
    <n v="4"/>
    <n v="2"/>
    <n v="1"/>
    <n v="4"/>
    <n v="28.8"/>
    <d v="2015-03-05T08:33:52"/>
    <n v="5"/>
    <x v="1"/>
    <x v="18"/>
  </r>
  <r>
    <n v="937"/>
    <s v="Texas"/>
    <s v="77539"/>
    <d v="2015-06-01T21:05:23"/>
    <d v="2015-06-01T21:05:27"/>
    <n v="1"/>
    <n v="2"/>
    <n v="10"/>
    <n v="2"/>
    <n v="1"/>
    <n v="5"/>
    <n v="72"/>
    <d v="2015-06-01T21:05:24"/>
    <n v="1"/>
    <x v="3"/>
    <x v="2"/>
  </r>
  <r>
    <n v="938"/>
    <s v="Virginia"/>
    <s v="24073"/>
    <d v="2015-08-23T11:47:27"/>
    <d v="2015-08-27T05:49:18"/>
    <n v="5"/>
    <n v="8"/>
    <n v="2"/>
    <n v="7"/>
    <n v="1"/>
    <n v="1"/>
    <n v="29.92"/>
    <d v="2015-08-23T11:47:28"/>
    <n v="23"/>
    <x v="2"/>
    <x v="3"/>
  </r>
  <r>
    <n v="939"/>
    <s v="Ohio"/>
    <s v="44221"/>
    <d v="2015-03-15T12:36:32"/>
    <d v="2015-03-15T12:36:39"/>
    <n v="1"/>
    <n v="0"/>
    <n v="2"/>
    <n v="1"/>
    <n v="1"/>
    <n v="1"/>
    <n v="36"/>
    <d v="2015-03-15T12:36:33"/>
    <n v="15"/>
    <x v="2"/>
    <x v="7"/>
  </r>
  <r>
    <n v="940"/>
    <m/>
    <m/>
    <d v="2015-08-12T17:02:55"/>
    <d v="2015-08-12T13:02:57"/>
    <n v="1"/>
    <n v="2"/>
    <n v="4"/>
    <n v="4"/>
    <n v="1"/>
    <n v="2"/>
    <n v="86.24"/>
    <d v="2015-08-12T13:11:15"/>
    <n v="12"/>
    <x v="6"/>
    <x v="17"/>
  </r>
  <r>
    <n v="941"/>
    <s v="Massachusetts"/>
    <s v="02129"/>
    <d v="2015-01-27T09:48:32"/>
    <d v="2015-01-27T09:48:36"/>
    <n v="1"/>
    <n v="2"/>
    <n v="12"/>
    <n v="2"/>
    <n v="1"/>
    <n v="6"/>
    <n v="40.799999999999997"/>
    <d v="2015-01-27T09:48:33"/>
    <n v="27"/>
    <x v="5"/>
    <x v="15"/>
  </r>
  <r>
    <n v="942"/>
    <s v="Pennsylvania"/>
    <s v="16046"/>
    <d v="2015-05-21T07:57:08"/>
    <d v="2015-05-21T07:57:11"/>
    <n v="1"/>
    <n v="2"/>
    <n v="4"/>
    <n v="3"/>
    <n v="1"/>
    <n v="2"/>
    <n v="14.4"/>
    <d v="2015-05-21T07:57:09"/>
    <n v="21"/>
    <x v="1"/>
    <x v="16"/>
  </r>
  <r>
    <n v="943"/>
    <s v="Illinois"/>
    <s v="60645"/>
    <d v="2015-01-02T17:09:53"/>
    <d v="2015-01-03T00:17:56"/>
    <n v="3"/>
    <n v="2"/>
    <n v="8"/>
    <n v="2"/>
    <n v="1"/>
    <n v="4"/>
    <n v="28.8"/>
    <d v="2015-01-02T17:10:06"/>
    <n v="2"/>
    <x v="4"/>
    <x v="8"/>
  </r>
  <r>
    <n v="944"/>
    <s v="Wyoming"/>
    <s v="82072"/>
    <d v="2015-05-25T10:03:50"/>
    <d v="2015-05-25T10:03:55"/>
    <n v="1"/>
    <n v="2"/>
    <n v="4"/>
    <n v="2"/>
    <n v="1"/>
    <n v="2"/>
    <n v="57.6"/>
    <d v="2015-05-25T10:03:52"/>
    <n v="25"/>
    <x v="3"/>
    <x v="13"/>
  </r>
  <r>
    <n v="945"/>
    <s v="California"/>
    <s v="94618"/>
    <d v="2015-03-23T00:24:53"/>
    <d v="2015-03-23T00:25:02"/>
    <n v="1"/>
    <n v="0"/>
    <n v="6"/>
    <n v="1"/>
    <n v="1"/>
    <n v="4"/>
    <n v="88"/>
    <d v="2015-03-23T00:24:54"/>
    <n v="23"/>
    <x v="3"/>
    <x v="14"/>
  </r>
  <r>
    <n v="946"/>
    <m/>
    <m/>
    <d v="2015-01-30T20:19:30"/>
    <d v="2015-01-30T20:19:35"/>
    <n v="1"/>
    <n v="2"/>
    <n v="6"/>
    <n v="3"/>
    <n v="1"/>
    <n v="3"/>
    <n v="42.4"/>
    <d v="2015-01-30T20:19:33"/>
    <n v="30"/>
    <x v="4"/>
    <x v="5"/>
  </r>
  <r>
    <n v="947"/>
    <s v="Iowa"/>
    <s v="52544"/>
    <d v="2015-02-22T22:11:07"/>
    <d v="2015-02-22T22:11:11"/>
    <n v="1"/>
    <n v="2"/>
    <n v="2"/>
    <n v="4"/>
    <n v="1"/>
    <n v="1"/>
    <n v="57.6"/>
    <d v="2015-02-22T22:11:08"/>
    <n v="22"/>
    <x v="2"/>
    <x v="1"/>
  </r>
  <r>
    <n v="948"/>
    <m/>
    <m/>
    <d v="2015-05-02T16:47:08"/>
    <d v="2015-05-02T16:47:12"/>
    <n v="1"/>
    <n v="0"/>
    <n v="1"/>
    <n v="2"/>
    <n v="1"/>
    <n v="2"/>
    <n v="14.4"/>
    <d v="2015-05-02T16:51:46"/>
    <n v="2"/>
    <x v="0"/>
    <x v="4"/>
  </r>
  <r>
    <n v="949"/>
    <s v="California"/>
    <s v="94118"/>
    <d v="2015-02-01T19:21:41"/>
    <d v="2015-02-01T19:21:45"/>
    <n v="1"/>
    <n v="2"/>
    <n v="16"/>
    <n v="1"/>
    <n v="1"/>
    <n v="8"/>
    <n v="57.6"/>
    <d v="2015-02-01T19:21:42"/>
    <n v="1"/>
    <x v="2"/>
    <x v="12"/>
  </r>
  <r>
    <n v="950"/>
    <s v="Wisconsin"/>
    <s v="54021"/>
    <d v="2015-07-12T08:51:25"/>
    <d v="2015-07-12T08:51:29"/>
    <n v="1"/>
    <n v="4"/>
    <n v="2"/>
    <n v="2"/>
    <n v="1"/>
    <n v="1"/>
    <n v="28.8"/>
    <d v="2015-07-12T08:51:26"/>
    <n v="12"/>
    <x v="2"/>
    <x v="18"/>
  </r>
  <r>
    <n v="951"/>
    <s v="North Carolina"/>
    <s v="27948"/>
    <d v="2015-07-13T14:32:39"/>
    <d v="2015-07-13T14:32:42"/>
    <n v="1"/>
    <n v="6"/>
    <n v="4"/>
    <n v="4"/>
    <n v="1"/>
    <n v="2"/>
    <n v="18"/>
    <d v="2015-07-13T14:32:39"/>
    <n v="13"/>
    <x v="3"/>
    <x v="9"/>
  </r>
  <r>
    <n v="952"/>
    <s v="Florida"/>
    <s v="33618"/>
    <d v="2015-05-30T11:29:37"/>
    <d v="2015-05-31T22:47:00"/>
    <n v="3"/>
    <n v="2"/>
    <n v="2"/>
    <n v="3"/>
    <n v="1"/>
    <n v="1"/>
    <n v="36"/>
    <d v="2015-05-30T11:29:37"/>
    <n v="30"/>
    <x v="0"/>
    <x v="3"/>
  </r>
  <r>
    <n v="953"/>
    <s v="New Jersey"/>
    <s v="08844"/>
    <d v="2015-05-23T10:43:57"/>
    <d v="2015-05-23T10:44:02"/>
    <n v="1"/>
    <n v="4"/>
    <n v="10"/>
    <n v="2"/>
    <n v="1"/>
    <n v="4"/>
    <n v="115.2"/>
    <d v="2015-05-23T10:44:00"/>
    <n v="23"/>
    <x v="0"/>
    <x v="13"/>
  </r>
  <r>
    <n v="954"/>
    <s v="California"/>
    <s v="93238"/>
    <d v="2015-06-16T10:07:42"/>
    <d v="2015-06-16T10:08:18"/>
    <n v="1"/>
    <n v="2"/>
    <n v="2"/>
    <n v="2"/>
    <n v="1"/>
    <n v="1"/>
    <n v="28.8"/>
    <d v="2015-06-16T10:07:56"/>
    <n v="16"/>
    <x v="5"/>
    <x v="13"/>
  </r>
  <r>
    <n v="955"/>
    <s v="Michigan"/>
    <s v="48128"/>
    <d v="2015-09-13T20:19:59"/>
    <d v="2015-09-14T08:52:25"/>
    <n v="2"/>
    <n v="9"/>
    <n v="8"/>
    <n v="14"/>
    <n v="2"/>
    <n v="3"/>
    <n v="29.92"/>
    <d v="2015-09-13T20:21:56"/>
    <n v="13"/>
    <x v="2"/>
    <x v="5"/>
  </r>
  <r>
    <n v="956"/>
    <m/>
    <m/>
    <d v="2015-06-16T14:17:51"/>
    <d v="2015-06-16T15:19:52"/>
    <n v="3"/>
    <n v="2"/>
    <n v="8"/>
    <n v="9"/>
    <n v="1"/>
    <n v="2"/>
    <n v="14.4"/>
    <d v="2015-06-16T12:04:16"/>
    <n v="16"/>
    <x v="5"/>
    <x v="7"/>
  </r>
  <r>
    <n v="957"/>
    <s v="Texas"/>
    <s v="77082"/>
    <d v="2015-01-16T10:03:21"/>
    <d v="2015-01-21T13:08:23"/>
    <n v="2"/>
    <n v="0"/>
    <n v="4"/>
    <n v="3"/>
    <n v="1"/>
    <n v="4"/>
    <n v="28.8"/>
    <d v="2015-01-16T10:03:22"/>
    <n v="16"/>
    <x v="4"/>
    <x v="13"/>
  </r>
  <r>
    <n v="958"/>
    <s v="New York"/>
    <s v="12901"/>
    <d v="2015-07-07T02:11:08"/>
    <d v="2015-07-06T22:11:10"/>
    <n v="1"/>
    <n v="6"/>
    <n v="8"/>
    <n v="4"/>
    <n v="2"/>
    <n v="4"/>
    <n v="18"/>
    <d v="2015-07-06T22:15:33"/>
    <n v="6"/>
    <x v="3"/>
    <x v="1"/>
  </r>
  <r>
    <n v="959"/>
    <m/>
    <m/>
    <d v="2015-01-22T23:39:57"/>
    <d v="2015-01-22T23:41:11"/>
    <n v="1"/>
    <n v="0"/>
    <n v="8"/>
    <n v="34"/>
    <n v="1"/>
    <n v="3"/>
    <n v="18"/>
    <d v="2015-01-22T23:46:54"/>
    <n v="22"/>
    <x v="1"/>
    <x v="0"/>
  </r>
  <r>
    <n v="960"/>
    <s v="California"/>
    <s v="93725"/>
    <d v="2015-01-03T18:17:21"/>
    <d v="2015-01-04T17:54:47"/>
    <n v="2"/>
    <n v="4"/>
    <n v="4"/>
    <n v="2"/>
    <n v="1"/>
    <n v="2"/>
    <n v="9"/>
    <d v="2015-01-03T18:17:23"/>
    <n v="3"/>
    <x v="0"/>
    <x v="6"/>
  </r>
  <r>
    <n v="961"/>
    <s v="Illinois"/>
    <s v="60045"/>
    <d v="2015-07-05T14:49:56"/>
    <d v="2015-07-05T14:49:59"/>
    <n v="1"/>
    <n v="4"/>
    <n v="2"/>
    <n v="2"/>
    <n v="1"/>
    <n v="4"/>
    <n v="28.8"/>
    <d v="2015-07-05T14:49:56"/>
    <n v="5"/>
    <x v="2"/>
    <x v="9"/>
  </r>
  <r>
    <n v="962"/>
    <s v="New York"/>
    <s v="10003"/>
    <d v="2015-06-19T11:16:10"/>
    <d v="2015-06-19T11:16:14"/>
    <n v="1"/>
    <n v="2"/>
    <n v="2"/>
    <n v="2"/>
    <n v="1"/>
    <n v="1"/>
    <n v="39.6"/>
    <d v="2015-06-19T11:16:11"/>
    <n v="19"/>
    <x v="4"/>
    <x v="3"/>
  </r>
  <r>
    <n v="963"/>
    <s v="Colorado"/>
    <s v="81303"/>
    <d v="2015-03-08T14:14:41"/>
    <d v="2015-03-08T14:14:48"/>
    <n v="1"/>
    <n v="4"/>
    <n v="2"/>
    <n v="1"/>
    <n v="1"/>
    <n v="1"/>
    <n v="28.8"/>
    <d v="2015-03-08T14:14:42"/>
    <n v="8"/>
    <x v="2"/>
    <x v="9"/>
  </r>
  <r>
    <n v="964"/>
    <s v="Louisiana"/>
    <s v="70808"/>
    <d v="2015-02-05T11:54:48"/>
    <d v="2015-02-05T11:54:53"/>
    <n v="1"/>
    <n v="2"/>
    <n v="18"/>
    <n v="2"/>
    <n v="1"/>
    <n v="4"/>
    <n v="28.8"/>
    <d v="2015-02-05T11:57:48"/>
    <n v="5"/>
    <x v="1"/>
    <x v="3"/>
  </r>
  <r>
    <n v="966"/>
    <s v="Texas"/>
    <s v="76021"/>
    <d v="2015-05-26T22:47:29"/>
    <d v="2015-05-26T22:47:33"/>
    <n v="1"/>
    <n v="0"/>
    <n v="2"/>
    <n v="2"/>
    <n v="1"/>
    <n v="1"/>
    <n v="28.8"/>
    <d v="2015-05-26T22:47:29"/>
    <n v="26"/>
    <x v="5"/>
    <x v="1"/>
  </r>
  <r>
    <n v="967"/>
    <m/>
    <m/>
    <d v="2015-06-03T13:08:28"/>
    <d v="2015-06-03T09:08:31"/>
    <n v="1"/>
    <n v="8"/>
    <n v="16"/>
    <n v="6"/>
    <n v="1"/>
    <n v="6"/>
    <n v="43.2"/>
    <d v="2015-06-03T09:13:59"/>
    <n v="3"/>
    <x v="6"/>
    <x v="15"/>
  </r>
  <r>
    <n v="968"/>
    <s v="California"/>
    <s v="94806"/>
    <d v="2015-06-02T22:47:27"/>
    <d v="2015-06-02T22:47:32"/>
    <n v="1"/>
    <n v="2"/>
    <n v="2"/>
    <n v="2"/>
    <n v="1"/>
    <n v="1"/>
    <n v="28.8"/>
    <d v="2015-06-02T22:47:28"/>
    <n v="2"/>
    <x v="5"/>
    <x v="1"/>
  </r>
  <r>
    <n v="969"/>
    <s v="Texas"/>
    <s v="77845"/>
    <d v="2015-03-09T16:18:43"/>
    <d v="2015-03-09T16:18:49"/>
    <n v="1"/>
    <n v="0"/>
    <n v="10"/>
    <n v="1"/>
    <n v="1"/>
    <n v="4"/>
    <n v="28.8"/>
    <d v="2015-03-09T16:18:44"/>
    <n v="9"/>
    <x v="3"/>
    <x v="4"/>
  </r>
  <r>
    <n v="970"/>
    <s v="Colorado"/>
    <s v="80134"/>
    <d v="2015-06-16T15:26:31"/>
    <d v="2015-06-17T15:40:03"/>
    <n v="2"/>
    <n v="10"/>
    <n v="3"/>
    <n v="7"/>
    <n v="1"/>
    <n v="1"/>
    <n v="23.04"/>
    <d v="2015-06-17T15:42:16"/>
    <n v="17"/>
    <x v="6"/>
    <x v="10"/>
  </r>
  <r>
    <n v="971"/>
    <s v="Texas"/>
    <s v="78729"/>
    <d v="2015-03-10T21:54:12"/>
    <d v="2015-03-10T21:54:17"/>
    <n v="1"/>
    <n v="4"/>
    <n v="6"/>
    <n v="2"/>
    <n v="1"/>
    <n v="3"/>
    <n v="20.8"/>
    <d v="2015-03-10T21:54:13"/>
    <n v="10"/>
    <x v="5"/>
    <x v="2"/>
  </r>
  <r>
    <n v="972"/>
    <s v="New York"/>
    <s v="13760"/>
    <d v="2015-06-06T16:29:55"/>
    <d v="2015-06-06T12:30:00"/>
    <n v="1"/>
    <n v="0"/>
    <n v="2"/>
    <n v="2"/>
    <n v="1"/>
    <n v="1"/>
    <n v="28.8"/>
    <d v="2015-06-06T12:29:56"/>
    <n v="6"/>
    <x v="0"/>
    <x v="7"/>
  </r>
  <r>
    <n v="973"/>
    <s v="Texas"/>
    <s v="78681"/>
    <d v="2015-03-01T14:08:33"/>
    <d v="2015-03-01T14:08:38"/>
    <n v="1"/>
    <n v="2"/>
    <n v="2"/>
    <n v="1"/>
    <n v="1"/>
    <n v="4"/>
    <n v="28.8"/>
    <d v="2015-03-01T14:08:34"/>
    <n v="1"/>
    <x v="2"/>
    <x v="9"/>
  </r>
  <r>
    <n v="974"/>
    <s v="Alabama"/>
    <s v="36301"/>
    <d v="2015-08-09T21:31:13"/>
    <d v="2015-08-10T09:11:39"/>
    <n v="3"/>
    <n v="2"/>
    <n v="2"/>
    <n v="2"/>
    <n v="1"/>
    <n v="1"/>
    <n v="28.05"/>
    <d v="2015-08-09T21:31:13"/>
    <n v="9"/>
    <x v="2"/>
    <x v="2"/>
  </r>
  <r>
    <n v="975"/>
    <s v="Iowa"/>
    <s v="50035"/>
    <d v="2015-08-23T21:43:07"/>
    <d v="2015-08-23T17:43:08"/>
    <n v="1"/>
    <n v="12"/>
    <n v="2"/>
    <n v="4"/>
    <n v="1"/>
    <n v="1"/>
    <n v="56.32"/>
    <d v="2015-08-23T17:45:33"/>
    <n v="23"/>
    <x v="2"/>
    <x v="8"/>
  </r>
  <r>
    <n v="976"/>
    <s v="Michigan"/>
    <s v="48890"/>
    <d v="2015-02-10T10:30:32"/>
    <d v="2015-02-10T10:30:37"/>
    <n v="1"/>
    <n v="0"/>
    <n v="8"/>
    <n v="1"/>
    <n v="1"/>
    <n v="4"/>
    <n v="30.6"/>
    <d v="2015-02-10T10:30:33"/>
    <n v="10"/>
    <x v="5"/>
    <x v="13"/>
  </r>
  <r>
    <n v="977"/>
    <s v="Wisconsin"/>
    <s v="53217"/>
    <d v="2015-03-04T10:18:37"/>
    <d v="2015-03-05T22:19:40"/>
    <n v="5"/>
    <n v="1"/>
    <n v="4"/>
    <n v="5"/>
    <n v="1"/>
    <n v="2"/>
    <n v="9"/>
    <d v="2015-03-04T10:18:38"/>
    <n v="4"/>
    <x v="6"/>
    <x v="13"/>
  </r>
  <r>
    <n v="978"/>
    <s v="California"/>
    <s v="90720"/>
    <d v="2015-01-23T13:42:27"/>
    <d v="2015-01-27T14:39:02"/>
    <n v="6"/>
    <n v="0"/>
    <n v="6"/>
    <n v="6"/>
    <n v="2"/>
    <n v="3"/>
    <n v="28.8"/>
    <d v="2015-01-23T13:42:29"/>
    <n v="23"/>
    <x v="4"/>
    <x v="17"/>
  </r>
  <r>
    <n v="979"/>
    <s v="Florida"/>
    <s v="32608"/>
    <d v="2015-01-18T09:24:59"/>
    <d v="2015-01-18T09:25:03"/>
    <n v="1"/>
    <n v="0"/>
    <n v="2"/>
    <n v="2"/>
    <n v="1"/>
    <n v="2"/>
    <n v="18"/>
    <d v="2015-01-18T09:25:01"/>
    <n v="18"/>
    <x v="2"/>
    <x v="15"/>
  </r>
  <r>
    <n v="980"/>
    <s v="California"/>
    <s v="92101"/>
    <d v="2015-06-13T00:47:39"/>
    <d v="2015-06-13T00:47:42"/>
    <n v="1"/>
    <n v="6"/>
    <n v="2"/>
    <n v="2"/>
    <n v="1"/>
    <n v="1"/>
    <n v="28.8"/>
    <d v="2015-06-13T00:47:39"/>
    <n v="13"/>
    <x v="0"/>
    <x v="14"/>
  </r>
  <r>
    <n v="981"/>
    <s v="Texas"/>
    <s v="79407"/>
    <d v="2015-06-30T15:48:58"/>
    <d v="2015-06-30T11:49:04"/>
    <n v="1"/>
    <n v="4"/>
    <n v="4"/>
    <n v="2"/>
    <n v="1"/>
    <n v="2"/>
    <n v="72"/>
    <d v="2015-06-30T11:48:59"/>
    <n v="30"/>
    <x v="5"/>
    <x v="3"/>
  </r>
  <r>
    <n v="982"/>
    <s v="Texas"/>
    <s v="75229"/>
    <d v="2015-07-23T23:24:07"/>
    <d v="2015-07-23T23:24:11"/>
    <n v="1"/>
    <n v="6"/>
    <n v="8"/>
    <n v="2"/>
    <n v="1"/>
    <n v="4"/>
    <n v="45"/>
    <d v="2015-07-23T23:24:07"/>
    <n v="23"/>
    <x v="1"/>
    <x v="0"/>
  </r>
  <r>
    <n v="983"/>
    <s v="Tennessee"/>
    <s v="37206"/>
    <d v="2015-08-10T18:41:55"/>
    <d v="2015-08-10T14:41:57"/>
    <n v="1"/>
    <n v="8"/>
    <n v="2"/>
    <n v="2"/>
    <n v="1"/>
    <n v="1"/>
    <n v="32.64"/>
    <d v="2015-08-10T15:33:09"/>
    <n v="10"/>
    <x v="3"/>
    <x v="10"/>
  </r>
  <r>
    <n v="984"/>
    <s v="New Jersey"/>
    <s v="08560"/>
    <d v="2015-07-25T20:38:43"/>
    <d v="2015-07-25T20:38:47"/>
    <n v="1"/>
    <n v="0"/>
    <n v="2"/>
    <n v="2"/>
    <n v="1"/>
    <n v="1"/>
    <n v="29.92"/>
    <d v="2015-07-25T20:38:44"/>
    <n v="25"/>
    <x v="0"/>
    <x v="5"/>
  </r>
  <r>
    <n v="985"/>
    <s v="Georgia"/>
    <s v="31820"/>
    <d v="2015-02-25T19:16:04"/>
    <d v="2015-02-25T23:10:45"/>
    <n v="3"/>
    <n v="0"/>
    <n v="8"/>
    <n v="5"/>
    <n v="1"/>
    <n v="2"/>
    <n v="9"/>
    <d v="2015-02-25T19:17:55"/>
    <n v="25"/>
    <x v="6"/>
    <x v="12"/>
  </r>
  <r>
    <n v="986"/>
    <s v="Kentucky"/>
    <s v="40026"/>
    <d v="2015-02-19T20:34:58"/>
    <d v="2015-03-10T19:46:26"/>
    <n v="10"/>
    <n v="0"/>
    <n v="8"/>
    <n v="8"/>
    <n v="2"/>
    <n v="6"/>
    <n v="18"/>
    <d v="2015-02-19T20:39:04"/>
    <n v="19"/>
    <x v="1"/>
    <x v="5"/>
  </r>
  <r>
    <n v="987"/>
    <s v="Colorado"/>
    <s v="80504"/>
    <d v="2015-02-17T12:31:10"/>
    <d v="2015-02-23T16:22:36"/>
    <n v="6"/>
    <n v="0"/>
    <n v="1"/>
    <n v="3"/>
    <n v="1"/>
    <n v="1"/>
    <n v="28.8"/>
    <d v="2015-02-18T11:55:53"/>
    <n v="18"/>
    <x v="6"/>
    <x v="3"/>
  </r>
  <r>
    <n v="988"/>
    <s v="Texas"/>
    <s v="75098"/>
    <d v="2015-08-05T18:56:58"/>
    <d v="2015-08-05T14:57:03"/>
    <n v="1"/>
    <n v="6"/>
    <n v="4"/>
    <n v="2"/>
    <n v="1"/>
    <n v="2"/>
    <n v="38.72"/>
    <d v="2015-08-05T14:56:59"/>
    <n v="5"/>
    <x v="6"/>
    <x v="9"/>
  </r>
  <r>
    <n v="989"/>
    <s v="Georgia"/>
    <s v="30307"/>
    <d v="2015-09-09T16:24:30"/>
    <d v="2015-09-09T16:24:34"/>
    <n v="1"/>
    <n v="0"/>
    <n v="2"/>
    <n v="2"/>
    <n v="1"/>
    <n v="1"/>
    <n v="32.64"/>
    <d v="2015-09-09T16:24:30"/>
    <n v="9"/>
    <x v="6"/>
    <x v="4"/>
  </r>
  <r>
    <n v="990"/>
    <s v="Missouri"/>
    <s v="63042"/>
    <d v="2013-09-20T19:18:53"/>
    <d v="2015-07-22T09:02:41"/>
    <n v="3"/>
    <n v="0"/>
    <n v="1"/>
    <n v="2"/>
    <n v="1"/>
    <n v="1"/>
    <n v="37.4"/>
    <d v="2015-07-22T09:06:30"/>
    <n v="22"/>
    <x v="6"/>
    <x v="15"/>
  </r>
  <r>
    <n v="991"/>
    <m/>
    <m/>
    <d v="2015-01-27T12:55:15"/>
    <d v="2015-02-02T10:34:36"/>
    <n v="10"/>
    <n v="2"/>
    <n v="2"/>
    <n v="7"/>
    <n v="1"/>
    <n v="1"/>
    <n v="28.8"/>
    <d v="2015-01-28T08:11:35"/>
    <n v="28"/>
    <x v="6"/>
    <x v="18"/>
  </r>
  <r>
    <n v="992"/>
    <s v="Pennsylvania"/>
    <s v="19086"/>
    <d v="2015-09-12T11:58:14"/>
    <d v="2015-09-12T11:58:18"/>
    <n v="1"/>
    <n v="2"/>
    <n v="2"/>
    <n v="4"/>
    <n v="1"/>
    <n v="1"/>
    <n v="21.76"/>
    <d v="2015-09-12T11:58:14"/>
    <n v="12"/>
    <x v="0"/>
    <x v="3"/>
  </r>
  <r>
    <n v="993"/>
    <s v="Massachusetts"/>
    <s v="02184"/>
    <d v="2015-08-16T13:45:01"/>
    <d v="2015-08-16T22:17:30"/>
    <n v="2"/>
    <n v="3"/>
    <n v="3"/>
    <n v="6"/>
    <n v="1"/>
    <n v="1"/>
    <n v="29.92"/>
    <d v="2015-08-16T13:45:02"/>
    <n v="16"/>
    <x v="2"/>
    <x v="17"/>
  </r>
  <r>
    <n v="994"/>
    <s v="Alaska"/>
    <s v="99901"/>
    <d v="2015-05-28T15:38:34"/>
    <d v="2015-05-28T15:38:38"/>
    <n v="1"/>
    <n v="0"/>
    <n v="2"/>
    <n v="4"/>
    <n v="1"/>
    <n v="2"/>
    <n v="18"/>
    <d v="2015-05-28T15:38:35"/>
    <n v="28"/>
    <x v="1"/>
    <x v="10"/>
  </r>
  <r>
    <n v="995"/>
    <s v="Colorado"/>
    <s v="80816"/>
    <d v="2015-08-06T04:07:51"/>
    <d v="2015-08-06T11:40:52"/>
    <n v="5"/>
    <n v="8"/>
    <n v="4"/>
    <n v="2"/>
    <n v="1"/>
    <n v="2"/>
    <n v="17.600000000000001"/>
    <d v="2015-08-06T00:07:51"/>
    <n v="6"/>
    <x v="1"/>
    <x v="14"/>
  </r>
  <r>
    <n v="996"/>
    <s v="Ohio"/>
    <s v="44321"/>
    <d v="2015-03-25T11:06:08"/>
    <d v="2015-03-25T11:06:13"/>
    <n v="1"/>
    <n v="0"/>
    <n v="2"/>
    <n v="1"/>
    <n v="1"/>
    <n v="4"/>
    <n v="28.8"/>
    <d v="2015-03-25T11:06:09"/>
    <n v="25"/>
    <x v="6"/>
    <x v="3"/>
  </r>
  <r>
    <n v="997"/>
    <s v="Indiana"/>
    <s v="47720"/>
    <d v="2015-07-07T15:06:05"/>
    <d v="2015-07-07T11:06:10"/>
    <n v="1"/>
    <n v="6"/>
    <n v="6"/>
    <n v="2"/>
    <n v="1"/>
    <n v="1"/>
    <n v="28.8"/>
    <d v="2015-07-07T11:06:06"/>
    <n v="7"/>
    <x v="5"/>
    <x v="3"/>
  </r>
  <r>
    <n v="998"/>
    <s v="Wisconsin"/>
    <s v="54115"/>
    <d v="2015-03-24T22:24:55"/>
    <d v="2015-03-24T22:24:59"/>
    <n v="1"/>
    <n v="2"/>
    <n v="2"/>
    <n v="1"/>
    <n v="1"/>
    <n v="6"/>
    <n v="43.2"/>
    <d v="2015-03-24T22:24:56"/>
    <n v="24"/>
    <x v="5"/>
    <x v="1"/>
  </r>
  <r>
    <n v="999"/>
    <s v="Arizona"/>
    <s v="85253"/>
    <d v="2015-01-16T22:27:04"/>
    <d v="2015-01-16T22:27:07"/>
    <n v="1"/>
    <n v="0"/>
    <n v="4"/>
    <n v="2"/>
    <n v="1"/>
    <n v="2"/>
    <n v="72"/>
    <d v="2015-01-16T22:27:05"/>
    <n v="16"/>
    <x v="4"/>
    <x v="1"/>
  </r>
  <r>
    <n v="1000"/>
    <s v="Colorado"/>
    <s v="81242"/>
    <d v="2015-07-26T16:00:46"/>
    <d v="2015-07-26T12:00:47"/>
    <n v="1"/>
    <n v="4"/>
    <n v="8"/>
    <n v="4"/>
    <n v="1"/>
    <n v="2"/>
    <n v="22"/>
    <d v="2015-07-26T12:03:19"/>
    <n v="26"/>
    <x v="2"/>
    <x v="7"/>
  </r>
  <r>
    <n v="1001"/>
    <s v="Texas"/>
    <s v="77346"/>
    <d v="2015-09-04T09:41:04"/>
    <d v="2015-09-10T01:00:03"/>
    <n v="12"/>
    <n v="8"/>
    <n v="2"/>
    <n v="8"/>
    <n v="1"/>
    <n v="1"/>
    <n v="56.32"/>
    <d v="2015-09-04T05:41:05"/>
    <n v="4"/>
    <x v="4"/>
    <x v="22"/>
  </r>
  <r>
    <n v="1002"/>
    <s v="Florida"/>
    <s v="32708"/>
    <d v="2015-06-16T08:25:25"/>
    <d v="2015-06-16T08:25:32"/>
    <n v="1"/>
    <n v="8"/>
    <n v="8"/>
    <n v="2"/>
    <n v="1"/>
    <n v="4"/>
    <n v="31.2"/>
    <d v="2015-06-16T08:25:28"/>
    <n v="16"/>
    <x v="5"/>
    <x v="18"/>
  </r>
  <r>
    <n v="1003"/>
    <s v="Wisconsin"/>
    <s v="53562"/>
    <d v="2015-03-02T08:54:28"/>
    <d v="2015-03-02T08:54:32"/>
    <n v="1"/>
    <n v="0"/>
    <n v="2"/>
    <n v="1"/>
    <n v="1"/>
    <n v="1"/>
    <n v="57.6"/>
    <d v="2015-03-02T08:54:29"/>
    <n v="2"/>
    <x v="3"/>
    <x v="18"/>
  </r>
  <r>
    <n v="1004"/>
    <s v="New York"/>
    <s v="10003"/>
    <d v="2015-03-02T12:55:15"/>
    <d v="2015-03-02T12:55:20"/>
    <n v="1"/>
    <n v="0"/>
    <n v="2"/>
    <n v="2"/>
    <n v="1"/>
    <n v="1"/>
    <n v="61.2"/>
    <d v="2015-03-02T12:55:16"/>
    <n v="2"/>
    <x v="3"/>
    <x v="7"/>
  </r>
  <r>
    <n v="1005"/>
    <s v="Michigan"/>
    <s v="48642"/>
    <d v="2015-08-30T11:30:00"/>
    <d v="2015-08-30T11:30:03"/>
    <n v="1"/>
    <n v="4"/>
    <n v="4"/>
    <n v="2"/>
    <n v="1"/>
    <n v="4"/>
    <n v="35.200000000000003"/>
    <d v="2015-08-30T11:30:00"/>
    <n v="30"/>
    <x v="2"/>
    <x v="3"/>
  </r>
  <r>
    <n v="1006"/>
    <s v="Tennessee"/>
    <s v="37220"/>
    <d v="2015-03-11T09:53:53"/>
    <d v="2015-03-11T09:53:57"/>
    <n v="1"/>
    <n v="0"/>
    <n v="6"/>
    <n v="1"/>
    <n v="1"/>
    <n v="5"/>
    <n v="52.8"/>
    <d v="2015-03-11T09:53:54"/>
    <n v="11"/>
    <x v="6"/>
    <x v="15"/>
  </r>
  <r>
    <n v="1007"/>
    <s v="Alabama"/>
    <s v="35242"/>
    <d v="2015-05-06T13:02:51"/>
    <d v="2015-05-06T13:03:04"/>
    <n v="1"/>
    <n v="0"/>
    <n v="2"/>
    <n v="2"/>
    <n v="1"/>
    <n v="1"/>
    <n v="28.8"/>
    <d v="2015-05-06T13:03:02"/>
    <n v="6"/>
    <x v="6"/>
    <x v="17"/>
  </r>
  <r>
    <n v="1008"/>
    <s v="North Dakota"/>
    <s v="58104"/>
    <d v="2015-07-11T23:34:55"/>
    <d v="2015-07-11T19:34:56"/>
    <n v="1"/>
    <n v="4"/>
    <n v="4"/>
    <n v="2"/>
    <n v="1"/>
    <n v="6"/>
    <n v="43.2"/>
    <d v="2015-07-11T19:39:43"/>
    <n v="11"/>
    <x v="0"/>
    <x v="12"/>
  </r>
  <r>
    <n v="1009"/>
    <s v="Texas"/>
    <s v="78834"/>
    <d v="2015-06-13T22:11:37"/>
    <d v="2015-06-13T18:11:46"/>
    <n v="1"/>
    <n v="8"/>
    <n v="8"/>
    <n v="2"/>
    <n v="1"/>
    <n v="4"/>
    <n v="124.8"/>
    <d v="2015-06-13T18:11:41"/>
    <n v="13"/>
    <x v="0"/>
    <x v="6"/>
  </r>
  <r>
    <n v="1010"/>
    <s v="Pennsylvania"/>
    <s v="19146"/>
    <d v="2015-01-22T10:00:55"/>
    <d v="2015-02-04T17:39:09"/>
    <n v="2"/>
    <n v="2"/>
    <n v="6"/>
    <n v="5"/>
    <n v="2"/>
    <n v="4"/>
    <n v="9"/>
    <d v="2015-01-22T10:00:56"/>
    <n v="22"/>
    <x v="1"/>
    <x v="13"/>
  </r>
  <r>
    <n v="1011"/>
    <s v="Ohio"/>
    <s v="45230"/>
    <d v="2015-09-13T11:46:44"/>
    <d v="2015-09-13T11:46:48"/>
    <n v="1"/>
    <n v="2"/>
    <n v="2"/>
    <n v="2"/>
    <n v="1"/>
    <n v="1"/>
    <n v="56.32"/>
    <d v="2015-09-13T11:46:44"/>
    <n v="13"/>
    <x v="2"/>
    <x v="3"/>
  </r>
  <r>
    <n v="1012"/>
    <s v="Ohio"/>
    <s v="45429"/>
    <d v="2015-02-08T20:07:53"/>
    <d v="2015-02-08T20:07:58"/>
    <n v="1"/>
    <n v="0"/>
    <n v="4"/>
    <n v="1"/>
    <n v="1"/>
    <n v="2"/>
    <n v="18"/>
    <d v="2015-02-08T20:07:54"/>
    <n v="8"/>
    <x v="2"/>
    <x v="5"/>
  </r>
  <r>
    <n v="1013"/>
    <s v="Florida"/>
    <s v="34108"/>
    <d v="2015-06-26T16:54:52"/>
    <d v="2015-06-26T16:54:56"/>
    <n v="1"/>
    <n v="2"/>
    <n v="6"/>
    <n v="2"/>
    <n v="1"/>
    <n v="3"/>
    <n v="20.25"/>
    <d v="2015-06-26T16:54:53"/>
    <n v="26"/>
    <x v="4"/>
    <x v="4"/>
  </r>
  <r>
    <n v="1014"/>
    <s v="Ohio"/>
    <s v="45208"/>
    <d v="2015-01-31T20:21:25"/>
    <d v="2015-01-31T20:21:31"/>
    <n v="1"/>
    <n v="0"/>
    <n v="4"/>
    <n v="2"/>
    <n v="1"/>
    <n v="2"/>
    <n v="18"/>
    <d v="2015-01-31T20:21:26"/>
    <n v="31"/>
    <x v="0"/>
    <x v="5"/>
  </r>
  <r>
    <n v="1015"/>
    <s v="New York"/>
    <s v="10014"/>
    <d v="2015-02-25T09:34:35"/>
    <d v="2015-02-25T09:34:39"/>
    <n v="1"/>
    <n v="0"/>
    <n v="2"/>
    <n v="1"/>
    <n v="1"/>
    <n v="2"/>
    <n v="57.6"/>
    <d v="2015-02-25T09:34:36"/>
    <n v="25"/>
    <x v="6"/>
    <x v="15"/>
  </r>
  <r>
    <n v="1016"/>
    <s v="Virginia"/>
    <s v="22947"/>
    <d v="2015-05-20T10:24:04"/>
    <d v="2015-05-20T10:24:07"/>
    <n v="1"/>
    <n v="0"/>
    <n v="2"/>
    <n v="2"/>
    <n v="1"/>
    <n v="1"/>
    <n v="27"/>
    <d v="2015-05-20T10:24:05"/>
    <n v="20"/>
    <x v="6"/>
    <x v="13"/>
  </r>
  <r>
    <n v="1017"/>
    <s v="California"/>
    <s v="90404"/>
    <d v="2015-08-12T12:36:05"/>
    <d v="2015-08-12T12:36:08"/>
    <n v="1"/>
    <n v="2"/>
    <n v="6"/>
    <n v="2"/>
    <n v="1"/>
    <n v="2"/>
    <n v="16.5"/>
    <d v="2015-08-12T12:36:05"/>
    <n v="12"/>
    <x v="6"/>
    <x v="7"/>
  </r>
  <r>
    <n v="1018"/>
    <s v="California"/>
    <s v="91711"/>
    <d v="2015-09-17T17:16:43"/>
    <d v="2015-09-17T13:16:52"/>
    <n v="1"/>
    <n v="2"/>
    <n v="4"/>
    <n v="2"/>
    <n v="1"/>
    <n v="4"/>
    <n v="56.32"/>
    <d v="2015-09-17T13:16:44"/>
    <n v="17"/>
    <x v="1"/>
    <x v="17"/>
  </r>
  <r>
    <n v="1019"/>
    <s v="Oregon"/>
    <s v="97034"/>
    <d v="2015-08-02T01:47:10"/>
    <d v="2015-08-01T21:47:15"/>
    <n v="1"/>
    <n v="2"/>
    <n v="2"/>
    <n v="2"/>
    <n v="1"/>
    <n v="1"/>
    <n v="29.92"/>
    <d v="2015-08-01T21:47:11"/>
    <n v="1"/>
    <x v="0"/>
    <x v="2"/>
  </r>
  <r>
    <n v="1020"/>
    <m/>
    <m/>
    <d v="2015-08-24T23:43:34"/>
    <d v="2015-08-24T19:43:37"/>
    <n v="1"/>
    <n v="20"/>
    <n v="13"/>
    <n v="5"/>
    <n v="1"/>
    <n v="3"/>
    <n v="133.65"/>
    <d v="2015-08-24T20:02:17"/>
    <n v="24"/>
    <x v="3"/>
    <x v="5"/>
  </r>
  <r>
    <n v="1021"/>
    <s v="Minnesota"/>
    <s v="55904"/>
    <d v="2015-01-02T19:17:17"/>
    <d v="2015-01-22T23:57:10"/>
    <n v="8"/>
    <n v="2"/>
    <n v="10"/>
    <n v="6"/>
    <n v="1"/>
    <n v="4"/>
    <n v="28.8"/>
    <d v="2015-01-02T19:22:59"/>
    <n v="2"/>
    <x v="4"/>
    <x v="12"/>
  </r>
  <r>
    <n v="1022"/>
    <s v="New York"/>
    <s v="12203"/>
    <d v="2015-01-18T11:12:33"/>
    <d v="2015-01-18T11:12:37"/>
    <n v="1"/>
    <n v="0"/>
    <n v="10"/>
    <n v="4"/>
    <n v="1"/>
    <n v="4"/>
    <n v="28.8"/>
    <d v="2015-01-18T11:12:34"/>
    <n v="18"/>
    <x v="2"/>
    <x v="3"/>
  </r>
  <r>
    <n v="1023"/>
    <s v="Minnesota"/>
    <s v="55318"/>
    <d v="2015-01-30T15:02:49"/>
    <d v="2015-02-03T23:54:37"/>
    <n v="6"/>
    <n v="2"/>
    <n v="12"/>
    <n v="7"/>
    <n v="1"/>
    <n v="5"/>
    <n v="57.6"/>
    <d v="2015-01-30T15:02:50"/>
    <n v="30"/>
    <x v="4"/>
    <x v="10"/>
  </r>
  <r>
    <n v="1024"/>
    <s v="California"/>
    <s v="94941"/>
    <d v="2015-06-04T15:41:27"/>
    <d v="2015-06-04T11:41:33"/>
    <n v="1"/>
    <n v="0"/>
    <n v="2"/>
    <n v="2"/>
    <n v="1"/>
    <n v="1"/>
    <n v="27"/>
    <d v="2015-06-04T11:41:28"/>
    <n v="4"/>
    <x v="1"/>
    <x v="3"/>
  </r>
  <r>
    <n v="1025"/>
    <s v="California"/>
    <s v="94401"/>
    <d v="2015-08-02T19:22:48"/>
    <d v="2015-08-02T19:22:53"/>
    <n v="1"/>
    <n v="2"/>
    <n v="8"/>
    <n v="2"/>
    <n v="1"/>
    <n v="4"/>
    <n v="35.200000000000003"/>
    <d v="2015-08-02T19:22:49"/>
    <n v="2"/>
    <x v="2"/>
    <x v="12"/>
  </r>
  <r>
    <n v="1026"/>
    <s v="Nevada"/>
    <s v="89149"/>
    <d v="2015-06-29T19:34:06"/>
    <d v="2015-06-29T15:34:11"/>
    <n v="1"/>
    <n v="6"/>
    <n v="12"/>
    <n v="4"/>
    <n v="1"/>
    <n v="4"/>
    <n v="28.8"/>
    <d v="2015-06-29T15:34:07"/>
    <n v="29"/>
    <x v="3"/>
    <x v="10"/>
  </r>
  <r>
    <n v="1027"/>
    <s v="New York"/>
    <s v="12944"/>
    <d v="2015-06-27T12:07:04"/>
    <d v="2015-06-27T12:07:08"/>
    <n v="1"/>
    <n v="10"/>
    <n v="8"/>
    <n v="4"/>
    <n v="1"/>
    <n v="2"/>
    <n v="57.6"/>
    <d v="2015-06-27T12:07:04"/>
    <n v="27"/>
    <x v="0"/>
    <x v="7"/>
  </r>
  <r>
    <n v="1028"/>
    <m/>
    <m/>
    <d v="2015-03-14T19:54:25"/>
    <d v="2015-03-14T19:54:30"/>
    <n v="1"/>
    <n v="4"/>
    <n v="6"/>
    <n v="6"/>
    <n v="1"/>
    <n v="2"/>
    <n v="18"/>
    <d v="2015-03-14T20:37:32"/>
    <n v="14"/>
    <x v="0"/>
    <x v="5"/>
  </r>
  <r>
    <n v="1029"/>
    <s v="Florida"/>
    <s v="33510"/>
    <d v="2015-09-03T15:21:54"/>
    <d v="2015-09-03T11:21:58"/>
    <n v="1"/>
    <n v="16"/>
    <n v="6"/>
    <n v="2"/>
    <n v="1"/>
    <n v="1"/>
    <n v="27.2"/>
    <d v="2015-09-03T11:21:54"/>
    <n v="3"/>
    <x v="1"/>
    <x v="3"/>
  </r>
  <r>
    <n v="1030"/>
    <s v="Texas"/>
    <s v="75248"/>
    <d v="2015-01-20T21:35:25"/>
    <d v="2015-01-20T21:35:28"/>
    <n v="1"/>
    <n v="0"/>
    <n v="8"/>
    <n v="2"/>
    <n v="1"/>
    <n v="4"/>
    <n v="28.8"/>
    <d v="2015-01-20T21:35:26"/>
    <n v="20"/>
    <x v="5"/>
    <x v="2"/>
  </r>
  <r>
    <n v="1031"/>
    <s v="Virginia"/>
    <s v="23322"/>
    <d v="2015-06-23T08:56:31"/>
    <d v="2015-06-23T08:56:34"/>
    <n v="1"/>
    <n v="4"/>
    <n v="2"/>
    <n v="2"/>
    <n v="1"/>
    <n v="1"/>
    <n v="28.8"/>
    <d v="2015-06-23T08:56:31"/>
    <n v="23"/>
    <x v="5"/>
    <x v="18"/>
  </r>
  <r>
    <n v="1032"/>
    <s v="North Carolina"/>
    <s v="27713"/>
    <d v="2015-06-06T13:29:08"/>
    <d v="2015-06-06T09:29:14"/>
    <n v="1"/>
    <n v="0"/>
    <n v="2"/>
    <n v="2"/>
    <n v="1"/>
    <n v="1"/>
    <n v="28.8"/>
    <d v="2015-06-06T09:29:09"/>
    <n v="6"/>
    <x v="0"/>
    <x v="15"/>
  </r>
  <r>
    <n v="1033"/>
    <s v="Michigan"/>
    <s v="49417"/>
    <d v="2015-08-26T13:22:20"/>
    <d v="2015-08-26T13:22:23"/>
    <n v="1"/>
    <n v="2"/>
    <n v="2"/>
    <n v="4"/>
    <n v="1"/>
    <n v="1"/>
    <n v="29.92"/>
    <d v="2015-08-26T13:22:20"/>
    <n v="26"/>
    <x v="6"/>
    <x v="17"/>
  </r>
  <r>
    <n v="1035"/>
    <s v="California"/>
    <s v="92625"/>
    <d v="2015-05-23T19:31:48"/>
    <d v="2015-05-23T19:31:51"/>
    <n v="1"/>
    <n v="2"/>
    <n v="2"/>
    <n v="2"/>
    <n v="1"/>
    <n v="2"/>
    <n v="18"/>
    <d v="2015-05-23T19:31:49"/>
    <n v="23"/>
    <x v="0"/>
    <x v="12"/>
  </r>
  <r>
    <n v="1036"/>
    <s v="Pennsylvania"/>
    <s v="15905"/>
    <d v="2015-02-18T11:11:45"/>
    <d v="2015-02-18T11:11:50"/>
    <n v="1"/>
    <n v="2"/>
    <n v="10"/>
    <n v="1"/>
    <n v="1"/>
    <n v="4"/>
    <n v="28.8"/>
    <d v="2015-02-18T11:11:46"/>
    <n v="18"/>
    <x v="6"/>
    <x v="3"/>
  </r>
  <r>
    <n v="1037"/>
    <s v="Washington"/>
    <s v="98802"/>
    <d v="2015-03-25T17:45:36"/>
    <d v="2015-03-25T17:45:40"/>
    <n v="1"/>
    <n v="2"/>
    <n v="20"/>
    <n v="3"/>
    <n v="1"/>
    <n v="6"/>
    <n v="43.2"/>
    <d v="2015-03-25T17:48:06"/>
    <n v="25"/>
    <x v="6"/>
    <x v="8"/>
  </r>
  <r>
    <n v="1038"/>
    <s v="Alaska"/>
    <s v="99518"/>
    <d v="2015-01-20T11:34:08"/>
    <d v="2015-01-20T11:34:14"/>
    <n v="1"/>
    <n v="2"/>
    <n v="10"/>
    <n v="2"/>
    <n v="1"/>
    <n v="5"/>
    <n v="36"/>
    <d v="2015-01-20T11:34:11"/>
    <n v="20"/>
    <x v="5"/>
    <x v="3"/>
  </r>
  <r>
    <n v="1039"/>
    <m/>
    <m/>
    <d v="2014-12-12T16:51:30"/>
    <d v="2015-06-15T09:34:13"/>
    <n v="3"/>
    <n v="1"/>
    <n v="3"/>
    <n v="3"/>
    <n v="1"/>
    <n v="2"/>
    <n v="9"/>
    <d v="2015-06-15T09:36:10"/>
    <n v="15"/>
    <x v="3"/>
    <x v="15"/>
  </r>
  <r>
    <n v="1040"/>
    <m/>
    <m/>
    <d v="2015-03-10T14:29:53"/>
    <d v="2015-03-10T14:30:11"/>
    <n v="1"/>
    <n v="0"/>
    <n v="6"/>
    <n v="1"/>
    <n v="1"/>
    <n v="3"/>
    <n v="21.6"/>
    <d v="2015-03-10T14:29:55"/>
    <n v="10"/>
    <x v="5"/>
    <x v="9"/>
  </r>
  <r>
    <n v="1041"/>
    <s v="California"/>
    <s v="92705"/>
    <d v="2015-07-27T16:43:25"/>
    <d v="2015-07-27T16:43:29"/>
    <n v="1"/>
    <n v="6"/>
    <n v="8"/>
    <n v="5"/>
    <n v="1"/>
    <n v="3"/>
    <n v="50.24"/>
    <d v="2015-07-27T16:43:25"/>
    <n v="27"/>
    <x v="3"/>
    <x v="4"/>
  </r>
  <r>
    <n v="1042"/>
    <s v="Oklahoma"/>
    <s v="73008"/>
    <d v="2015-07-13T13:06:18"/>
    <d v="2015-07-13T09:06:23"/>
    <n v="1"/>
    <n v="4"/>
    <n v="4"/>
    <n v="2"/>
    <n v="1"/>
    <n v="2"/>
    <n v="57.6"/>
    <d v="2015-07-13T09:06:19"/>
    <n v="13"/>
    <x v="3"/>
    <x v="15"/>
  </r>
  <r>
    <n v="1043"/>
    <s v="Vermont"/>
    <s v="05655"/>
    <d v="2015-04-01T14:23:29"/>
    <d v="2015-04-01T14:23:35"/>
    <n v="1"/>
    <n v="2"/>
    <n v="6"/>
    <n v="1"/>
    <n v="1"/>
    <n v="3"/>
    <n v="27"/>
    <d v="2015-04-01T14:23:30"/>
    <n v="1"/>
    <x v="6"/>
    <x v="9"/>
  </r>
  <r>
    <n v="1044"/>
    <s v="Virginia"/>
    <s v="22611"/>
    <d v="2015-03-19T20:34:18"/>
    <d v="2015-03-19T20:34:30"/>
    <n v="1"/>
    <n v="0"/>
    <n v="6"/>
    <n v="1"/>
    <n v="1"/>
    <n v="3"/>
    <n v="21.6"/>
    <d v="2015-03-19T20:34:19"/>
    <n v="19"/>
    <x v="1"/>
    <x v="5"/>
  </r>
  <r>
    <n v="1045"/>
    <s v="California"/>
    <s v="91502"/>
    <d v="2015-08-21T00:23:47"/>
    <d v="2015-08-20T20:23:51"/>
    <n v="1"/>
    <n v="2"/>
    <n v="2"/>
    <n v="2"/>
    <n v="1"/>
    <n v="1"/>
    <n v="56.32"/>
    <d v="2015-08-20T20:23:48"/>
    <n v="20"/>
    <x v="1"/>
    <x v="5"/>
  </r>
  <r>
    <n v="1047"/>
    <m/>
    <m/>
    <d v="2015-04-21T15:59:43"/>
    <d v="2015-04-22T20:32:39"/>
    <n v="2"/>
    <n v="0"/>
    <n v="10"/>
    <n v="2"/>
    <n v="1"/>
    <n v="3"/>
    <n v="43.2"/>
    <d v="2015-04-21T16:00:05"/>
    <n v="21"/>
    <x v="5"/>
    <x v="4"/>
  </r>
  <r>
    <n v="1048"/>
    <s v="Kentucky"/>
    <s v="40353"/>
    <d v="2015-03-19T15:49:57"/>
    <d v="2015-03-19T15:50:00"/>
    <n v="1"/>
    <n v="0"/>
    <n v="2"/>
    <n v="2"/>
    <n v="1"/>
    <n v="1"/>
    <n v="36"/>
    <d v="2015-03-19T15:53:02"/>
    <n v="19"/>
    <x v="1"/>
    <x v="10"/>
  </r>
  <r>
    <n v="1049"/>
    <s v="Missouri"/>
    <s v="63130"/>
    <d v="2015-04-01T09:27:06"/>
    <d v="2015-04-01T09:27:10"/>
    <n v="1"/>
    <n v="2"/>
    <n v="2"/>
    <n v="2"/>
    <n v="1"/>
    <n v="1"/>
    <n v="28.8"/>
    <d v="2015-04-01T09:27:07"/>
    <n v="1"/>
    <x v="6"/>
    <x v="15"/>
  </r>
  <r>
    <n v="1051"/>
    <m/>
    <m/>
    <d v="2015-01-11T13:49:31"/>
    <d v="2015-01-26T10:35:09"/>
    <n v="4"/>
    <n v="4"/>
    <n v="11"/>
    <n v="3"/>
    <n v="1"/>
    <n v="2"/>
    <n v="72"/>
    <d v="2015-01-26T10:39:59"/>
    <n v="26"/>
    <x v="3"/>
    <x v="13"/>
  </r>
  <r>
    <n v="1052"/>
    <s v="North Carolina"/>
    <s v="27517"/>
    <d v="2015-09-02T12:27:53"/>
    <d v="2015-09-02T12:27:57"/>
    <n v="1"/>
    <n v="2"/>
    <n v="2"/>
    <n v="4"/>
    <n v="1"/>
    <n v="1"/>
    <n v="29.92"/>
    <d v="2015-09-02T12:27:53"/>
    <n v="2"/>
    <x v="6"/>
    <x v="7"/>
  </r>
  <r>
    <n v="1053"/>
    <s v="Kansas"/>
    <s v="66604"/>
    <d v="2015-03-17T13:51:24"/>
    <d v="2015-03-17T13:51:27"/>
    <n v="1"/>
    <n v="4"/>
    <n v="2"/>
    <n v="2"/>
    <n v="1"/>
    <n v="1"/>
    <n v="36"/>
    <d v="2015-03-17T13:57:15"/>
    <n v="17"/>
    <x v="5"/>
    <x v="17"/>
  </r>
  <r>
    <n v="1054"/>
    <s v="New York"/>
    <s v="10301"/>
    <d v="2015-06-08T00:14:55"/>
    <d v="2015-06-07T20:15:00"/>
    <n v="1"/>
    <n v="0"/>
    <n v="2"/>
    <n v="2"/>
    <n v="1"/>
    <n v="1"/>
    <n v="27"/>
    <d v="2015-06-07T20:14:56"/>
    <n v="7"/>
    <x v="2"/>
    <x v="5"/>
  </r>
  <r>
    <n v="1055"/>
    <s v="Iowa"/>
    <s v="52658"/>
    <d v="2015-05-29T20:58:10"/>
    <d v="2015-05-29T20:58:13"/>
    <n v="1"/>
    <n v="0"/>
    <n v="4"/>
    <n v="2"/>
    <n v="1"/>
    <n v="2"/>
    <n v="14.4"/>
    <d v="2015-05-29T20:58:10"/>
    <n v="29"/>
    <x v="4"/>
    <x v="5"/>
  </r>
  <r>
    <n v="1056"/>
    <s v="Minnesota"/>
    <s v="55807"/>
    <d v="2015-05-04T16:22:34"/>
    <d v="2015-05-04T19:23:14"/>
    <n v="3"/>
    <n v="0"/>
    <n v="6"/>
    <n v="2"/>
    <n v="1"/>
    <n v="3"/>
    <n v="27"/>
    <d v="2015-05-04T16:22:35"/>
    <n v="4"/>
    <x v="3"/>
    <x v="4"/>
  </r>
  <r>
    <n v="1057"/>
    <s v="Maryland"/>
    <s v="21042"/>
    <d v="2015-05-21T14:00:56"/>
    <d v="2015-05-21T14:00:58"/>
    <n v="1"/>
    <n v="2"/>
    <n v="6"/>
    <n v="2"/>
    <n v="1"/>
    <n v="3"/>
    <n v="21.6"/>
    <d v="2015-05-21T14:00:56"/>
    <n v="21"/>
    <x v="1"/>
    <x v="9"/>
  </r>
  <r>
    <n v="1058"/>
    <s v="Virginia"/>
    <s v="24018"/>
    <d v="2015-02-16T18:23:39"/>
    <d v="2015-02-16T18:23:47"/>
    <n v="1"/>
    <n v="0"/>
    <n v="16"/>
    <n v="1"/>
    <n v="1"/>
    <n v="7"/>
    <n v="49.99"/>
    <d v="2015-02-16T18:23:42"/>
    <n v="16"/>
    <x v="3"/>
    <x v="6"/>
  </r>
  <r>
    <n v="1059"/>
    <m/>
    <m/>
    <d v="2015-01-29T11:10:47"/>
    <d v="2015-01-29T11:14:37"/>
    <n v="2"/>
    <n v="2"/>
    <n v="2"/>
    <n v="2"/>
    <n v="1"/>
    <n v="2"/>
    <n v="9"/>
    <d v="2015-01-29T12:14:25"/>
    <n v="29"/>
    <x v="1"/>
    <x v="7"/>
  </r>
  <r>
    <n v="1060"/>
    <s v="Nebraska"/>
    <s v="68022"/>
    <d v="2015-08-27T08:19:09"/>
    <d v="2015-08-27T08:19:13"/>
    <n v="1"/>
    <n v="2"/>
    <n v="8"/>
    <n v="2"/>
    <n v="1"/>
    <n v="4"/>
    <n v="44"/>
    <d v="2015-08-27T08:19:10"/>
    <n v="27"/>
    <x v="1"/>
    <x v="18"/>
  </r>
  <r>
    <n v="1061"/>
    <s v="Wisconsin"/>
    <s v="53042"/>
    <d v="2015-08-11T15:35:37"/>
    <d v="2015-08-11T11:35:38"/>
    <n v="1"/>
    <n v="6"/>
    <n v="18"/>
    <n v="7"/>
    <n v="2"/>
    <n v="6"/>
    <n v="33"/>
    <d v="2015-08-11T11:48:10"/>
    <n v="11"/>
    <x v="5"/>
    <x v="3"/>
  </r>
  <r>
    <n v="1062"/>
    <s v="Maryland"/>
    <s v="20817"/>
    <d v="2015-02-04T18:24:48"/>
    <d v="2015-02-05T22:49:00"/>
    <n v="3"/>
    <n v="8"/>
    <n v="12"/>
    <n v="2"/>
    <n v="1"/>
    <n v="4"/>
    <n v="30.6"/>
    <d v="2015-02-04T18:24:49"/>
    <n v="4"/>
    <x v="6"/>
    <x v="6"/>
  </r>
  <r>
    <n v="1063"/>
    <s v="Florida"/>
    <s v="34711"/>
    <d v="2015-03-20T20:43:34"/>
    <d v="2015-03-20T20:43:41"/>
    <n v="1"/>
    <n v="0"/>
    <n v="22"/>
    <n v="1"/>
    <n v="1"/>
    <n v="6"/>
    <n v="43.2"/>
    <d v="2015-03-20T20:43:35"/>
    <n v="20"/>
    <x v="4"/>
    <x v="5"/>
  </r>
  <r>
    <n v="1064"/>
    <s v="Pennsylvania"/>
    <s v="17777"/>
    <d v="2015-06-11T07:56:27"/>
    <d v="2015-06-11T07:56:30"/>
    <n v="1"/>
    <n v="2"/>
    <n v="4"/>
    <n v="2"/>
    <n v="1"/>
    <n v="4"/>
    <n v="28.8"/>
    <d v="2015-06-11T07:56:27"/>
    <n v="11"/>
    <x v="1"/>
    <x v="16"/>
  </r>
  <r>
    <n v="1066"/>
    <s v="Oregon"/>
    <s v="97305"/>
    <d v="2015-03-22T23:02:41"/>
    <d v="2015-03-22T23:02:47"/>
    <n v="1"/>
    <n v="0"/>
    <n v="6"/>
    <n v="1"/>
    <n v="1"/>
    <n v="3"/>
    <n v="27"/>
    <d v="2015-03-22T23:02:42"/>
    <n v="22"/>
    <x v="2"/>
    <x v="0"/>
  </r>
  <r>
    <n v="1067"/>
    <s v="Florida"/>
    <s v="32439"/>
    <d v="2015-01-12T07:49:36"/>
    <d v="2015-01-12T07:49:41"/>
    <n v="1"/>
    <n v="6"/>
    <n v="2"/>
    <n v="2"/>
    <n v="1"/>
    <n v="1"/>
    <n v="57.6"/>
    <d v="2015-01-12T07:49:38"/>
    <n v="12"/>
    <x v="3"/>
    <x v="16"/>
  </r>
  <r>
    <n v="1068"/>
    <s v="New Jersey"/>
    <s v="07853"/>
    <d v="2015-02-08T10:51:23"/>
    <d v="2015-02-08T10:51:28"/>
    <n v="1"/>
    <n v="0"/>
    <n v="2"/>
    <n v="1"/>
    <n v="1"/>
    <n v="4"/>
    <n v="30.6"/>
    <d v="2015-02-08T10:51:24"/>
    <n v="8"/>
    <x v="2"/>
    <x v="13"/>
  </r>
  <r>
    <n v="1069"/>
    <s v="New York"/>
    <s v="10018"/>
    <d v="2015-05-22T16:52:52"/>
    <d v="2015-05-22T16:52:56"/>
    <n v="1"/>
    <n v="2"/>
    <n v="4"/>
    <n v="4"/>
    <n v="1"/>
    <n v="2"/>
    <n v="57.6"/>
    <d v="2015-05-22T16:52:53"/>
    <n v="22"/>
    <x v="4"/>
    <x v="4"/>
  </r>
  <r>
    <n v="1070"/>
    <s v="Tennessee"/>
    <s v="37716"/>
    <d v="2015-07-24T18:29:37"/>
    <d v="2015-07-24T14:29:41"/>
    <n v="1"/>
    <n v="2"/>
    <n v="2"/>
    <n v="2"/>
    <n v="1"/>
    <n v="1"/>
    <n v="32.64"/>
    <d v="2015-07-24T14:29:37"/>
    <n v="24"/>
    <x v="4"/>
    <x v="9"/>
  </r>
  <r>
    <n v="1071"/>
    <m/>
    <m/>
    <d v="2015-06-08T14:56:46"/>
    <d v="2015-06-08T10:56:48"/>
    <n v="1"/>
    <n v="2"/>
    <n v="2"/>
    <n v="2"/>
    <n v="1"/>
    <n v="2"/>
    <n v="18"/>
    <d v="2015-06-08T11:00:44"/>
    <n v="8"/>
    <x v="3"/>
    <x v="3"/>
  </r>
  <r>
    <n v="1072"/>
    <s v="California"/>
    <s v="94568"/>
    <d v="2015-04-07T17:22:58"/>
    <d v="2015-04-07T17:23:03"/>
    <n v="1"/>
    <n v="0"/>
    <n v="2"/>
    <n v="1"/>
    <n v="1"/>
    <n v="2"/>
    <n v="9"/>
    <d v="2015-04-07T17:22:59"/>
    <n v="7"/>
    <x v="5"/>
    <x v="8"/>
  </r>
  <r>
    <n v="1073"/>
    <m/>
    <m/>
    <d v="2014-12-15T23:51:36"/>
    <d v="2015-04-07T16:30:14"/>
    <n v="3"/>
    <n v="2"/>
    <n v="11"/>
    <n v="13"/>
    <n v="1"/>
    <n v="6"/>
    <n v="43.2"/>
    <d v="2015-04-07T16:33:26"/>
    <n v="7"/>
    <x v="5"/>
    <x v="4"/>
  </r>
  <r>
    <n v="1074"/>
    <s v="District of Columbia"/>
    <s v="20016"/>
    <d v="2015-01-03T07:46:27"/>
    <d v="2015-01-03T07:46:32"/>
    <n v="1"/>
    <n v="0"/>
    <n v="4"/>
    <n v="2"/>
    <n v="1"/>
    <n v="2"/>
    <n v="8"/>
    <d v="2015-01-03T07:46:28"/>
    <n v="3"/>
    <x v="0"/>
    <x v="16"/>
  </r>
  <r>
    <n v="1075"/>
    <m/>
    <m/>
    <d v="2015-01-12T15:27:01"/>
    <d v="2015-01-12T17:27:12"/>
    <n v="2"/>
    <n v="0"/>
    <n v="15"/>
    <n v="8"/>
    <n v="1"/>
    <n v="5"/>
    <n v="36"/>
    <d v="2015-01-12T17:39:18"/>
    <n v="12"/>
    <x v="3"/>
    <x v="8"/>
  </r>
  <r>
    <n v="1076"/>
    <s v="Minnesota"/>
    <s v="55317"/>
    <d v="2015-06-26T16:16:53"/>
    <d v="2015-06-26T16:16:58"/>
    <n v="1"/>
    <n v="14"/>
    <n v="12"/>
    <n v="2"/>
    <n v="1"/>
    <n v="10"/>
    <n v="76.8"/>
    <d v="2015-06-26T16:16:54"/>
    <n v="26"/>
    <x v="4"/>
    <x v="4"/>
  </r>
  <r>
    <n v="1077"/>
    <s v="Washington"/>
    <s v="98837"/>
    <d v="2015-02-09T20:19:40"/>
    <d v="2015-02-09T20:19:46"/>
    <n v="1"/>
    <n v="4"/>
    <n v="10"/>
    <n v="1"/>
    <n v="1"/>
    <n v="4"/>
    <n v="30.6"/>
    <d v="2015-02-09T20:19:41"/>
    <n v="9"/>
    <x v="3"/>
    <x v="5"/>
  </r>
  <r>
    <n v="1078"/>
    <s v="Maine"/>
    <s v="04011"/>
    <d v="2015-07-22T07:54:30"/>
    <d v="2015-07-22T07:54:39"/>
    <n v="1"/>
    <n v="4"/>
    <n v="2"/>
    <n v="2"/>
    <n v="1"/>
    <n v="1"/>
    <n v="28.05"/>
    <d v="2015-07-22T07:54:31"/>
    <n v="22"/>
    <x v="6"/>
    <x v="16"/>
  </r>
  <r>
    <n v="1079"/>
    <m/>
    <m/>
    <d v="2015-06-10T15:22:38"/>
    <d v="2015-06-10T11:22:40"/>
    <n v="1"/>
    <n v="0"/>
    <n v="2"/>
    <n v="1"/>
    <n v="1"/>
    <n v="2"/>
    <n v="18"/>
    <d v="2015-06-10T11:28:01"/>
    <n v="10"/>
    <x v="6"/>
    <x v="3"/>
  </r>
  <r>
    <n v="1080"/>
    <s v="Minnesota"/>
    <s v="56554"/>
    <d v="2015-07-14T21:25:38"/>
    <d v="2015-07-15T12:00:47"/>
    <n v="3"/>
    <n v="4"/>
    <n v="4"/>
    <n v="7"/>
    <n v="1"/>
    <n v="1"/>
    <n v="56.32"/>
    <d v="2015-07-14T17:28:13"/>
    <n v="14"/>
    <x v="5"/>
    <x v="8"/>
  </r>
  <r>
    <n v="1081"/>
    <s v="Washington"/>
    <s v="98321"/>
    <d v="2015-06-08T14:00:20"/>
    <d v="2015-06-08T14:00:50"/>
    <n v="1"/>
    <n v="0"/>
    <n v="2"/>
    <n v="2"/>
    <n v="1"/>
    <n v="1"/>
    <n v="9"/>
    <d v="2015-06-08T14:00:44"/>
    <n v="8"/>
    <x v="3"/>
    <x v="9"/>
  </r>
  <r>
    <n v="1082"/>
    <s v="New York"/>
    <s v="14845"/>
    <d v="2015-05-21T10:16:59"/>
    <d v="2015-05-21T10:17:02"/>
    <n v="1"/>
    <n v="2"/>
    <n v="8"/>
    <n v="3"/>
    <n v="1"/>
    <n v="4"/>
    <n v="28.8"/>
    <d v="2015-05-21T10:17:00"/>
    <n v="21"/>
    <x v="1"/>
    <x v="13"/>
  </r>
  <r>
    <n v="1083"/>
    <s v="Michigan"/>
    <s v="48867"/>
    <d v="2015-07-28T15:12:13"/>
    <d v="2015-07-28T15:12:16"/>
    <n v="1"/>
    <n v="8"/>
    <n v="4"/>
    <n v="2"/>
    <n v="1"/>
    <n v="2"/>
    <n v="16"/>
    <d v="2015-07-28T15:12:13"/>
    <n v="28"/>
    <x v="5"/>
    <x v="10"/>
  </r>
  <r>
    <n v="1084"/>
    <s v="New York"/>
    <s v="14216"/>
    <d v="2015-03-16T09:04:32"/>
    <d v="2015-03-16T09:04:36"/>
    <n v="1"/>
    <n v="4"/>
    <n v="2"/>
    <n v="1"/>
    <n v="1"/>
    <n v="2"/>
    <n v="18"/>
    <d v="2015-03-16T09:04:33"/>
    <n v="16"/>
    <x v="3"/>
    <x v="15"/>
  </r>
  <r>
    <n v="1085"/>
    <s v="Maryland"/>
    <s v="21773"/>
    <d v="2015-01-10T17:27:04"/>
    <d v="2015-01-10T17:27:07"/>
    <n v="1"/>
    <n v="2"/>
    <n v="8"/>
    <n v="2"/>
    <n v="1"/>
    <n v="4"/>
    <n v="36"/>
    <d v="2015-01-10T17:31:31"/>
    <n v="10"/>
    <x v="0"/>
    <x v="8"/>
  </r>
  <r>
    <n v="1086"/>
    <s v="Texas"/>
    <s v="77578"/>
    <d v="2015-07-16T21:33:35"/>
    <d v="2015-07-16T17:33:41"/>
    <n v="1"/>
    <n v="10"/>
    <n v="10"/>
    <n v="2"/>
    <n v="1"/>
    <n v="5"/>
    <n v="186.88"/>
    <d v="2015-07-16T17:33:37"/>
    <n v="16"/>
    <x v="1"/>
    <x v="8"/>
  </r>
  <r>
    <n v="1087"/>
    <s v="Kentucky"/>
    <s v="40057"/>
    <d v="2015-09-02T11:36:31"/>
    <d v="2015-09-02T07:36:37"/>
    <n v="1"/>
    <n v="2"/>
    <n v="2"/>
    <n v="2"/>
    <n v="1"/>
    <n v="1"/>
    <n v="29.92"/>
    <d v="2015-09-02T07:36:32"/>
    <n v="2"/>
    <x v="6"/>
    <x v="16"/>
  </r>
  <r>
    <n v="1088"/>
    <s v="Iowa"/>
    <s v="51334"/>
    <d v="2015-07-13T21:54:03"/>
    <d v="2015-07-13T21:54:07"/>
    <n v="1"/>
    <n v="2"/>
    <n v="8"/>
    <n v="4"/>
    <n v="1"/>
    <n v="4"/>
    <n v="36"/>
    <d v="2015-07-13T21:54:03"/>
    <n v="13"/>
    <x v="3"/>
    <x v="2"/>
  </r>
  <r>
    <n v="1089"/>
    <s v="Massachusetts"/>
    <s v="02190"/>
    <d v="2015-09-01T20:40:03"/>
    <d v="2015-09-01T20:40:06"/>
    <n v="1"/>
    <n v="2"/>
    <n v="4"/>
    <n v="2"/>
    <n v="1"/>
    <n v="2"/>
    <n v="59.84"/>
    <d v="2015-09-01T20:40:03"/>
    <n v="1"/>
    <x v="5"/>
    <x v="5"/>
  </r>
  <r>
    <n v="1090"/>
    <s v="Alabama"/>
    <s v="35756"/>
    <d v="2015-06-08T13:11:34"/>
    <d v="2015-06-08T13:11:38"/>
    <n v="1"/>
    <n v="0"/>
    <n v="2"/>
    <n v="2"/>
    <n v="1"/>
    <n v="1"/>
    <n v="36"/>
    <d v="2015-06-08T13:11:35"/>
    <n v="8"/>
    <x v="3"/>
    <x v="17"/>
  </r>
  <r>
    <n v="1091"/>
    <s v="New Jersey"/>
    <s v="07481"/>
    <d v="2015-03-14T08:50:56"/>
    <d v="2015-03-14T08:51:00"/>
    <n v="1"/>
    <n v="0"/>
    <n v="2"/>
    <n v="1"/>
    <n v="1"/>
    <n v="4"/>
    <n v="28.8"/>
    <d v="2015-03-14T08:50:57"/>
    <n v="14"/>
    <x v="0"/>
    <x v="18"/>
  </r>
  <r>
    <n v="1092"/>
    <s v="New York"/>
    <s v="10511"/>
    <d v="2015-03-21T16:15:31"/>
    <d v="2015-03-21T16:15:36"/>
    <n v="1"/>
    <n v="4"/>
    <n v="2"/>
    <n v="1"/>
    <n v="1"/>
    <n v="1"/>
    <n v="57.6"/>
    <d v="2015-03-21T16:15:32"/>
    <n v="21"/>
    <x v="0"/>
    <x v="4"/>
  </r>
  <r>
    <n v="1093"/>
    <s v="Minnesota"/>
    <s v="55369"/>
    <d v="2015-08-15T18:07:20"/>
    <d v="2015-08-18T12:21:39"/>
    <n v="3"/>
    <n v="2"/>
    <n v="3"/>
    <n v="8"/>
    <n v="1"/>
    <n v="1"/>
    <n v="37.4"/>
    <d v="2015-08-18T12:26:33"/>
    <n v="18"/>
    <x v="5"/>
    <x v="7"/>
  </r>
  <r>
    <n v="1094"/>
    <s v="Massachusetts"/>
    <s v="02081"/>
    <d v="2015-06-10T13:58:42"/>
    <d v="2015-06-10T13:58:48"/>
    <n v="1"/>
    <n v="12"/>
    <n v="20"/>
    <n v="7"/>
    <n v="1"/>
    <n v="4"/>
    <n v="28.8"/>
    <d v="2015-06-10T13:58:44"/>
    <n v="10"/>
    <x v="6"/>
    <x v="17"/>
  </r>
  <r>
    <n v="1095"/>
    <s v="Virginia"/>
    <s v="24018"/>
    <d v="2015-03-15T17:55:15"/>
    <d v="2015-03-15T17:55:20"/>
    <n v="1"/>
    <n v="2"/>
    <n v="6"/>
    <n v="1"/>
    <n v="1"/>
    <n v="2"/>
    <n v="14.4"/>
    <d v="2015-03-15T17:55:16"/>
    <n v="15"/>
    <x v="2"/>
    <x v="8"/>
  </r>
  <r>
    <n v="1096"/>
    <s v="California"/>
    <s v="90046"/>
    <d v="2015-01-14T17:59:42"/>
    <d v="2015-01-14T17:59:46"/>
    <n v="1"/>
    <n v="0"/>
    <n v="4"/>
    <n v="3"/>
    <n v="1"/>
    <n v="1"/>
    <n v="63"/>
    <d v="2015-01-14T17:59:44"/>
    <n v="14"/>
    <x v="6"/>
    <x v="8"/>
  </r>
  <r>
    <n v="1097"/>
    <s v="Alabama"/>
    <s v="35126"/>
    <d v="2015-09-05T04:35:33"/>
    <d v="2015-09-05T00:35:38"/>
    <n v="1"/>
    <n v="2"/>
    <n v="4"/>
    <n v="5"/>
    <n v="1"/>
    <n v="2"/>
    <n v="59.84"/>
    <d v="2015-09-05T00:35:34"/>
    <n v="5"/>
    <x v="0"/>
    <x v="14"/>
  </r>
  <r>
    <n v="1098"/>
    <s v="California"/>
    <s v="93555"/>
    <d v="2015-08-15T20:44:04"/>
    <d v="2015-08-15T20:44:07"/>
    <n v="1"/>
    <n v="2"/>
    <n v="2"/>
    <n v="2"/>
    <n v="1"/>
    <n v="1"/>
    <n v="28.05"/>
    <d v="2015-08-15T20:44:04"/>
    <n v="15"/>
    <x v="0"/>
    <x v="5"/>
  </r>
  <r>
    <n v="1099"/>
    <m/>
    <m/>
    <d v="2015-07-20T23:10:10"/>
    <d v="2015-07-20T19:10:12"/>
    <n v="1"/>
    <n v="0"/>
    <n v="2"/>
    <n v="2"/>
    <n v="1"/>
    <n v="1"/>
    <n v="29.92"/>
    <d v="2015-07-20T19:13:28"/>
    <n v="20"/>
    <x v="3"/>
    <x v="12"/>
  </r>
  <r>
    <n v="1100"/>
    <s v="New York"/>
    <s v="14617"/>
    <d v="2015-05-29T05:02:58"/>
    <d v="2015-05-29T05:03:02"/>
    <n v="1"/>
    <n v="2"/>
    <n v="2"/>
    <n v="3"/>
    <n v="1"/>
    <n v="1"/>
    <n v="28.8"/>
    <d v="2015-05-29T05:02:59"/>
    <n v="29"/>
    <x v="4"/>
    <x v="2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9">
  <r>
    <n v="1"/>
    <m/>
    <m/>
    <d v="2015-08-16T03:05:28"/>
    <d v="2015-08-15T23:05:30"/>
    <n v="1"/>
    <n v="2"/>
    <n v="4"/>
    <n v="6"/>
    <n v="1"/>
    <n v="1"/>
    <n v="56.32"/>
    <x v="0"/>
    <x v="0"/>
    <n v="15"/>
    <x v="0"/>
    <x v="0"/>
  </r>
  <r>
    <n v="2"/>
    <s v="Georgia"/>
    <s v="30345"/>
    <d v="2015-01-22T22:28:27"/>
    <d v="2015-01-22T22:28:32"/>
    <n v="1"/>
    <n v="0"/>
    <n v="6"/>
    <n v="2"/>
    <n v="1"/>
    <n v="3"/>
    <n v="27"/>
    <x v="1"/>
    <x v="1"/>
    <n v="22"/>
    <x v="1"/>
    <x v="1"/>
  </r>
  <r>
    <n v="3"/>
    <s v="Arkansas"/>
    <s v="72401"/>
    <d v="2015-07-06T01:39:49"/>
    <d v="2015-07-05T21:39:56"/>
    <n v="2"/>
    <n v="1"/>
    <n v="8"/>
    <n v="2"/>
    <n v="1"/>
    <n v="4"/>
    <n v="28.8"/>
    <x v="2"/>
    <x v="2"/>
    <n v="5"/>
    <x v="2"/>
    <x v="2"/>
  </r>
  <r>
    <n v="4"/>
    <s v="Iowa"/>
    <s v="52172"/>
    <d v="2015-07-25T11:12:07"/>
    <d v="2015-07-25T11:12:10"/>
    <n v="1"/>
    <n v="4"/>
    <n v="6"/>
    <n v="15"/>
    <n v="1"/>
    <n v="1"/>
    <n v="28.05"/>
    <x v="2"/>
    <x v="3"/>
    <n v="25"/>
    <x v="0"/>
    <x v="3"/>
  </r>
  <r>
    <n v="5"/>
    <s v="Iowa"/>
    <s v="50025"/>
    <d v="2015-02-28T16:58:43"/>
    <d v="2015-02-28T16:58:49"/>
    <n v="1"/>
    <n v="0"/>
    <n v="4"/>
    <n v="1"/>
    <n v="1"/>
    <n v="2"/>
    <n v="9"/>
    <x v="3"/>
    <x v="4"/>
    <n v="28"/>
    <x v="0"/>
    <x v="4"/>
  </r>
  <r>
    <n v="6"/>
    <m/>
    <m/>
    <d v="2015-01-12T20:38:22"/>
    <d v="2015-01-12T20:38:27"/>
    <n v="1"/>
    <n v="0"/>
    <n v="4"/>
    <n v="3"/>
    <n v="1"/>
    <n v="2"/>
    <n v="9"/>
    <x v="1"/>
    <x v="5"/>
    <n v="12"/>
    <x v="3"/>
    <x v="5"/>
  </r>
  <r>
    <n v="7"/>
    <s v="Virginia"/>
    <s v="24445"/>
    <d v="2015-05-01T21:52:09"/>
    <d v="2015-05-01T21:52:14"/>
    <n v="1"/>
    <n v="0"/>
    <n v="4"/>
    <n v="1"/>
    <n v="1"/>
    <n v="2"/>
    <n v="18"/>
    <x v="4"/>
    <x v="6"/>
    <n v="1"/>
    <x v="4"/>
    <x v="2"/>
  </r>
  <r>
    <n v="8"/>
    <s v="Florida"/>
    <s v="33472"/>
    <d v="2015-09-01T18:10:32"/>
    <d v="2015-09-01T18:10:36"/>
    <n v="1"/>
    <n v="0"/>
    <n v="2"/>
    <n v="2"/>
    <n v="1"/>
    <n v="1"/>
    <n v="29.92"/>
    <x v="5"/>
    <x v="7"/>
    <n v="1"/>
    <x v="5"/>
    <x v="6"/>
  </r>
  <r>
    <n v="9"/>
    <s v="District of Columbia"/>
    <s v="20009"/>
    <d v="2015-06-11T02:23:21"/>
    <d v="2015-06-10T22:23:27"/>
    <n v="1"/>
    <n v="2"/>
    <n v="14"/>
    <n v="2"/>
    <n v="1"/>
    <n v="7"/>
    <n v="51.75"/>
    <x v="6"/>
    <x v="8"/>
    <n v="10"/>
    <x v="6"/>
    <x v="1"/>
  </r>
  <r>
    <n v="10"/>
    <s v="Michigan"/>
    <s v="48301"/>
    <d v="2015-06-17T12:50:10"/>
    <d v="2015-06-17T15:13:58"/>
    <n v="2"/>
    <n v="2"/>
    <n v="2"/>
    <n v="3"/>
    <n v="1"/>
    <n v="1"/>
    <n v="28.8"/>
    <x v="6"/>
    <x v="9"/>
    <n v="17"/>
    <x v="6"/>
    <x v="7"/>
  </r>
  <r>
    <n v="11"/>
    <s v="Massachusetts"/>
    <s v="02476"/>
    <d v="2015-04-18T11:17:58"/>
    <d v="2015-04-18T11:18:21"/>
    <n v="1"/>
    <n v="2"/>
    <n v="8"/>
    <n v="3"/>
    <n v="1"/>
    <n v="3"/>
    <n v="21.6"/>
    <x v="7"/>
    <x v="10"/>
    <n v="18"/>
    <x v="0"/>
    <x v="3"/>
  </r>
  <r>
    <n v="12"/>
    <s v="Georgia"/>
    <s v="30329"/>
    <d v="2015-06-23T21:10:53"/>
    <d v="2015-06-23T17:10:58"/>
    <n v="1"/>
    <n v="4"/>
    <n v="4"/>
    <n v="2"/>
    <n v="1"/>
    <n v="4"/>
    <n v="27"/>
    <x v="6"/>
    <x v="11"/>
    <n v="23"/>
    <x v="5"/>
    <x v="8"/>
  </r>
  <r>
    <n v="13"/>
    <s v="Minnesota"/>
    <s v="55431"/>
    <d v="2015-03-24T16:28:12"/>
    <d v="2015-03-24T16:28:18"/>
    <n v="1"/>
    <n v="2"/>
    <n v="2"/>
    <n v="2"/>
    <n v="1"/>
    <n v="1"/>
    <n v="64.8"/>
    <x v="8"/>
    <x v="12"/>
    <n v="24"/>
    <x v="5"/>
    <x v="4"/>
  </r>
  <r>
    <n v="15"/>
    <s v="New York"/>
    <s v="10007"/>
    <d v="2015-05-11T18:39:47"/>
    <d v="2015-05-12T13:13:45"/>
    <n v="5"/>
    <n v="4"/>
    <n v="6"/>
    <n v="2"/>
    <n v="1"/>
    <n v="3"/>
    <n v="27"/>
    <x v="4"/>
    <x v="13"/>
    <n v="11"/>
    <x v="3"/>
    <x v="6"/>
  </r>
  <r>
    <n v="16"/>
    <s v="Nebraska"/>
    <s v="68128"/>
    <d v="2015-03-15T14:49:39"/>
    <d v="2015-03-15T14:49:44"/>
    <n v="1"/>
    <n v="1"/>
    <n v="8"/>
    <n v="1"/>
    <n v="1"/>
    <n v="6"/>
    <n v="43.2"/>
    <x v="8"/>
    <x v="14"/>
    <n v="15"/>
    <x v="2"/>
    <x v="9"/>
  </r>
  <r>
    <n v="17"/>
    <s v="California"/>
    <s v="93460"/>
    <d v="2015-07-16T01:10:06"/>
    <d v="2015-07-15T21:10:14"/>
    <n v="1"/>
    <n v="2"/>
    <n v="8"/>
    <n v="2"/>
    <n v="1"/>
    <n v="3"/>
    <n v="81.599999999999994"/>
    <x v="2"/>
    <x v="15"/>
    <n v="15"/>
    <x v="6"/>
    <x v="2"/>
  </r>
  <r>
    <n v="18"/>
    <s v="California"/>
    <s v="94061"/>
    <d v="2015-06-30T15:28:02"/>
    <d v="2015-06-30T15:28:05"/>
    <n v="1"/>
    <n v="0"/>
    <n v="2"/>
    <n v="2"/>
    <n v="1"/>
    <n v="1"/>
    <n v="28.8"/>
    <x v="6"/>
    <x v="16"/>
    <n v="30"/>
    <x v="5"/>
    <x v="10"/>
  </r>
  <r>
    <n v="19"/>
    <s v="Pennsylvania"/>
    <s v="17821"/>
    <d v="2015-05-10T06:42:19"/>
    <d v="2015-05-10T06:42:22"/>
    <n v="1"/>
    <n v="2"/>
    <n v="2"/>
    <n v="2"/>
    <n v="1"/>
    <n v="1"/>
    <n v="28.8"/>
    <x v="4"/>
    <x v="17"/>
    <n v="10"/>
    <x v="2"/>
    <x v="11"/>
  </r>
  <r>
    <n v="20"/>
    <s v="Pennsylvania"/>
    <s v="16033"/>
    <d v="2015-07-31T16:11:59"/>
    <d v="2015-07-31T16:12:02"/>
    <n v="1"/>
    <n v="2"/>
    <n v="4"/>
    <n v="6"/>
    <n v="1"/>
    <n v="1"/>
    <n v="29.92"/>
    <x v="2"/>
    <x v="18"/>
    <n v="31"/>
    <x v="4"/>
    <x v="4"/>
  </r>
  <r>
    <n v="21"/>
    <m/>
    <m/>
    <d v="2015-07-20T23:21:04"/>
    <d v="2015-07-20T19:21:06"/>
    <n v="1"/>
    <n v="4"/>
    <n v="4"/>
    <n v="4"/>
    <n v="1"/>
    <n v="1"/>
    <n v="56.32"/>
    <x v="2"/>
    <x v="19"/>
    <n v="20"/>
    <x v="3"/>
    <x v="12"/>
  </r>
  <r>
    <n v="22"/>
    <s v="Michigan"/>
    <s v="49201"/>
    <d v="2015-08-08T03:46:38"/>
    <d v="2015-08-07T23:46:41"/>
    <n v="1"/>
    <n v="2"/>
    <n v="2"/>
    <n v="3"/>
    <n v="1"/>
    <n v="5"/>
    <n v="44"/>
    <x v="0"/>
    <x v="20"/>
    <n v="7"/>
    <x v="4"/>
    <x v="0"/>
  </r>
  <r>
    <n v="23"/>
    <s v="Indiana"/>
    <s v="46601"/>
    <d v="2015-07-06T10:05:55"/>
    <d v="2015-07-06T10:05:58"/>
    <n v="1"/>
    <n v="2"/>
    <n v="8"/>
    <n v="4"/>
    <n v="1"/>
    <n v="4"/>
    <n v="28.8"/>
    <x v="2"/>
    <x v="21"/>
    <n v="6"/>
    <x v="3"/>
    <x v="13"/>
  </r>
  <r>
    <n v="24"/>
    <m/>
    <m/>
    <d v="2015-02-17T11:45:53"/>
    <d v="2015-02-21T20:00:13"/>
    <n v="2"/>
    <n v="2"/>
    <n v="14"/>
    <n v="6"/>
    <n v="1"/>
    <n v="4"/>
    <n v="27"/>
    <x v="3"/>
    <x v="22"/>
    <n v="21"/>
    <x v="0"/>
    <x v="5"/>
  </r>
  <r>
    <n v="25"/>
    <s v="North Carolina"/>
    <s v="28759"/>
    <d v="2015-01-20T21:39:14"/>
    <d v="2015-01-20T21:39:22"/>
    <n v="1"/>
    <n v="2"/>
    <n v="6"/>
    <n v="2"/>
    <n v="1"/>
    <n v="2"/>
    <n v="14.4"/>
    <x v="1"/>
    <x v="23"/>
    <n v="20"/>
    <x v="5"/>
    <x v="2"/>
  </r>
  <r>
    <n v="26"/>
    <s v="Massachusetts"/>
    <s v="02072"/>
    <d v="2015-03-11T22:30:27"/>
    <d v="2015-03-11T22:30:33"/>
    <n v="1"/>
    <n v="0"/>
    <n v="8"/>
    <n v="4"/>
    <n v="1"/>
    <n v="4"/>
    <n v="28.8"/>
    <x v="8"/>
    <x v="24"/>
    <n v="11"/>
    <x v="6"/>
    <x v="1"/>
  </r>
  <r>
    <n v="27"/>
    <s v="Ohio"/>
    <s v="43402"/>
    <d v="2015-07-01T15:47:19"/>
    <d v="2015-07-13T16:51:51"/>
    <n v="19"/>
    <n v="10"/>
    <n v="13"/>
    <n v="14"/>
    <n v="1"/>
    <n v="5"/>
    <n v="36"/>
    <x v="2"/>
    <x v="25"/>
    <n v="11"/>
    <x v="0"/>
    <x v="14"/>
  </r>
  <r>
    <n v="28"/>
    <s v="California"/>
    <s v="93901"/>
    <d v="2015-09-19T21:32:07"/>
    <d v="2015-09-19T21:32:12"/>
    <n v="1"/>
    <n v="4"/>
    <n v="2"/>
    <n v="3"/>
    <n v="1"/>
    <n v="1"/>
    <n v="8.8000000000000007"/>
    <x v="5"/>
    <x v="26"/>
    <n v="19"/>
    <x v="0"/>
    <x v="2"/>
  </r>
  <r>
    <n v="29"/>
    <s v="Florida"/>
    <s v="33510"/>
    <d v="2015-05-23T13:45:30"/>
    <d v="2015-05-23T17:55:43"/>
    <n v="3"/>
    <n v="2"/>
    <n v="2"/>
    <n v="4"/>
    <n v="1"/>
    <n v="2"/>
    <n v="115.2"/>
    <x v="4"/>
    <x v="27"/>
    <n v="23"/>
    <x v="0"/>
    <x v="15"/>
  </r>
  <r>
    <n v="30"/>
    <s v="Colorado"/>
    <s v="81007"/>
    <d v="2015-01-13T12:18:26"/>
    <d v="2015-03-08T16:53:14"/>
    <n v="2"/>
    <n v="0"/>
    <n v="17"/>
    <n v="8"/>
    <n v="2"/>
    <n v="13"/>
    <n v="27"/>
    <x v="1"/>
    <x v="28"/>
    <n v="13"/>
    <x v="5"/>
    <x v="7"/>
  </r>
  <r>
    <n v="32"/>
    <s v="Florida"/>
    <s v="32832"/>
    <d v="2015-02-20T20:32:16"/>
    <d v="2015-02-20T20:32:21"/>
    <n v="1"/>
    <n v="0"/>
    <n v="4"/>
    <n v="1"/>
    <n v="1"/>
    <n v="2"/>
    <n v="36"/>
    <x v="3"/>
    <x v="29"/>
    <n v="20"/>
    <x v="4"/>
    <x v="5"/>
  </r>
  <r>
    <n v="33"/>
    <s v="Washington"/>
    <s v="98324"/>
    <d v="2015-07-11T18:02:08"/>
    <d v="2015-07-11T18:02:12"/>
    <n v="1"/>
    <n v="8"/>
    <n v="8"/>
    <n v="2"/>
    <n v="1"/>
    <n v="4"/>
    <n v="28.8"/>
    <x v="2"/>
    <x v="30"/>
    <n v="11"/>
    <x v="0"/>
    <x v="6"/>
  </r>
  <r>
    <n v="34"/>
    <s v="Massachusetts"/>
    <s v="01247"/>
    <d v="2015-04-05T07:05:58"/>
    <d v="2015-04-05T07:06:03"/>
    <n v="1"/>
    <n v="0"/>
    <n v="8"/>
    <n v="1"/>
    <n v="1"/>
    <n v="4"/>
    <n v="36"/>
    <x v="7"/>
    <x v="31"/>
    <n v="5"/>
    <x v="2"/>
    <x v="16"/>
  </r>
  <r>
    <n v="35"/>
    <s v="Arkansas"/>
    <s v="72211"/>
    <d v="2015-02-09T19:49:40"/>
    <d v="2015-02-09T19:49:46"/>
    <n v="1"/>
    <n v="0"/>
    <n v="2"/>
    <n v="1"/>
    <n v="1"/>
    <n v="1"/>
    <n v="36"/>
    <x v="3"/>
    <x v="32"/>
    <n v="9"/>
    <x v="3"/>
    <x v="12"/>
  </r>
  <r>
    <n v="36"/>
    <s v="Texas"/>
    <s v="78228"/>
    <d v="2015-06-22T16:46:47"/>
    <d v="2015-06-22T12:46:52"/>
    <n v="1"/>
    <n v="4"/>
    <n v="4"/>
    <n v="2"/>
    <n v="1"/>
    <n v="1"/>
    <n v="28.8"/>
    <x v="6"/>
    <x v="33"/>
    <n v="22"/>
    <x v="3"/>
    <x v="7"/>
  </r>
  <r>
    <n v="37"/>
    <s v="Washington"/>
    <s v="98541"/>
    <d v="2015-01-19T13:03:58"/>
    <d v="2015-01-19T13:04:05"/>
    <n v="1"/>
    <n v="3"/>
    <n v="1"/>
    <n v="1"/>
    <n v="1"/>
    <n v="1"/>
    <n v="27"/>
    <x v="1"/>
    <x v="34"/>
    <n v="19"/>
    <x v="3"/>
    <x v="17"/>
  </r>
  <r>
    <n v="38"/>
    <s v="New York"/>
    <s v="10038"/>
    <d v="2015-09-17T00:14:10"/>
    <d v="2015-09-16T20:14:15"/>
    <n v="1"/>
    <n v="2"/>
    <n v="2"/>
    <n v="2"/>
    <n v="1"/>
    <n v="2"/>
    <n v="20"/>
    <x v="5"/>
    <x v="35"/>
    <n v="16"/>
    <x v="6"/>
    <x v="5"/>
  </r>
  <r>
    <n v="39"/>
    <s v="Florida"/>
    <s v="34450"/>
    <d v="2015-01-10T11:02:58"/>
    <d v="2015-01-10T11:03:03"/>
    <n v="1"/>
    <n v="0"/>
    <n v="4"/>
    <n v="3"/>
    <n v="1"/>
    <n v="2"/>
    <n v="9"/>
    <x v="1"/>
    <x v="36"/>
    <n v="10"/>
    <x v="0"/>
    <x v="3"/>
  </r>
  <r>
    <n v="40"/>
    <s v="California"/>
    <s v="90025"/>
    <d v="2014-12-26T10:39:13"/>
    <d v="2015-01-03T12:49:34"/>
    <n v="2"/>
    <n v="1"/>
    <n v="3"/>
    <n v="2"/>
    <n v="1"/>
    <n v="3"/>
    <n v="27"/>
    <x v="1"/>
    <x v="37"/>
    <n v="3"/>
    <x v="0"/>
    <x v="7"/>
  </r>
  <r>
    <n v="41"/>
    <m/>
    <m/>
    <d v="2015-08-13T18:47:13"/>
    <d v="2015-08-13T14:47:14"/>
    <n v="1"/>
    <n v="4"/>
    <n v="8"/>
    <n v="7"/>
    <n v="1"/>
    <n v="4"/>
    <n v="32.799999999999997"/>
    <x v="0"/>
    <x v="38"/>
    <n v="13"/>
    <x v="1"/>
    <x v="9"/>
  </r>
  <r>
    <n v="42"/>
    <s v="Texas"/>
    <s v="75904"/>
    <d v="2015-03-10T13:47:35"/>
    <d v="2015-03-10T13:47:40"/>
    <n v="1"/>
    <n v="0"/>
    <n v="10"/>
    <n v="1"/>
    <n v="1"/>
    <n v="4"/>
    <n v="28.8"/>
    <x v="8"/>
    <x v="39"/>
    <n v="10"/>
    <x v="5"/>
    <x v="17"/>
  </r>
  <r>
    <n v="43"/>
    <s v="Washington"/>
    <s v="98110"/>
    <d v="2015-05-22T14:06:37"/>
    <d v="2015-05-25T23:26:05"/>
    <n v="2"/>
    <n v="0"/>
    <n v="1"/>
    <n v="2"/>
    <n v="1"/>
    <n v="1"/>
    <n v="28.8"/>
    <x v="4"/>
    <x v="40"/>
    <n v="22"/>
    <x v="4"/>
    <x v="13"/>
  </r>
  <r>
    <n v="44"/>
    <s v="New Jersey"/>
    <s v="07631"/>
    <d v="2015-01-24T09:18:17"/>
    <d v="2015-01-24T09:18:24"/>
    <n v="1"/>
    <n v="0"/>
    <n v="4"/>
    <n v="2"/>
    <n v="1"/>
    <n v="2"/>
    <n v="9"/>
    <x v="1"/>
    <x v="41"/>
    <n v="24"/>
    <x v="0"/>
    <x v="15"/>
  </r>
  <r>
    <n v="45"/>
    <s v="New York"/>
    <s v="10024"/>
    <d v="2015-07-03T18:46:56"/>
    <d v="2015-07-11T14:47:05"/>
    <n v="3"/>
    <n v="9"/>
    <n v="24"/>
    <n v="9"/>
    <n v="1"/>
    <n v="6"/>
    <n v="48"/>
    <x v="2"/>
    <x v="42"/>
    <n v="11"/>
    <x v="0"/>
    <x v="9"/>
  </r>
  <r>
    <n v="46"/>
    <s v="Illinois"/>
    <s v="60618"/>
    <d v="2015-07-06T20:06:27"/>
    <d v="2015-07-06T20:06:32"/>
    <n v="1"/>
    <n v="8"/>
    <n v="12"/>
    <n v="2"/>
    <n v="1"/>
    <n v="6"/>
    <n v="86.4"/>
    <x v="2"/>
    <x v="43"/>
    <n v="6"/>
    <x v="3"/>
    <x v="5"/>
  </r>
  <r>
    <n v="47"/>
    <s v="California"/>
    <s v="95818"/>
    <d v="2015-01-22T18:41:51"/>
    <d v="2015-01-22T18:41:58"/>
    <n v="1"/>
    <n v="0"/>
    <n v="2"/>
    <n v="3"/>
    <n v="1"/>
    <n v="1"/>
    <n v="28.8"/>
    <x v="1"/>
    <x v="44"/>
    <n v="22"/>
    <x v="1"/>
    <x v="6"/>
  </r>
  <r>
    <n v="48"/>
    <s v="Oklahoma"/>
    <s v="74137"/>
    <d v="2015-06-03T08:11:54"/>
    <d v="2015-06-03T08:11:58"/>
    <n v="1"/>
    <n v="0"/>
    <n v="4"/>
    <n v="3"/>
    <n v="1"/>
    <n v="4"/>
    <n v="36"/>
    <x v="6"/>
    <x v="45"/>
    <n v="3"/>
    <x v="6"/>
    <x v="18"/>
  </r>
  <r>
    <n v="49"/>
    <s v="Massachusetts"/>
    <s v="01960"/>
    <d v="2015-07-12T14:09:05"/>
    <d v="2015-07-12T14:09:09"/>
    <n v="1"/>
    <n v="4"/>
    <n v="6"/>
    <n v="4"/>
    <n v="1"/>
    <n v="2"/>
    <n v="36"/>
    <x v="2"/>
    <x v="46"/>
    <n v="12"/>
    <x v="2"/>
    <x v="9"/>
  </r>
  <r>
    <n v="50"/>
    <s v="North Carolina"/>
    <s v="28582"/>
    <d v="2015-07-03T07:31:47"/>
    <d v="2015-07-03T03:31:51"/>
    <n v="1"/>
    <n v="2"/>
    <n v="4"/>
    <n v="2"/>
    <n v="1"/>
    <n v="2"/>
    <n v="18"/>
    <x v="2"/>
    <x v="47"/>
    <n v="3"/>
    <x v="4"/>
    <x v="19"/>
  </r>
  <r>
    <n v="51"/>
    <s v="California"/>
    <s v="92067"/>
    <d v="2015-04-04T16:11:26"/>
    <d v="2015-04-04T16:11:29"/>
    <n v="1"/>
    <n v="0"/>
    <n v="6"/>
    <n v="4"/>
    <n v="1"/>
    <n v="1"/>
    <n v="28.8"/>
    <x v="7"/>
    <x v="48"/>
    <n v="4"/>
    <x v="0"/>
    <x v="4"/>
  </r>
  <r>
    <n v="52"/>
    <s v="Illinois"/>
    <s v="60025"/>
    <d v="2015-03-20T12:39:05"/>
    <d v="2015-03-20T12:39:10"/>
    <n v="1"/>
    <n v="0"/>
    <n v="10"/>
    <n v="1"/>
    <n v="1"/>
    <n v="1"/>
    <n v="57.6"/>
    <x v="8"/>
    <x v="49"/>
    <n v="20"/>
    <x v="4"/>
    <x v="7"/>
  </r>
  <r>
    <n v="53"/>
    <m/>
    <m/>
    <d v="2015-02-18T01:48:07"/>
    <d v="2015-02-18T01:48:10"/>
    <n v="1"/>
    <n v="2"/>
    <n v="2"/>
    <n v="4"/>
    <n v="1"/>
    <n v="1"/>
    <n v="28.8"/>
    <x v="3"/>
    <x v="50"/>
    <n v="18"/>
    <x v="6"/>
    <x v="20"/>
  </r>
  <r>
    <n v="54"/>
    <m/>
    <m/>
    <d v="2015-05-23T01:16:39"/>
    <d v="2015-05-22T21:16:42"/>
    <n v="1"/>
    <n v="6"/>
    <n v="16"/>
    <n v="4"/>
    <n v="1"/>
    <n v="4"/>
    <n v="28.8"/>
    <x v="4"/>
    <x v="51"/>
    <n v="22"/>
    <x v="4"/>
    <x v="2"/>
  </r>
  <r>
    <n v="55"/>
    <m/>
    <m/>
    <d v="2015-03-04T03:53:54"/>
    <d v="2015-03-04T03:53:56"/>
    <n v="1"/>
    <n v="10"/>
    <n v="12"/>
    <n v="4"/>
    <n v="1"/>
    <n v="1"/>
    <n v="57.6"/>
    <x v="8"/>
    <x v="52"/>
    <n v="4"/>
    <x v="6"/>
    <x v="19"/>
  </r>
  <r>
    <n v="56"/>
    <s v="Indiana"/>
    <s v="46250"/>
    <d v="2015-07-20T20:24:23"/>
    <d v="2015-07-21T10:39:08"/>
    <n v="5"/>
    <n v="6"/>
    <n v="8"/>
    <n v="5"/>
    <n v="1"/>
    <n v="4"/>
    <n v="35.200000000000003"/>
    <x v="2"/>
    <x v="53"/>
    <n v="21"/>
    <x v="5"/>
    <x v="3"/>
  </r>
  <r>
    <n v="57"/>
    <s v="Virginia"/>
    <s v="22205"/>
    <d v="2015-02-23T22:03:19"/>
    <d v="2015-02-24T00:27:04"/>
    <n v="3"/>
    <n v="0"/>
    <n v="4"/>
    <n v="1"/>
    <n v="1"/>
    <n v="2"/>
    <n v="9"/>
    <x v="3"/>
    <x v="54"/>
    <n v="23"/>
    <x v="3"/>
    <x v="1"/>
  </r>
  <r>
    <n v="58"/>
    <s v="District of Columbia"/>
    <s v="20009"/>
    <d v="2015-01-17T00:22:29"/>
    <d v="2015-01-17T20:10:08"/>
    <n v="2"/>
    <n v="2"/>
    <n v="9"/>
    <n v="5"/>
    <n v="2"/>
    <n v="5"/>
    <n v="18"/>
    <x v="1"/>
    <x v="55"/>
    <n v="17"/>
    <x v="0"/>
    <x v="14"/>
  </r>
  <r>
    <n v="59"/>
    <s v="Washington"/>
    <s v="98146"/>
    <d v="2015-06-14T23:58:02"/>
    <d v="2015-06-14T23:58:06"/>
    <n v="1"/>
    <n v="6"/>
    <n v="6"/>
    <n v="3"/>
    <n v="1"/>
    <n v="1"/>
    <n v="27"/>
    <x v="6"/>
    <x v="56"/>
    <n v="14"/>
    <x v="2"/>
    <x v="0"/>
  </r>
  <r>
    <n v="60"/>
    <s v="New Jersey"/>
    <s v="08108"/>
    <d v="2015-06-03T08:55:10"/>
    <d v="2015-06-03T08:55:14"/>
    <n v="1"/>
    <n v="4"/>
    <n v="10"/>
    <n v="2"/>
    <n v="1"/>
    <n v="5"/>
    <n v="36"/>
    <x v="6"/>
    <x v="57"/>
    <n v="3"/>
    <x v="6"/>
    <x v="18"/>
  </r>
  <r>
    <n v="61"/>
    <s v="Maryland"/>
    <s v="21122"/>
    <d v="2014-12-21T23:36:40"/>
    <d v="2015-01-15T22:32:28"/>
    <n v="3"/>
    <n v="1"/>
    <n v="1"/>
    <n v="2"/>
    <n v="1"/>
    <n v="1"/>
    <n v="72"/>
    <x v="1"/>
    <x v="58"/>
    <n v="15"/>
    <x v="1"/>
    <x v="1"/>
  </r>
  <r>
    <n v="62"/>
    <s v="Michigan"/>
    <s v="48092"/>
    <d v="2015-05-29T08:59:13"/>
    <d v="2015-05-29T08:59:17"/>
    <n v="1"/>
    <n v="0"/>
    <n v="4"/>
    <n v="2"/>
    <n v="1"/>
    <n v="2"/>
    <n v="36"/>
    <x v="4"/>
    <x v="59"/>
    <n v="29"/>
    <x v="4"/>
    <x v="18"/>
  </r>
  <r>
    <n v="63"/>
    <m/>
    <m/>
    <d v="2015-09-18T03:01:51"/>
    <d v="2015-09-20T00:25:06"/>
    <n v="2"/>
    <n v="6"/>
    <n v="8"/>
    <n v="12"/>
    <n v="1"/>
    <n v="2"/>
    <n v="17.600000000000001"/>
    <x v="5"/>
    <x v="60"/>
    <n v="20"/>
    <x v="2"/>
    <x v="20"/>
  </r>
  <r>
    <n v="64"/>
    <s v="New Jersey"/>
    <s v="07960"/>
    <d v="2015-02-26T16:58:33"/>
    <d v="2015-02-26T16:58:37"/>
    <n v="1"/>
    <n v="0"/>
    <n v="4"/>
    <n v="1"/>
    <n v="1"/>
    <n v="1"/>
    <n v="27"/>
    <x v="3"/>
    <x v="61"/>
    <n v="26"/>
    <x v="1"/>
    <x v="4"/>
  </r>
  <r>
    <n v="65"/>
    <s v="New York"/>
    <s v="11217"/>
    <d v="2015-07-16T18:05:27"/>
    <d v="2015-07-16T14:05:33"/>
    <n v="1"/>
    <n v="10"/>
    <n v="6"/>
    <n v="2"/>
    <n v="1"/>
    <n v="2"/>
    <n v="51.8"/>
    <x v="2"/>
    <x v="62"/>
    <n v="16"/>
    <x v="1"/>
    <x v="9"/>
  </r>
  <r>
    <n v="66"/>
    <s v="Maryland"/>
    <s v="21286"/>
    <d v="2015-05-27T11:42:24"/>
    <d v="2015-05-27T11:42:28"/>
    <n v="1"/>
    <n v="2"/>
    <n v="4"/>
    <n v="2"/>
    <n v="1"/>
    <n v="2"/>
    <n v="18"/>
    <x v="4"/>
    <x v="63"/>
    <n v="27"/>
    <x v="6"/>
    <x v="3"/>
  </r>
  <r>
    <n v="67"/>
    <s v="California"/>
    <s v="95949"/>
    <d v="2015-03-22T17:16:32"/>
    <d v="2015-03-22T17:16:37"/>
    <n v="1"/>
    <n v="2"/>
    <n v="2"/>
    <n v="1"/>
    <n v="1"/>
    <n v="1"/>
    <n v="28.8"/>
    <x v="8"/>
    <x v="64"/>
    <n v="22"/>
    <x v="2"/>
    <x v="8"/>
  </r>
  <r>
    <n v="68"/>
    <s v="Massachusetts"/>
    <s v="01843"/>
    <d v="2015-01-28T21:09:55"/>
    <d v="2015-02-05T10:12:40"/>
    <n v="3"/>
    <n v="2"/>
    <n v="5"/>
    <n v="4"/>
    <n v="1"/>
    <n v="1"/>
    <n v="28.8"/>
    <x v="1"/>
    <x v="65"/>
    <n v="28"/>
    <x v="6"/>
    <x v="2"/>
  </r>
  <r>
    <n v="69"/>
    <s v="Georgia"/>
    <s v="30308"/>
    <d v="2015-06-08T13:58:33"/>
    <d v="2015-06-08T13:58:38"/>
    <n v="1"/>
    <n v="2"/>
    <n v="8"/>
    <n v="4"/>
    <n v="1"/>
    <n v="6"/>
    <n v="86.4"/>
    <x v="6"/>
    <x v="66"/>
    <n v="8"/>
    <x v="3"/>
    <x v="17"/>
  </r>
  <r>
    <n v="70"/>
    <m/>
    <m/>
    <d v="2015-01-25T19:00:57"/>
    <d v="2015-02-05T13:34:48"/>
    <n v="20"/>
    <n v="0"/>
    <n v="6"/>
    <n v="5"/>
    <n v="1"/>
    <n v="5"/>
    <n v="36"/>
    <x v="1"/>
    <x v="67"/>
    <n v="25"/>
    <x v="2"/>
    <x v="12"/>
  </r>
  <r>
    <n v="71"/>
    <s v="New York"/>
    <s v="10022"/>
    <d v="2015-06-30T15:18:01"/>
    <d v="2015-06-30T15:18:05"/>
    <n v="1"/>
    <n v="0"/>
    <n v="2"/>
    <n v="2"/>
    <n v="1"/>
    <n v="1"/>
    <n v="28.8"/>
    <x v="6"/>
    <x v="68"/>
    <n v="30"/>
    <x v="5"/>
    <x v="10"/>
  </r>
  <r>
    <n v="72"/>
    <s v="New York"/>
    <s v="10028"/>
    <d v="2015-03-07T11:26:42"/>
    <d v="2015-03-07T11:26:50"/>
    <n v="1"/>
    <n v="2"/>
    <n v="8"/>
    <n v="1"/>
    <n v="1"/>
    <n v="4"/>
    <n v="45.6"/>
    <x v="8"/>
    <x v="69"/>
    <n v="7"/>
    <x v="0"/>
    <x v="3"/>
  </r>
  <r>
    <n v="73"/>
    <m/>
    <m/>
    <d v="2015-02-19T16:27:59"/>
    <d v="2015-02-19T22:59:48"/>
    <n v="3"/>
    <n v="1"/>
    <n v="8"/>
    <n v="3"/>
    <n v="1"/>
    <n v="4"/>
    <n v="28.8"/>
    <x v="3"/>
    <x v="70"/>
    <n v="19"/>
    <x v="1"/>
    <x v="4"/>
  </r>
  <r>
    <n v="74"/>
    <s v="California"/>
    <s v="94596"/>
    <d v="2015-01-22T19:11:13"/>
    <d v="2015-01-22T19:11:17"/>
    <n v="1"/>
    <n v="2"/>
    <n v="6"/>
    <n v="3"/>
    <n v="1"/>
    <n v="5"/>
    <n v="36"/>
    <x v="1"/>
    <x v="71"/>
    <n v="22"/>
    <x v="1"/>
    <x v="12"/>
  </r>
  <r>
    <n v="76"/>
    <s v="Florida"/>
    <s v="33066"/>
    <d v="2015-03-12T10:30:16"/>
    <d v="2015-03-12T10:30:22"/>
    <n v="1"/>
    <n v="2"/>
    <n v="12"/>
    <n v="1"/>
    <n v="1"/>
    <n v="4"/>
    <n v="28.8"/>
    <x v="8"/>
    <x v="72"/>
    <n v="12"/>
    <x v="1"/>
    <x v="13"/>
  </r>
  <r>
    <n v="77"/>
    <s v="California"/>
    <s v="95747"/>
    <d v="2015-06-06T19:40:36"/>
    <d v="2015-06-06T15:40:41"/>
    <n v="1"/>
    <n v="5"/>
    <n v="11"/>
    <n v="3"/>
    <n v="2"/>
    <n v="8"/>
    <n v="36"/>
    <x v="6"/>
    <x v="73"/>
    <n v="6"/>
    <x v="0"/>
    <x v="10"/>
  </r>
  <r>
    <n v="78"/>
    <s v="Virginia"/>
    <s v="23455"/>
    <d v="2015-04-08T09:18:02"/>
    <d v="2015-04-08T09:18:06"/>
    <n v="1"/>
    <n v="0"/>
    <n v="8"/>
    <n v="3"/>
    <n v="1"/>
    <n v="3"/>
    <n v="27"/>
    <x v="7"/>
    <x v="74"/>
    <n v="8"/>
    <x v="6"/>
    <x v="15"/>
  </r>
  <r>
    <n v="79"/>
    <s v="Ohio"/>
    <s v="44333"/>
    <d v="2015-03-10T16:55:59"/>
    <d v="2015-03-10T16:56:46"/>
    <n v="1"/>
    <n v="0"/>
    <n v="2"/>
    <n v="1"/>
    <n v="1"/>
    <n v="1"/>
    <n v="30"/>
    <x v="8"/>
    <x v="75"/>
    <n v="10"/>
    <x v="5"/>
    <x v="4"/>
  </r>
  <r>
    <n v="80"/>
    <m/>
    <m/>
    <d v="2015-07-09T18:52:36"/>
    <d v="2015-07-09T14:52:38"/>
    <n v="1"/>
    <n v="6"/>
    <n v="4"/>
    <n v="5"/>
    <n v="1"/>
    <n v="1"/>
    <n v="36"/>
    <x v="2"/>
    <x v="76"/>
    <n v="9"/>
    <x v="1"/>
    <x v="9"/>
  </r>
  <r>
    <n v="82"/>
    <s v="North Carolina"/>
    <s v="27526"/>
    <d v="2015-06-12T17:38:12"/>
    <d v="2015-06-12T13:38:17"/>
    <n v="1"/>
    <n v="2"/>
    <n v="8"/>
    <n v="2"/>
    <n v="1"/>
    <n v="4"/>
    <n v="28.8"/>
    <x v="6"/>
    <x v="77"/>
    <n v="12"/>
    <x v="4"/>
    <x v="17"/>
  </r>
  <r>
    <n v="83"/>
    <s v="Massachusetts"/>
    <s v="02038"/>
    <d v="2015-06-10T16:06:30"/>
    <d v="2015-06-10T12:06:35"/>
    <n v="1"/>
    <n v="2"/>
    <n v="4"/>
    <n v="2"/>
    <n v="1"/>
    <n v="4"/>
    <n v="38.4"/>
    <x v="6"/>
    <x v="78"/>
    <n v="10"/>
    <x v="6"/>
    <x v="7"/>
  </r>
  <r>
    <n v="84"/>
    <s v="New Jersey"/>
    <s v="08807"/>
    <d v="2015-08-29T13:34:41"/>
    <d v="2015-08-30T13:12:11"/>
    <n v="4"/>
    <n v="6"/>
    <n v="11"/>
    <n v="10"/>
    <n v="2"/>
    <n v="8"/>
    <n v="35.200000000000003"/>
    <x v="0"/>
    <x v="79"/>
    <n v="29"/>
    <x v="0"/>
    <x v="17"/>
  </r>
  <r>
    <n v="85"/>
    <s v="Massachusetts"/>
    <s v="01824"/>
    <d v="2015-05-22T21:25:23"/>
    <d v="2015-05-22T21:25:26"/>
    <n v="1"/>
    <n v="0"/>
    <n v="2"/>
    <n v="2"/>
    <n v="1"/>
    <n v="1"/>
    <n v="28.8"/>
    <x v="4"/>
    <x v="80"/>
    <n v="22"/>
    <x v="4"/>
    <x v="2"/>
  </r>
  <r>
    <n v="86"/>
    <s v="Illinois"/>
    <s v="60559"/>
    <d v="2015-03-12T09:20:01"/>
    <d v="2015-03-12T09:20:10"/>
    <n v="1"/>
    <n v="4"/>
    <n v="2"/>
    <n v="1"/>
    <n v="1"/>
    <n v="1"/>
    <n v="28.8"/>
    <x v="8"/>
    <x v="81"/>
    <n v="12"/>
    <x v="1"/>
    <x v="15"/>
  </r>
  <r>
    <n v="87"/>
    <s v="District of Columbia"/>
    <s v="20016"/>
    <d v="2015-08-26T13:49:13"/>
    <d v="2015-08-26T22:23:41"/>
    <n v="2"/>
    <n v="6"/>
    <n v="6"/>
    <n v="4"/>
    <n v="1"/>
    <n v="4"/>
    <n v="30.4"/>
    <x v="0"/>
    <x v="82"/>
    <n v="26"/>
    <x v="6"/>
    <x v="17"/>
  </r>
  <r>
    <n v="88"/>
    <m/>
    <m/>
    <d v="2015-02-06T12:07:09"/>
    <d v="2015-02-06T12:07:15"/>
    <n v="1"/>
    <n v="6"/>
    <n v="6"/>
    <n v="2"/>
    <n v="1"/>
    <n v="2"/>
    <n v="127"/>
    <x v="3"/>
    <x v="83"/>
    <n v="6"/>
    <x v="4"/>
    <x v="7"/>
  </r>
  <r>
    <n v="89"/>
    <s v="Pennsylvania"/>
    <s v="17545"/>
    <d v="2015-06-29T21:06:14"/>
    <d v="2015-06-30T16:26:02"/>
    <n v="3"/>
    <n v="4"/>
    <n v="6"/>
    <n v="5"/>
    <n v="1"/>
    <n v="2"/>
    <n v="15"/>
    <x v="6"/>
    <x v="84"/>
    <n v="29"/>
    <x v="3"/>
    <x v="2"/>
  </r>
  <r>
    <n v="90"/>
    <s v="Texas"/>
    <s v="78739"/>
    <d v="2015-03-18T12:27:52"/>
    <d v="2015-03-18T12:28:02"/>
    <n v="1"/>
    <n v="0"/>
    <n v="4"/>
    <n v="1"/>
    <n v="1"/>
    <n v="6"/>
    <n v="86.4"/>
    <x v="8"/>
    <x v="85"/>
    <n v="18"/>
    <x v="6"/>
    <x v="7"/>
  </r>
  <r>
    <n v="91"/>
    <s v="North Carolina"/>
    <s v="27104"/>
    <d v="2015-03-24T19:58:36"/>
    <d v="2015-03-24T19:58:42"/>
    <n v="1"/>
    <n v="2"/>
    <n v="3"/>
    <n v="3"/>
    <n v="2"/>
    <n v="2"/>
    <n v="57.6"/>
    <x v="8"/>
    <x v="86"/>
    <n v="24"/>
    <x v="5"/>
    <x v="12"/>
  </r>
  <r>
    <n v="92"/>
    <s v="New York"/>
    <s v="14150"/>
    <d v="2015-02-10T20:10:44"/>
    <d v="2015-02-10T20:10:51"/>
    <n v="1"/>
    <n v="2"/>
    <n v="6"/>
    <n v="1"/>
    <n v="1"/>
    <n v="4"/>
    <n v="28.8"/>
    <x v="3"/>
    <x v="87"/>
    <n v="10"/>
    <x v="5"/>
    <x v="5"/>
  </r>
  <r>
    <n v="93"/>
    <s v="Pennsylvania"/>
    <s v="17313"/>
    <d v="2015-03-03T15:15:27"/>
    <d v="2015-03-03T15:15:33"/>
    <n v="1"/>
    <n v="2"/>
    <n v="4"/>
    <n v="1"/>
    <n v="1"/>
    <n v="2"/>
    <n v="9"/>
    <x v="8"/>
    <x v="88"/>
    <n v="3"/>
    <x v="5"/>
    <x v="10"/>
  </r>
  <r>
    <n v="96"/>
    <s v="New York"/>
    <s v="14580"/>
    <d v="2015-05-20T14:34:36"/>
    <d v="2015-05-20T14:34:44"/>
    <n v="1"/>
    <n v="2"/>
    <n v="2"/>
    <n v="2"/>
    <n v="1"/>
    <n v="1"/>
    <n v="36"/>
    <x v="4"/>
    <x v="89"/>
    <n v="20"/>
    <x v="6"/>
    <x v="9"/>
  </r>
  <r>
    <n v="97"/>
    <m/>
    <m/>
    <d v="2015-02-11T18:27:37"/>
    <d v="2015-02-11T18:27:48"/>
    <n v="1"/>
    <n v="1"/>
    <n v="2"/>
    <n v="4"/>
    <n v="1"/>
    <n v="2"/>
    <n v="9"/>
    <x v="3"/>
    <x v="90"/>
    <n v="11"/>
    <x v="6"/>
    <x v="6"/>
  </r>
  <r>
    <n v="98"/>
    <s v="California"/>
    <s v="90403"/>
    <d v="2015-01-26T09:28:06"/>
    <d v="2015-02-01T23:05:39"/>
    <n v="6"/>
    <n v="3"/>
    <n v="4"/>
    <n v="10"/>
    <n v="1"/>
    <n v="5"/>
    <n v="45"/>
    <x v="1"/>
    <x v="91"/>
    <n v="26"/>
    <x v="3"/>
    <x v="15"/>
  </r>
  <r>
    <n v="99"/>
    <m/>
    <m/>
    <d v="2015-03-17T00:49:52"/>
    <d v="2015-03-17T00:49:57"/>
    <n v="1"/>
    <n v="0"/>
    <n v="8"/>
    <n v="4"/>
    <n v="1"/>
    <n v="4"/>
    <n v="28.8"/>
    <x v="8"/>
    <x v="92"/>
    <n v="17"/>
    <x v="5"/>
    <x v="14"/>
  </r>
  <r>
    <n v="100"/>
    <s v="Maryland"/>
    <s v="21001"/>
    <d v="2015-04-03T20:52:08"/>
    <d v="2015-04-03T20:52:15"/>
    <n v="1"/>
    <n v="2"/>
    <n v="10"/>
    <n v="2"/>
    <n v="1"/>
    <n v="4"/>
    <n v="28.8"/>
    <x v="7"/>
    <x v="93"/>
    <n v="3"/>
    <x v="4"/>
    <x v="5"/>
  </r>
  <r>
    <n v="101"/>
    <s v="Illinois"/>
    <s v="60654"/>
    <d v="2015-04-15T21:58:01"/>
    <d v="2015-04-16T06:16:45"/>
    <n v="3"/>
    <n v="0"/>
    <n v="6"/>
    <n v="2"/>
    <n v="1"/>
    <n v="4"/>
    <n v="28.8"/>
    <x v="7"/>
    <x v="94"/>
    <n v="15"/>
    <x v="6"/>
    <x v="2"/>
  </r>
  <r>
    <n v="102"/>
    <m/>
    <m/>
    <d v="2015-09-04T10:37:22"/>
    <d v="2015-09-04T10:37:24"/>
    <n v="1"/>
    <n v="10"/>
    <n v="4"/>
    <n v="4"/>
    <n v="1"/>
    <n v="1"/>
    <n v="29.92"/>
    <x v="5"/>
    <x v="95"/>
    <n v="4"/>
    <x v="4"/>
    <x v="13"/>
  </r>
  <r>
    <n v="103"/>
    <s v="Florida"/>
    <s v="33139"/>
    <d v="2015-07-01T15:46:10"/>
    <d v="2015-07-01T11:46:11"/>
    <n v="1"/>
    <n v="2"/>
    <n v="5"/>
    <n v="5"/>
    <n v="1"/>
    <n v="1"/>
    <n v="38.4"/>
    <x v="2"/>
    <x v="96"/>
    <n v="1"/>
    <x v="6"/>
    <x v="3"/>
  </r>
  <r>
    <n v="104"/>
    <s v="California"/>
    <s v="94109"/>
    <d v="2015-05-12T15:53:57"/>
    <d v="2015-05-12T15:54:01"/>
    <n v="1"/>
    <n v="4"/>
    <n v="10"/>
    <n v="2"/>
    <n v="1"/>
    <n v="4"/>
    <n v="28.8"/>
    <x v="4"/>
    <x v="97"/>
    <n v="12"/>
    <x v="5"/>
    <x v="10"/>
  </r>
  <r>
    <n v="105"/>
    <s v="California"/>
    <s v="94089"/>
    <d v="2015-05-23T12:31:17"/>
    <d v="2015-05-23T12:31:21"/>
    <n v="1"/>
    <n v="6"/>
    <n v="8"/>
    <n v="4"/>
    <n v="1"/>
    <n v="4"/>
    <n v="28.8"/>
    <x v="4"/>
    <x v="98"/>
    <n v="23"/>
    <x v="0"/>
    <x v="7"/>
  </r>
  <r>
    <n v="106"/>
    <s v="Florida"/>
    <s v="32210"/>
    <d v="2015-04-06T15:12:34"/>
    <d v="2015-04-06T15:12:37"/>
    <n v="1"/>
    <n v="4"/>
    <n v="4"/>
    <n v="1"/>
    <n v="1"/>
    <n v="4"/>
    <n v="28.8"/>
    <x v="7"/>
    <x v="99"/>
    <n v="6"/>
    <x v="3"/>
    <x v="10"/>
  </r>
  <r>
    <n v="107"/>
    <m/>
    <m/>
    <d v="2015-02-14T06:26:41"/>
    <d v="2015-02-14T06:26:45"/>
    <n v="1"/>
    <n v="0"/>
    <n v="6"/>
    <n v="6"/>
    <n v="1"/>
    <n v="5"/>
    <n v="36"/>
    <x v="3"/>
    <x v="100"/>
    <n v="14"/>
    <x v="0"/>
    <x v="11"/>
  </r>
  <r>
    <n v="108"/>
    <s v="Utah"/>
    <s v="84108"/>
    <d v="2015-01-22T18:49:02"/>
    <d v="2015-01-22T18:49:08"/>
    <n v="1"/>
    <n v="2"/>
    <n v="8"/>
    <n v="2"/>
    <n v="1"/>
    <n v="4"/>
    <n v="28.8"/>
    <x v="1"/>
    <x v="101"/>
    <n v="22"/>
    <x v="1"/>
    <x v="6"/>
  </r>
  <r>
    <n v="109"/>
    <s v="Nebraska"/>
    <s v="68333"/>
    <d v="2015-05-20T13:49:15"/>
    <d v="2015-05-20T13:49:20"/>
    <n v="1"/>
    <n v="0"/>
    <n v="2"/>
    <n v="3"/>
    <n v="1"/>
    <n v="2"/>
    <n v="14.4"/>
    <x v="4"/>
    <x v="102"/>
    <n v="20"/>
    <x v="6"/>
    <x v="17"/>
  </r>
  <r>
    <n v="110"/>
    <s v="Texas"/>
    <s v="77385"/>
    <d v="2015-06-24T16:10:03"/>
    <d v="2015-06-24T16:10:08"/>
    <n v="1"/>
    <n v="8"/>
    <n v="10"/>
    <n v="3"/>
    <n v="1"/>
    <n v="4"/>
    <n v="72"/>
    <x v="6"/>
    <x v="103"/>
    <n v="24"/>
    <x v="6"/>
    <x v="4"/>
  </r>
  <r>
    <n v="111"/>
    <s v="Ohio"/>
    <s v="43035"/>
    <d v="2015-08-11T19:02:37"/>
    <d v="2015-08-11T15:02:41"/>
    <n v="1"/>
    <n v="2"/>
    <n v="2"/>
    <n v="2"/>
    <n v="1"/>
    <n v="1"/>
    <n v="29.92"/>
    <x v="0"/>
    <x v="104"/>
    <n v="11"/>
    <x v="5"/>
    <x v="10"/>
  </r>
  <r>
    <n v="112"/>
    <s v="New York"/>
    <s v="10704"/>
    <d v="2015-02-07T09:46:18"/>
    <d v="2015-02-07T09:46:23"/>
    <n v="1"/>
    <n v="0"/>
    <n v="6"/>
    <n v="1"/>
    <n v="1"/>
    <n v="4"/>
    <n v="28.8"/>
    <x v="3"/>
    <x v="105"/>
    <n v="7"/>
    <x v="0"/>
    <x v="15"/>
  </r>
  <r>
    <n v="113"/>
    <s v="Texas"/>
    <s v="77845"/>
    <d v="2015-01-04T19:04:10"/>
    <d v="2015-01-04T19:04:15"/>
    <n v="1"/>
    <n v="0"/>
    <n v="8"/>
    <n v="2"/>
    <n v="1"/>
    <n v="4"/>
    <n v="28.8"/>
    <x v="1"/>
    <x v="106"/>
    <n v="4"/>
    <x v="2"/>
    <x v="12"/>
  </r>
  <r>
    <n v="114"/>
    <s v="Minnesota"/>
    <s v="55125"/>
    <d v="2015-04-15T17:29:43"/>
    <d v="2015-04-15T17:29:56"/>
    <n v="1"/>
    <n v="2"/>
    <n v="12"/>
    <n v="2"/>
    <n v="1"/>
    <n v="6"/>
    <n v="42.4"/>
    <x v="7"/>
    <x v="107"/>
    <n v="15"/>
    <x v="6"/>
    <x v="8"/>
  </r>
  <r>
    <n v="115"/>
    <s v="Massachusetts"/>
    <s v="02641"/>
    <d v="2015-02-08T08:30:24"/>
    <d v="2015-03-08T20:04:39"/>
    <n v="2"/>
    <n v="2"/>
    <n v="17"/>
    <n v="4"/>
    <n v="2"/>
    <n v="14"/>
    <n v="36"/>
    <x v="3"/>
    <x v="108"/>
    <n v="8"/>
    <x v="2"/>
    <x v="18"/>
  </r>
  <r>
    <n v="118"/>
    <s v="New York"/>
    <s v="10463"/>
    <d v="2015-06-15T15:39:42"/>
    <d v="2015-06-17T12:38:58"/>
    <n v="3"/>
    <n v="0"/>
    <n v="2"/>
    <n v="3"/>
    <n v="1"/>
    <n v="1"/>
    <n v="38.4"/>
    <x v="6"/>
    <x v="109"/>
    <n v="15"/>
    <x v="3"/>
    <x v="10"/>
  </r>
  <r>
    <n v="119"/>
    <s v="Pennsylvania"/>
    <s v="15120"/>
    <d v="2015-02-07T22:55:06"/>
    <d v="2015-02-07T22:55:11"/>
    <n v="1"/>
    <n v="0"/>
    <n v="4"/>
    <n v="1"/>
    <n v="1"/>
    <n v="2"/>
    <n v="81"/>
    <x v="3"/>
    <x v="110"/>
    <n v="7"/>
    <x v="0"/>
    <x v="0"/>
  </r>
  <r>
    <n v="120"/>
    <s v="New York"/>
    <s v="14011"/>
    <d v="2015-05-25T09:37:28"/>
    <d v="2015-05-25T09:37:32"/>
    <n v="1"/>
    <n v="4"/>
    <n v="2"/>
    <n v="2"/>
    <n v="1"/>
    <n v="1"/>
    <n v="28.8"/>
    <x v="4"/>
    <x v="111"/>
    <n v="25"/>
    <x v="3"/>
    <x v="15"/>
  </r>
  <r>
    <n v="121"/>
    <s v="Oklahoma"/>
    <s v="74129"/>
    <d v="2015-06-08T14:19:34"/>
    <d v="2015-06-08T10:19:41"/>
    <n v="1"/>
    <n v="2"/>
    <n v="8"/>
    <n v="2"/>
    <n v="1"/>
    <n v="4"/>
    <n v="28.8"/>
    <x v="6"/>
    <x v="112"/>
    <n v="8"/>
    <x v="3"/>
    <x v="13"/>
  </r>
  <r>
    <n v="122"/>
    <s v="Kentucky"/>
    <s v="42420"/>
    <d v="2015-05-12T14:52:07"/>
    <d v="2015-05-12T14:52:11"/>
    <n v="1"/>
    <n v="2"/>
    <n v="2"/>
    <n v="2"/>
    <n v="1"/>
    <n v="1"/>
    <n v="28.8"/>
    <x v="4"/>
    <x v="113"/>
    <n v="12"/>
    <x v="5"/>
    <x v="9"/>
  </r>
  <r>
    <n v="123"/>
    <s v="Georgia"/>
    <s v="31411"/>
    <d v="2015-07-13T17:29:09"/>
    <d v="2015-07-13T17:29:12"/>
    <n v="1"/>
    <n v="8"/>
    <n v="4"/>
    <n v="5"/>
    <n v="1"/>
    <n v="2"/>
    <n v="14.4"/>
    <x v="2"/>
    <x v="114"/>
    <n v="13"/>
    <x v="3"/>
    <x v="8"/>
  </r>
  <r>
    <n v="124"/>
    <s v="Louisiana"/>
    <s v="70433"/>
    <d v="2015-05-28T16:37:43"/>
    <d v="2015-05-28T12:37:45"/>
    <n v="1"/>
    <n v="0"/>
    <n v="2"/>
    <n v="2"/>
    <n v="1"/>
    <n v="1"/>
    <n v="28.8"/>
    <x v="4"/>
    <x v="115"/>
    <n v="28"/>
    <x v="1"/>
    <x v="7"/>
  </r>
  <r>
    <n v="125"/>
    <s v="Texas"/>
    <s v="75067"/>
    <d v="2015-09-13T16:00:00"/>
    <d v="2015-09-13T12:00:05"/>
    <n v="1"/>
    <n v="2"/>
    <n v="2"/>
    <n v="2"/>
    <n v="1"/>
    <n v="4"/>
    <n v="35.200000000000003"/>
    <x v="5"/>
    <x v="116"/>
    <n v="13"/>
    <x v="2"/>
    <x v="7"/>
  </r>
  <r>
    <n v="127"/>
    <s v="Pennsylvania"/>
    <s v="19422"/>
    <d v="2015-05-12T01:55:58"/>
    <d v="2015-05-11T21:56:00"/>
    <n v="1"/>
    <n v="14"/>
    <n v="14"/>
    <n v="5"/>
    <n v="1"/>
    <n v="4"/>
    <n v="28.8"/>
    <x v="4"/>
    <x v="117"/>
    <n v="11"/>
    <x v="3"/>
    <x v="2"/>
  </r>
  <r>
    <n v="128"/>
    <s v="Kentucky"/>
    <s v="40324"/>
    <d v="2015-05-20T16:57:40"/>
    <d v="2015-05-20T16:57:46"/>
    <n v="1"/>
    <n v="2"/>
    <n v="6"/>
    <n v="6"/>
    <n v="1"/>
    <n v="4"/>
    <n v="28.8"/>
    <x v="4"/>
    <x v="118"/>
    <n v="20"/>
    <x v="6"/>
    <x v="4"/>
  </r>
  <r>
    <n v="129"/>
    <s v="Washington"/>
    <s v="98239"/>
    <d v="2015-03-15T16:35:29"/>
    <d v="2015-03-15T16:35:34"/>
    <n v="1"/>
    <n v="0"/>
    <n v="4"/>
    <n v="1"/>
    <n v="1"/>
    <n v="2"/>
    <n v="9"/>
    <x v="8"/>
    <x v="119"/>
    <n v="15"/>
    <x v="2"/>
    <x v="4"/>
  </r>
  <r>
    <n v="130"/>
    <s v="Illinois"/>
    <s v="60178"/>
    <d v="2015-02-10T21:28:36"/>
    <d v="2015-02-10T21:28:44"/>
    <n v="1"/>
    <n v="6"/>
    <n v="4"/>
    <n v="2"/>
    <n v="1"/>
    <n v="2"/>
    <n v="18"/>
    <x v="3"/>
    <x v="120"/>
    <n v="10"/>
    <x v="5"/>
    <x v="2"/>
  </r>
  <r>
    <n v="131"/>
    <s v="North Carolina"/>
    <s v="28277"/>
    <d v="2015-03-16T09:48:31"/>
    <d v="2015-03-16T09:48:34"/>
    <n v="1"/>
    <n v="0"/>
    <n v="4"/>
    <n v="7"/>
    <n v="1"/>
    <n v="4"/>
    <n v="28.8"/>
    <x v="8"/>
    <x v="121"/>
    <n v="16"/>
    <x v="3"/>
    <x v="13"/>
  </r>
  <r>
    <n v="132"/>
    <s v="New York"/>
    <s v="14127"/>
    <d v="2015-07-09T11:32:43"/>
    <d v="2015-07-09T11:32:47"/>
    <n v="1"/>
    <n v="2"/>
    <n v="6"/>
    <n v="2"/>
    <n v="1"/>
    <n v="4"/>
    <n v="28.8"/>
    <x v="2"/>
    <x v="122"/>
    <n v="9"/>
    <x v="1"/>
    <x v="3"/>
  </r>
  <r>
    <n v="133"/>
    <s v="Nebraska"/>
    <s v="68818"/>
    <d v="2015-05-28T11:12:52"/>
    <d v="2015-05-28T11:12:56"/>
    <n v="1"/>
    <n v="4"/>
    <n v="2"/>
    <n v="2"/>
    <n v="1"/>
    <n v="1"/>
    <n v="36"/>
    <x v="4"/>
    <x v="123"/>
    <n v="28"/>
    <x v="1"/>
    <x v="3"/>
  </r>
  <r>
    <n v="134"/>
    <s v="New Hampshire"/>
    <s v="03874"/>
    <d v="2015-09-17T12:28:15"/>
    <d v="2015-09-17T12:28:23"/>
    <n v="1"/>
    <n v="2"/>
    <n v="2"/>
    <n v="2"/>
    <n v="1"/>
    <n v="1"/>
    <n v="70.400000000000006"/>
    <x v="5"/>
    <x v="124"/>
    <n v="17"/>
    <x v="1"/>
    <x v="7"/>
  </r>
  <r>
    <n v="135"/>
    <s v="Arizona"/>
    <s v="85367"/>
    <d v="2015-01-17T09:58:41"/>
    <d v="2015-01-17T09:58:44"/>
    <n v="1"/>
    <n v="0"/>
    <n v="4"/>
    <n v="4"/>
    <n v="1"/>
    <n v="2"/>
    <n v="18"/>
    <x v="1"/>
    <x v="125"/>
    <n v="17"/>
    <x v="0"/>
    <x v="13"/>
  </r>
  <r>
    <n v="136"/>
    <s v="Alabama"/>
    <s v="36093"/>
    <d v="2015-09-08T12:52:25"/>
    <d v="2015-09-08T12:52:35"/>
    <n v="1"/>
    <n v="2"/>
    <n v="4"/>
    <n v="2"/>
    <n v="1"/>
    <n v="1"/>
    <n v="11"/>
    <x v="5"/>
    <x v="126"/>
    <n v="8"/>
    <x v="5"/>
    <x v="7"/>
  </r>
  <r>
    <n v="137"/>
    <s v="Florida"/>
    <s v="33437"/>
    <d v="2015-06-24T15:05:26"/>
    <d v="2015-06-24T15:05:29"/>
    <n v="1"/>
    <n v="2"/>
    <n v="10"/>
    <n v="2"/>
    <n v="1"/>
    <n v="2"/>
    <n v="13.5"/>
    <x v="6"/>
    <x v="127"/>
    <n v="24"/>
    <x v="6"/>
    <x v="10"/>
  </r>
  <r>
    <n v="138"/>
    <s v="Rhode Island"/>
    <s v="02888"/>
    <d v="2015-08-19T20:10:08"/>
    <d v="2015-08-19T20:10:11"/>
    <n v="1"/>
    <n v="0"/>
    <n v="2"/>
    <n v="2"/>
    <n v="1"/>
    <n v="1"/>
    <n v="29.92"/>
    <x v="0"/>
    <x v="128"/>
    <n v="19"/>
    <x v="6"/>
    <x v="5"/>
  </r>
  <r>
    <n v="139"/>
    <s v="Illinois"/>
    <s v="61520"/>
    <d v="2015-08-16T04:45:16"/>
    <d v="2015-08-16T00:45:22"/>
    <n v="1"/>
    <n v="2"/>
    <n v="8"/>
    <n v="3"/>
    <n v="1"/>
    <n v="4"/>
    <n v="36.799999999999997"/>
    <x v="0"/>
    <x v="129"/>
    <n v="16"/>
    <x v="2"/>
    <x v="14"/>
  </r>
  <r>
    <n v="140"/>
    <s v="Pennsylvania"/>
    <s v="16803"/>
    <d v="2015-07-01T19:48:00"/>
    <d v="2015-07-01T15:48:02"/>
    <n v="1"/>
    <n v="4"/>
    <n v="4"/>
    <n v="1"/>
    <n v="1"/>
    <n v="3"/>
    <n v="52.8"/>
    <x v="2"/>
    <x v="130"/>
    <n v="1"/>
    <x v="6"/>
    <x v="10"/>
  </r>
  <r>
    <n v="141"/>
    <s v="Texas"/>
    <s v="77079"/>
    <d v="2015-05-15T13:19:27"/>
    <d v="2015-05-15T13:19:33"/>
    <n v="1"/>
    <n v="9"/>
    <n v="8"/>
    <n v="2"/>
    <n v="1"/>
    <n v="4"/>
    <n v="28.8"/>
    <x v="4"/>
    <x v="131"/>
    <n v="15"/>
    <x v="4"/>
    <x v="17"/>
  </r>
  <r>
    <n v="142"/>
    <s v="Kentucky"/>
    <s v="40509"/>
    <d v="2015-06-19T16:13:06"/>
    <d v="2015-06-19T16:13:10"/>
    <n v="1"/>
    <n v="0"/>
    <n v="2"/>
    <n v="2"/>
    <n v="1"/>
    <n v="4"/>
    <n v="28.8"/>
    <x v="6"/>
    <x v="132"/>
    <n v="19"/>
    <x v="4"/>
    <x v="4"/>
  </r>
  <r>
    <n v="143"/>
    <m/>
    <m/>
    <d v="2015-01-27T09:36:21"/>
    <d v="2015-01-27T09:36:29"/>
    <n v="1"/>
    <n v="0"/>
    <n v="2"/>
    <n v="3"/>
    <n v="1"/>
    <n v="1"/>
    <n v="115.2"/>
    <x v="1"/>
    <x v="133"/>
    <n v="27"/>
    <x v="5"/>
    <x v="15"/>
  </r>
  <r>
    <n v="144"/>
    <m/>
    <m/>
    <d v="2015-04-27T15:46:00"/>
    <d v="2015-04-27T15:46:03"/>
    <n v="1"/>
    <n v="2"/>
    <n v="1"/>
    <n v="1"/>
    <n v="1"/>
    <n v="3"/>
    <n v="27"/>
    <x v="7"/>
    <x v="134"/>
    <n v="27"/>
    <x v="3"/>
    <x v="4"/>
  </r>
  <r>
    <n v="145"/>
    <s v="New York"/>
    <s v="14450"/>
    <d v="2015-05-18T15:24:49"/>
    <d v="2015-08-08T01:32:33"/>
    <n v="10"/>
    <n v="1"/>
    <n v="6"/>
    <n v="6"/>
    <n v="1"/>
    <n v="4"/>
    <n v="35.200000000000003"/>
    <x v="0"/>
    <x v="135"/>
    <n v="5"/>
    <x v="6"/>
    <x v="15"/>
  </r>
  <r>
    <n v="146"/>
    <s v="California"/>
    <s v="93401"/>
    <d v="2015-01-18T03:52:55"/>
    <d v="2015-01-25T15:04:34"/>
    <n v="3"/>
    <n v="2"/>
    <n v="8"/>
    <n v="5"/>
    <n v="1"/>
    <n v="4"/>
    <n v="28.8"/>
    <x v="1"/>
    <x v="136"/>
    <n v="18"/>
    <x v="2"/>
    <x v="19"/>
  </r>
  <r>
    <n v="147"/>
    <m/>
    <m/>
    <d v="2015-04-11T13:12:25"/>
    <d v="2015-04-11T13:12:31"/>
    <n v="1"/>
    <n v="2"/>
    <n v="8"/>
    <n v="3"/>
    <n v="1"/>
    <n v="8"/>
    <n v="57.6"/>
    <x v="7"/>
    <x v="137"/>
    <n v="11"/>
    <x v="0"/>
    <x v="17"/>
  </r>
  <r>
    <n v="148"/>
    <s v="Texas"/>
    <s v="79382"/>
    <d v="2015-01-19T16:21:12"/>
    <d v="2015-01-19T16:21:15"/>
    <n v="1"/>
    <n v="0"/>
    <n v="2"/>
    <n v="3"/>
    <n v="1"/>
    <n v="1"/>
    <n v="36"/>
    <x v="1"/>
    <x v="138"/>
    <n v="19"/>
    <x v="3"/>
    <x v="4"/>
  </r>
  <r>
    <n v="149"/>
    <s v="New Hampshire"/>
    <s v="03598"/>
    <d v="2015-06-19T17:32:43"/>
    <d v="2015-06-19T13:32:48"/>
    <n v="1"/>
    <n v="2"/>
    <n v="4"/>
    <n v="2"/>
    <n v="1"/>
    <n v="2"/>
    <n v="21"/>
    <x v="6"/>
    <x v="139"/>
    <n v="19"/>
    <x v="4"/>
    <x v="17"/>
  </r>
  <r>
    <n v="150"/>
    <s v="Arkansas"/>
    <s v="72015"/>
    <d v="2015-07-12T14:33:44"/>
    <d v="2015-07-12T10:33:45"/>
    <n v="1"/>
    <n v="4"/>
    <n v="10"/>
    <n v="2"/>
    <n v="1"/>
    <n v="5"/>
    <n v="36"/>
    <x v="2"/>
    <x v="140"/>
    <n v="12"/>
    <x v="2"/>
    <x v="13"/>
  </r>
  <r>
    <n v="151"/>
    <s v="Illinois"/>
    <s v="60487"/>
    <d v="2015-02-24T01:24:37"/>
    <d v="2015-02-24T01:29:38"/>
    <n v="3"/>
    <n v="2"/>
    <n v="10"/>
    <n v="1"/>
    <n v="1"/>
    <n v="4"/>
    <n v="28.8"/>
    <x v="3"/>
    <x v="141"/>
    <n v="24"/>
    <x v="5"/>
    <x v="20"/>
  </r>
  <r>
    <n v="152"/>
    <s v="Texas"/>
    <s v="77316"/>
    <d v="2015-08-18T19:24:40"/>
    <d v="2015-08-18T19:24:43"/>
    <n v="1"/>
    <n v="4"/>
    <n v="8"/>
    <n v="4"/>
    <n v="1"/>
    <n v="2"/>
    <n v="17.600000000000001"/>
    <x v="0"/>
    <x v="142"/>
    <n v="18"/>
    <x v="5"/>
    <x v="12"/>
  </r>
  <r>
    <n v="153"/>
    <s v="Mississippi"/>
    <s v="39701"/>
    <d v="2015-01-23T11:44:11"/>
    <d v="2015-01-23T11:44:15"/>
    <n v="1"/>
    <n v="0"/>
    <n v="4"/>
    <n v="2"/>
    <n v="1"/>
    <n v="1"/>
    <n v="28.8"/>
    <x v="1"/>
    <x v="143"/>
    <n v="23"/>
    <x v="4"/>
    <x v="3"/>
  </r>
  <r>
    <n v="154"/>
    <s v="California"/>
    <s v="92126"/>
    <d v="2015-05-31T15:31:38"/>
    <d v="2015-05-31T15:31:41"/>
    <n v="1"/>
    <n v="2"/>
    <n v="2"/>
    <n v="2"/>
    <n v="1"/>
    <n v="4"/>
    <n v="28.8"/>
    <x v="4"/>
    <x v="144"/>
    <n v="31"/>
    <x v="2"/>
    <x v="10"/>
  </r>
  <r>
    <n v="155"/>
    <s v="Florida"/>
    <s v="32320"/>
    <d v="2015-07-05T13:33:18"/>
    <d v="2015-07-05T09:33:24"/>
    <n v="1"/>
    <n v="11"/>
    <n v="8"/>
    <n v="4"/>
    <n v="1"/>
    <n v="4"/>
    <n v="33.6"/>
    <x v="2"/>
    <x v="145"/>
    <n v="5"/>
    <x v="2"/>
    <x v="15"/>
  </r>
  <r>
    <n v="156"/>
    <s v="Minnesota"/>
    <s v="56252"/>
    <d v="2015-07-13T07:37:35"/>
    <d v="2015-07-13T07:37:40"/>
    <n v="1"/>
    <n v="4"/>
    <n v="2"/>
    <n v="4"/>
    <n v="1"/>
    <n v="1"/>
    <n v="57.6"/>
    <x v="2"/>
    <x v="146"/>
    <n v="13"/>
    <x v="3"/>
    <x v="16"/>
  </r>
  <r>
    <n v="157"/>
    <s v="California"/>
    <s v="94538"/>
    <d v="2015-06-06T21:01:40"/>
    <d v="2015-06-06T17:01:46"/>
    <n v="1"/>
    <n v="2"/>
    <n v="2"/>
    <n v="2"/>
    <n v="1"/>
    <n v="1"/>
    <n v="28.8"/>
    <x v="6"/>
    <x v="147"/>
    <n v="6"/>
    <x v="0"/>
    <x v="8"/>
  </r>
  <r>
    <n v="158"/>
    <m/>
    <m/>
    <d v="2015-08-17T00:06:41"/>
    <d v="2015-08-16T20:06:43"/>
    <n v="1"/>
    <n v="0"/>
    <n v="2"/>
    <n v="4"/>
    <n v="1"/>
    <n v="2"/>
    <n v="59.84"/>
    <x v="0"/>
    <x v="148"/>
    <n v="16"/>
    <x v="2"/>
    <x v="5"/>
  </r>
  <r>
    <n v="159"/>
    <s v="Oregon"/>
    <s v="97224"/>
    <d v="2015-01-04T19:36:13"/>
    <d v="2015-01-04T19:36:18"/>
    <n v="1"/>
    <n v="1"/>
    <n v="4"/>
    <n v="2"/>
    <n v="1"/>
    <n v="2"/>
    <n v="9"/>
    <x v="1"/>
    <x v="149"/>
    <n v="4"/>
    <x v="2"/>
    <x v="12"/>
  </r>
  <r>
    <n v="162"/>
    <s v="Minnesota"/>
    <s v="55125"/>
    <d v="2015-04-19T00:07:58"/>
    <d v="2015-04-19T00:08:05"/>
    <n v="1"/>
    <n v="4"/>
    <n v="2"/>
    <n v="1"/>
    <n v="1"/>
    <n v="1"/>
    <n v="9"/>
    <x v="7"/>
    <x v="150"/>
    <n v="19"/>
    <x v="2"/>
    <x v="14"/>
  </r>
  <r>
    <n v="163"/>
    <s v="Ohio"/>
    <s v="44212"/>
    <d v="2015-01-30T09:03:00"/>
    <d v="2015-01-30T09:03:03"/>
    <n v="1"/>
    <n v="6"/>
    <n v="4"/>
    <n v="1"/>
    <n v="1"/>
    <n v="4"/>
    <n v="28.8"/>
    <x v="1"/>
    <x v="151"/>
    <n v="30"/>
    <x v="4"/>
    <x v="15"/>
  </r>
  <r>
    <n v="164"/>
    <s v="Oklahoma"/>
    <s v="74136"/>
    <d v="2015-05-01T13:48:54"/>
    <d v="2015-05-01T13:48:59"/>
    <n v="1"/>
    <n v="2"/>
    <n v="2"/>
    <n v="1"/>
    <n v="1"/>
    <n v="4"/>
    <n v="23.04"/>
    <x v="4"/>
    <x v="152"/>
    <n v="1"/>
    <x v="4"/>
    <x v="17"/>
  </r>
  <r>
    <n v="165"/>
    <s v="Florida"/>
    <s v="33823"/>
    <d v="2015-05-18T23:15:22"/>
    <d v="2015-05-18T23:15:25"/>
    <n v="1"/>
    <n v="4"/>
    <n v="4"/>
    <n v="2"/>
    <n v="1"/>
    <n v="2"/>
    <n v="18"/>
    <x v="4"/>
    <x v="153"/>
    <n v="18"/>
    <x v="3"/>
    <x v="0"/>
  </r>
  <r>
    <n v="166"/>
    <m/>
    <m/>
    <d v="2015-03-23T19:00:25"/>
    <d v="2015-03-23T19:00:30"/>
    <n v="1"/>
    <n v="0"/>
    <n v="20"/>
    <n v="2"/>
    <n v="1"/>
    <n v="8"/>
    <n v="57.6"/>
    <x v="8"/>
    <x v="154"/>
    <n v="23"/>
    <x v="3"/>
    <x v="12"/>
  </r>
  <r>
    <n v="167"/>
    <s v="Missouri"/>
    <s v="63368"/>
    <d v="2015-02-19T10:19:23"/>
    <d v="2015-03-01T11:58:55"/>
    <n v="8"/>
    <n v="0"/>
    <n v="9"/>
    <n v="16"/>
    <n v="1"/>
    <n v="2"/>
    <n v="9"/>
    <x v="3"/>
    <x v="155"/>
    <n v="19"/>
    <x v="1"/>
    <x v="17"/>
  </r>
  <r>
    <n v="168"/>
    <s v="Colorado"/>
    <s v="80128"/>
    <d v="2015-07-01T19:19:29"/>
    <d v="2015-07-01T15:19:31"/>
    <n v="1"/>
    <n v="2"/>
    <n v="12"/>
    <n v="5"/>
    <n v="1"/>
    <n v="3"/>
    <n v="18"/>
    <x v="2"/>
    <x v="156"/>
    <n v="1"/>
    <x v="6"/>
    <x v="10"/>
  </r>
  <r>
    <n v="169"/>
    <s v="New York"/>
    <s v="13140"/>
    <d v="2015-06-19T15:38:14"/>
    <d v="2015-06-19T11:38:19"/>
    <n v="1"/>
    <n v="2"/>
    <n v="4"/>
    <n v="2"/>
    <n v="1"/>
    <n v="4"/>
    <n v="28.8"/>
    <x v="6"/>
    <x v="157"/>
    <n v="19"/>
    <x v="4"/>
    <x v="3"/>
  </r>
  <r>
    <n v="170"/>
    <s v="Texas"/>
    <s v="76262"/>
    <d v="2015-08-31T14:48:00"/>
    <d v="2015-08-31T10:48:04"/>
    <n v="1"/>
    <n v="12"/>
    <n v="8"/>
    <n v="3"/>
    <n v="1"/>
    <n v="3"/>
    <n v="27"/>
    <x v="0"/>
    <x v="158"/>
    <n v="31"/>
    <x v="3"/>
    <x v="13"/>
  </r>
  <r>
    <n v="171"/>
    <s v="Virginia"/>
    <s v="20171"/>
    <d v="2015-02-15T08:36:24"/>
    <d v="2015-02-15T08:36:29"/>
    <n v="1"/>
    <n v="2"/>
    <n v="6"/>
    <n v="1"/>
    <n v="1"/>
    <n v="3"/>
    <n v="18"/>
    <x v="3"/>
    <x v="159"/>
    <n v="15"/>
    <x v="2"/>
    <x v="18"/>
  </r>
  <r>
    <n v="172"/>
    <s v="South Carolina"/>
    <s v="29708"/>
    <d v="2015-01-22T16:02:24"/>
    <d v="2015-01-22T16:02:28"/>
    <n v="1"/>
    <n v="0"/>
    <n v="2"/>
    <n v="2"/>
    <n v="1"/>
    <n v="1"/>
    <n v="28.8"/>
    <x v="1"/>
    <x v="160"/>
    <n v="22"/>
    <x v="1"/>
    <x v="4"/>
  </r>
  <r>
    <n v="173"/>
    <s v="Georgia"/>
    <s v="30307"/>
    <d v="2015-05-28T09:03:57"/>
    <d v="2015-05-28T09:04:00"/>
    <n v="1"/>
    <n v="0"/>
    <n v="2"/>
    <n v="2"/>
    <n v="1"/>
    <n v="1"/>
    <n v="36"/>
    <x v="4"/>
    <x v="161"/>
    <n v="28"/>
    <x v="1"/>
    <x v="15"/>
  </r>
  <r>
    <n v="174"/>
    <s v="New York"/>
    <s v="12534"/>
    <d v="2015-06-02T08:43:29"/>
    <d v="2015-06-02T08:43:34"/>
    <n v="1"/>
    <n v="14"/>
    <n v="18"/>
    <n v="5"/>
    <n v="1"/>
    <n v="4"/>
    <n v="28.8"/>
    <x v="6"/>
    <x v="162"/>
    <n v="2"/>
    <x v="5"/>
    <x v="18"/>
  </r>
  <r>
    <n v="175"/>
    <s v="Kentucky"/>
    <s v="40165"/>
    <d v="2015-06-25T23:54:08"/>
    <d v="2015-06-25T23:54:12"/>
    <n v="1"/>
    <n v="6"/>
    <n v="8"/>
    <n v="4"/>
    <n v="1"/>
    <n v="5"/>
    <n v="54"/>
    <x v="6"/>
    <x v="163"/>
    <n v="25"/>
    <x v="1"/>
    <x v="0"/>
  </r>
  <r>
    <n v="176"/>
    <s v="Massachusetts"/>
    <s v="02035"/>
    <d v="2015-06-23T18:25:05"/>
    <d v="2015-06-23T14:25:11"/>
    <n v="1"/>
    <n v="6"/>
    <n v="4"/>
    <n v="2"/>
    <n v="1"/>
    <n v="2"/>
    <n v="78"/>
    <x v="6"/>
    <x v="164"/>
    <n v="23"/>
    <x v="5"/>
    <x v="9"/>
  </r>
  <r>
    <n v="177"/>
    <s v="Ohio"/>
    <s v="43830"/>
    <d v="2015-09-05T08:05:08"/>
    <d v="2015-09-05T08:05:14"/>
    <n v="1"/>
    <n v="4"/>
    <n v="4"/>
    <n v="2"/>
    <n v="1"/>
    <n v="2"/>
    <n v="49.76"/>
    <x v="5"/>
    <x v="165"/>
    <n v="5"/>
    <x v="0"/>
    <x v="18"/>
  </r>
  <r>
    <n v="178"/>
    <m/>
    <m/>
    <d v="2015-03-04T09:26:57"/>
    <d v="2015-03-04T09:27:06"/>
    <n v="1"/>
    <n v="4"/>
    <n v="8"/>
    <n v="10"/>
    <n v="1"/>
    <n v="4"/>
    <n v="28.8"/>
    <x v="8"/>
    <x v="166"/>
    <n v="4"/>
    <x v="6"/>
    <x v="15"/>
  </r>
  <r>
    <n v="179"/>
    <s v="Ohio"/>
    <s v="44319"/>
    <d v="2015-04-09T18:44:28"/>
    <d v="2015-04-09T18:44:34"/>
    <n v="1"/>
    <n v="0"/>
    <n v="6"/>
    <n v="1"/>
    <n v="1"/>
    <n v="3"/>
    <n v="27"/>
    <x v="7"/>
    <x v="167"/>
    <n v="9"/>
    <x v="1"/>
    <x v="6"/>
  </r>
  <r>
    <n v="180"/>
    <s v="Idaho"/>
    <s v="83642"/>
    <d v="2015-08-12T14:29:48"/>
    <d v="2015-08-12T14:29:51"/>
    <n v="1"/>
    <n v="2"/>
    <n v="2"/>
    <n v="3"/>
    <n v="1"/>
    <n v="1"/>
    <n v="70.400000000000006"/>
    <x v="0"/>
    <x v="168"/>
    <n v="12"/>
    <x v="6"/>
    <x v="9"/>
  </r>
  <r>
    <n v="181"/>
    <s v="Kentucky"/>
    <s v="41101"/>
    <d v="2015-03-18T08:48:38"/>
    <d v="2015-03-18T08:48:43"/>
    <n v="1"/>
    <n v="8"/>
    <n v="12"/>
    <n v="1"/>
    <n v="1"/>
    <n v="5"/>
    <n v="52.8"/>
    <x v="8"/>
    <x v="169"/>
    <n v="18"/>
    <x v="6"/>
    <x v="18"/>
  </r>
  <r>
    <n v="182"/>
    <s v="Maryland"/>
    <s v="20851"/>
    <d v="2015-02-06T01:36:44"/>
    <d v="2015-02-06T01:36:52"/>
    <n v="1"/>
    <n v="2"/>
    <n v="4"/>
    <n v="1"/>
    <n v="1"/>
    <n v="2"/>
    <n v="9"/>
    <x v="3"/>
    <x v="170"/>
    <n v="6"/>
    <x v="4"/>
    <x v="20"/>
  </r>
  <r>
    <n v="183"/>
    <s v="New Jersey"/>
    <s v="07932"/>
    <d v="2015-02-02T15:13:21"/>
    <d v="2015-02-02T15:13:28"/>
    <n v="1"/>
    <n v="4"/>
    <n v="10"/>
    <n v="1"/>
    <n v="1"/>
    <n v="6"/>
    <n v="43.2"/>
    <x v="3"/>
    <x v="171"/>
    <n v="2"/>
    <x v="3"/>
    <x v="10"/>
  </r>
  <r>
    <n v="184"/>
    <s v="California"/>
    <s v="94061"/>
    <d v="2015-08-14T04:39:38"/>
    <d v="2015-08-14T00:39:43"/>
    <n v="1"/>
    <n v="6"/>
    <n v="6"/>
    <n v="2"/>
    <n v="1"/>
    <n v="6"/>
    <n v="48"/>
    <x v="0"/>
    <x v="172"/>
    <n v="14"/>
    <x v="4"/>
    <x v="14"/>
  </r>
  <r>
    <n v="185"/>
    <s v="Pennsylvania"/>
    <s v="19057"/>
    <d v="2015-02-18T15:51:46"/>
    <d v="2015-02-19T19:48:25"/>
    <n v="5"/>
    <n v="0"/>
    <n v="8"/>
    <n v="2"/>
    <n v="1"/>
    <n v="4"/>
    <n v="36"/>
    <x v="3"/>
    <x v="173"/>
    <n v="18"/>
    <x v="6"/>
    <x v="10"/>
  </r>
  <r>
    <n v="186"/>
    <s v="Washington"/>
    <s v="98501"/>
    <d v="2015-01-27T17:06:56"/>
    <d v="2015-02-19T13:03:39"/>
    <n v="2"/>
    <n v="10"/>
    <n v="34"/>
    <n v="7"/>
    <n v="2"/>
    <n v="32"/>
    <n v="63.2"/>
    <x v="1"/>
    <x v="174"/>
    <n v="27"/>
    <x v="5"/>
    <x v="8"/>
  </r>
  <r>
    <n v="187"/>
    <s v="North Carolina"/>
    <s v="27302"/>
    <d v="2015-03-18T07:48:14"/>
    <d v="2015-03-18T07:48:20"/>
    <n v="1"/>
    <n v="2"/>
    <n v="8"/>
    <n v="1"/>
    <n v="1"/>
    <n v="4"/>
    <n v="28.8"/>
    <x v="8"/>
    <x v="175"/>
    <n v="18"/>
    <x v="6"/>
    <x v="16"/>
  </r>
  <r>
    <n v="188"/>
    <s v="Oklahoma"/>
    <s v="73034"/>
    <d v="2015-08-22T10:37:57"/>
    <d v="2015-08-22T22:58:17"/>
    <n v="2"/>
    <n v="13"/>
    <n v="10"/>
    <n v="2"/>
    <n v="1"/>
    <n v="5"/>
    <n v="65.92"/>
    <x v="0"/>
    <x v="176"/>
    <n v="22"/>
    <x v="0"/>
    <x v="13"/>
  </r>
  <r>
    <n v="189"/>
    <s v="New Jersey"/>
    <s v="07458"/>
    <d v="2014-12-03T12:35:07"/>
    <d v="2015-05-26T22:29:40"/>
    <n v="2"/>
    <n v="4"/>
    <n v="2"/>
    <n v="3"/>
    <n v="1"/>
    <n v="4"/>
    <n v="36"/>
    <x v="4"/>
    <x v="177"/>
    <n v="26"/>
    <x v="5"/>
    <x v="1"/>
  </r>
  <r>
    <n v="190"/>
    <s v="Ohio"/>
    <s v="44262"/>
    <d v="2015-07-29T01:52:50"/>
    <d v="2015-07-28T21:52:55"/>
    <n v="1"/>
    <n v="2"/>
    <n v="4"/>
    <n v="4"/>
    <n v="1"/>
    <n v="6"/>
    <n v="52.8"/>
    <x v="2"/>
    <x v="178"/>
    <n v="28"/>
    <x v="5"/>
    <x v="2"/>
  </r>
  <r>
    <n v="191"/>
    <s v="New Hampshire"/>
    <s v="03103"/>
    <d v="2015-06-29T16:48:12"/>
    <d v="2015-06-29T12:48:17"/>
    <n v="1"/>
    <n v="2"/>
    <n v="2"/>
    <n v="2"/>
    <n v="1"/>
    <n v="1"/>
    <n v="28.8"/>
    <x v="6"/>
    <x v="179"/>
    <n v="29"/>
    <x v="3"/>
    <x v="7"/>
  </r>
  <r>
    <n v="192"/>
    <s v="Rhode Island"/>
    <s v="02881"/>
    <d v="2015-01-31T09:12:54"/>
    <d v="2015-01-31T09:12:58"/>
    <n v="1"/>
    <n v="0"/>
    <n v="4"/>
    <n v="1"/>
    <n v="1"/>
    <n v="2"/>
    <n v="9"/>
    <x v="1"/>
    <x v="180"/>
    <n v="31"/>
    <x v="0"/>
    <x v="15"/>
  </r>
  <r>
    <n v="193"/>
    <s v="Texas"/>
    <s v="78749"/>
    <d v="2015-03-19T20:07:17"/>
    <d v="2015-03-19T20:07:21"/>
    <n v="1"/>
    <n v="0"/>
    <n v="8"/>
    <n v="5"/>
    <n v="2"/>
    <n v="8"/>
    <n v="28.8"/>
    <x v="8"/>
    <x v="181"/>
    <n v="19"/>
    <x v="1"/>
    <x v="5"/>
  </r>
  <r>
    <n v="194"/>
    <s v="New York"/>
    <s v="10021"/>
    <d v="2015-05-15T19:44:07"/>
    <d v="2015-05-15T15:44:09"/>
    <n v="1"/>
    <n v="4"/>
    <n v="10"/>
    <n v="5"/>
    <n v="1"/>
    <n v="5"/>
    <n v="36"/>
    <x v="4"/>
    <x v="182"/>
    <n v="15"/>
    <x v="4"/>
    <x v="10"/>
  </r>
  <r>
    <n v="195"/>
    <s v="Arizona"/>
    <s v="85298"/>
    <d v="2015-03-22T15:27:56"/>
    <d v="2015-03-22T15:27:59"/>
    <n v="1"/>
    <n v="2"/>
    <n v="6"/>
    <n v="3"/>
    <n v="1"/>
    <n v="1"/>
    <n v="28.8"/>
    <x v="8"/>
    <x v="183"/>
    <n v="22"/>
    <x v="2"/>
    <x v="10"/>
  </r>
  <r>
    <n v="196"/>
    <s v="New Hampshire"/>
    <s v="03303"/>
    <d v="2015-01-16T21:21:37"/>
    <d v="2015-03-17T09:16:18"/>
    <n v="4"/>
    <n v="1"/>
    <n v="19"/>
    <n v="4"/>
    <n v="2"/>
    <n v="12"/>
    <n v="54"/>
    <x v="1"/>
    <x v="184"/>
    <n v="16"/>
    <x v="4"/>
    <x v="2"/>
  </r>
  <r>
    <n v="197"/>
    <s v="Minnesota"/>
    <s v="55357"/>
    <d v="2015-03-23T11:52:13"/>
    <d v="2015-03-23T11:52:21"/>
    <n v="1"/>
    <n v="2"/>
    <n v="8"/>
    <n v="1"/>
    <n v="1"/>
    <n v="4"/>
    <n v="27"/>
    <x v="8"/>
    <x v="185"/>
    <n v="23"/>
    <x v="3"/>
    <x v="3"/>
  </r>
  <r>
    <n v="198"/>
    <s v="Arizona"/>
    <s v="85268"/>
    <d v="2015-05-25T11:54:37"/>
    <d v="2015-05-25T11:54:40"/>
    <n v="1"/>
    <n v="2"/>
    <n v="2"/>
    <n v="2"/>
    <n v="1"/>
    <n v="1"/>
    <n v="28.8"/>
    <x v="4"/>
    <x v="186"/>
    <n v="25"/>
    <x v="3"/>
    <x v="3"/>
  </r>
  <r>
    <n v="200"/>
    <s v="California"/>
    <s v="91602"/>
    <d v="2015-05-22T11:41:12"/>
    <d v="2015-05-22T11:41:15"/>
    <n v="1"/>
    <n v="6"/>
    <n v="4"/>
    <n v="2"/>
    <n v="1"/>
    <n v="2"/>
    <n v="18"/>
    <x v="4"/>
    <x v="187"/>
    <n v="22"/>
    <x v="4"/>
    <x v="3"/>
  </r>
  <r>
    <n v="201"/>
    <s v="Massachusetts"/>
    <s v="01020"/>
    <d v="2015-08-30T12:21:59"/>
    <d v="2015-08-30T12:22:02"/>
    <n v="1"/>
    <n v="2"/>
    <n v="2"/>
    <n v="3"/>
    <n v="1"/>
    <n v="1"/>
    <n v="56.32"/>
    <x v="0"/>
    <x v="188"/>
    <n v="30"/>
    <x v="2"/>
    <x v="7"/>
  </r>
  <r>
    <n v="202"/>
    <s v="Connecticut"/>
    <s v="06082"/>
    <d v="2015-02-28T17:31:38"/>
    <d v="2015-02-28T20:19:21"/>
    <n v="2"/>
    <n v="4"/>
    <n v="14"/>
    <n v="4"/>
    <n v="1"/>
    <n v="3"/>
    <n v="61.6"/>
    <x v="3"/>
    <x v="189"/>
    <n v="28"/>
    <x v="0"/>
    <x v="8"/>
  </r>
  <r>
    <n v="203"/>
    <s v="Texas"/>
    <s v="77379"/>
    <d v="2015-01-11T19:49:28"/>
    <d v="2015-01-11T19:49:36"/>
    <n v="1"/>
    <n v="4"/>
    <n v="2"/>
    <n v="3"/>
    <n v="1"/>
    <n v="4"/>
    <n v="28.8"/>
    <x v="1"/>
    <x v="190"/>
    <n v="11"/>
    <x v="2"/>
    <x v="12"/>
  </r>
  <r>
    <n v="205"/>
    <s v="New Jersey"/>
    <s v="07446"/>
    <d v="2015-03-15T20:01:35"/>
    <d v="2015-03-15T20:01:41"/>
    <n v="1"/>
    <n v="0"/>
    <n v="4"/>
    <n v="3"/>
    <n v="1"/>
    <n v="2"/>
    <n v="18"/>
    <x v="8"/>
    <x v="191"/>
    <n v="15"/>
    <x v="2"/>
    <x v="5"/>
  </r>
  <r>
    <n v="206"/>
    <s v="Minnesota"/>
    <s v="55322"/>
    <d v="2015-04-01T10:11:58"/>
    <d v="2015-04-01T10:12:03"/>
    <n v="1"/>
    <n v="2"/>
    <n v="2"/>
    <n v="1"/>
    <n v="1"/>
    <n v="1"/>
    <n v="36"/>
    <x v="7"/>
    <x v="192"/>
    <n v="1"/>
    <x v="6"/>
    <x v="13"/>
  </r>
  <r>
    <n v="207"/>
    <s v="Ohio"/>
    <s v="44122"/>
    <d v="2015-07-10T07:52:22"/>
    <d v="2015-07-10T07:52:27"/>
    <n v="1"/>
    <n v="6"/>
    <n v="4"/>
    <n v="2"/>
    <n v="1"/>
    <n v="2"/>
    <n v="64.8"/>
    <x v="2"/>
    <x v="193"/>
    <n v="10"/>
    <x v="4"/>
    <x v="16"/>
  </r>
  <r>
    <n v="208"/>
    <s v="Connecticut"/>
    <s v="06511"/>
    <d v="2015-01-11T02:03:13"/>
    <d v="2015-01-11T02:03:19"/>
    <n v="1"/>
    <n v="2"/>
    <n v="4"/>
    <n v="4"/>
    <n v="1"/>
    <n v="2"/>
    <n v="9"/>
    <x v="1"/>
    <x v="194"/>
    <n v="11"/>
    <x v="2"/>
    <x v="21"/>
  </r>
  <r>
    <n v="209"/>
    <m/>
    <m/>
    <d v="2015-03-05T14:26:23"/>
    <d v="2015-03-05T14:26:27"/>
    <n v="1"/>
    <n v="2"/>
    <n v="10"/>
    <n v="3"/>
    <n v="1"/>
    <n v="2"/>
    <n v="14.4"/>
    <x v="8"/>
    <x v="195"/>
    <n v="5"/>
    <x v="1"/>
    <x v="9"/>
  </r>
  <r>
    <n v="210"/>
    <s v="Minnesota"/>
    <s v="55079"/>
    <d v="2015-01-28T20:18:55"/>
    <d v="2015-01-28T20:19:02"/>
    <n v="1"/>
    <n v="0"/>
    <n v="6"/>
    <n v="1"/>
    <n v="1"/>
    <n v="3"/>
    <n v="21.6"/>
    <x v="1"/>
    <x v="196"/>
    <n v="28"/>
    <x v="6"/>
    <x v="5"/>
  </r>
  <r>
    <n v="211"/>
    <s v="California"/>
    <s v="95410"/>
    <d v="2015-01-15T21:39:55"/>
    <d v="2015-01-15T21:39:59"/>
    <n v="1"/>
    <n v="0"/>
    <n v="4"/>
    <n v="2"/>
    <n v="1"/>
    <n v="2"/>
    <n v="9"/>
    <x v="1"/>
    <x v="197"/>
    <n v="15"/>
    <x v="1"/>
    <x v="2"/>
  </r>
  <r>
    <n v="212"/>
    <s v="Pennsylvania"/>
    <s v="19064"/>
    <d v="2015-07-27T12:21:44"/>
    <d v="2015-07-27T12:21:47"/>
    <n v="1"/>
    <n v="6"/>
    <n v="2"/>
    <n v="5"/>
    <n v="1"/>
    <n v="1"/>
    <n v="29.92"/>
    <x v="2"/>
    <x v="198"/>
    <n v="27"/>
    <x v="3"/>
    <x v="7"/>
  </r>
  <r>
    <n v="213"/>
    <s v="Virginia"/>
    <s v="22312"/>
    <d v="2015-07-14T02:26:50"/>
    <d v="2015-07-13T22:26:55"/>
    <n v="1"/>
    <n v="12"/>
    <n v="12"/>
    <n v="6"/>
    <n v="1"/>
    <n v="5"/>
    <n v="172.8"/>
    <x v="2"/>
    <x v="199"/>
    <n v="13"/>
    <x v="3"/>
    <x v="1"/>
  </r>
  <r>
    <n v="214"/>
    <s v="Tennessee"/>
    <s v="37912"/>
    <d v="2015-01-19T05:20:04"/>
    <d v="2015-01-19T05:20:08"/>
    <n v="1"/>
    <n v="1"/>
    <n v="4"/>
    <n v="2"/>
    <n v="1"/>
    <n v="2"/>
    <n v="18"/>
    <x v="1"/>
    <x v="200"/>
    <n v="19"/>
    <x v="3"/>
    <x v="22"/>
  </r>
  <r>
    <n v="215"/>
    <s v="California"/>
    <s v="94117"/>
    <d v="2015-06-22T23:57:25"/>
    <d v="2015-06-22T23:57:29"/>
    <n v="1"/>
    <n v="2"/>
    <n v="4"/>
    <n v="2"/>
    <n v="1"/>
    <n v="3"/>
    <n v="86.4"/>
    <x v="6"/>
    <x v="201"/>
    <n v="22"/>
    <x v="3"/>
    <x v="0"/>
  </r>
  <r>
    <n v="216"/>
    <s v="Missouri"/>
    <s v="64155"/>
    <d v="2015-01-22T19:11:00"/>
    <d v="2015-01-22T19:11:04"/>
    <n v="1"/>
    <n v="0"/>
    <n v="4"/>
    <n v="2"/>
    <n v="1"/>
    <n v="2"/>
    <n v="9"/>
    <x v="1"/>
    <x v="202"/>
    <n v="22"/>
    <x v="1"/>
    <x v="12"/>
  </r>
  <r>
    <n v="217"/>
    <s v="Michigan"/>
    <s v="48642"/>
    <d v="2015-08-11T10:34:04"/>
    <d v="2015-08-11T10:34:08"/>
    <n v="1"/>
    <n v="4"/>
    <n v="4"/>
    <n v="2"/>
    <n v="1"/>
    <n v="2"/>
    <n v="38.72"/>
    <x v="0"/>
    <x v="203"/>
    <n v="11"/>
    <x v="5"/>
    <x v="13"/>
  </r>
  <r>
    <n v="219"/>
    <m/>
    <m/>
    <d v="2015-06-08T19:21:38"/>
    <d v="2015-08-21T07:20:27"/>
    <n v="22"/>
    <n v="24"/>
    <n v="21"/>
    <n v="17"/>
    <n v="1"/>
    <n v="2"/>
    <n v="31.5"/>
    <x v="0"/>
    <x v="204"/>
    <n v="21"/>
    <x v="4"/>
    <x v="16"/>
  </r>
  <r>
    <n v="220"/>
    <s v="Florida"/>
    <s v="33157"/>
    <d v="2015-04-23T13:56:41"/>
    <d v="2015-04-23T13:56:45"/>
    <n v="1"/>
    <n v="2"/>
    <n v="4"/>
    <n v="1"/>
    <n v="1"/>
    <n v="2"/>
    <n v="18"/>
    <x v="7"/>
    <x v="205"/>
    <n v="23"/>
    <x v="1"/>
    <x v="17"/>
  </r>
  <r>
    <n v="221"/>
    <s v="District of Columbia"/>
    <s v="20003"/>
    <d v="2015-05-15T15:04:21"/>
    <d v="2015-05-15T15:04:24"/>
    <n v="1"/>
    <n v="0"/>
    <n v="2"/>
    <n v="2"/>
    <n v="1"/>
    <n v="4"/>
    <n v="28.8"/>
    <x v="4"/>
    <x v="206"/>
    <n v="15"/>
    <x v="4"/>
    <x v="10"/>
  </r>
  <r>
    <n v="222"/>
    <s v="Maryland"/>
    <s v="21201"/>
    <d v="2015-06-13T12:10:50"/>
    <d v="2015-06-13T12:10:55"/>
    <n v="1"/>
    <n v="4"/>
    <n v="8"/>
    <n v="2"/>
    <n v="1"/>
    <n v="7"/>
    <n v="47.25"/>
    <x v="6"/>
    <x v="207"/>
    <n v="13"/>
    <x v="0"/>
    <x v="7"/>
  </r>
  <r>
    <n v="223"/>
    <s v="Maryland"/>
    <s v="20744"/>
    <d v="2015-03-21T08:28:38"/>
    <d v="2015-03-21T08:28:46"/>
    <n v="1"/>
    <n v="8"/>
    <n v="18"/>
    <n v="3"/>
    <n v="1"/>
    <n v="8"/>
    <n v="70"/>
    <x v="8"/>
    <x v="208"/>
    <n v="21"/>
    <x v="0"/>
    <x v="18"/>
  </r>
  <r>
    <n v="224"/>
    <s v="Massachusetts"/>
    <s v="01845"/>
    <d v="2015-02-22T12:12:52"/>
    <d v="2015-02-22T12:12:57"/>
    <n v="1"/>
    <n v="0"/>
    <n v="8"/>
    <n v="1"/>
    <n v="1"/>
    <n v="4"/>
    <n v="28.8"/>
    <x v="3"/>
    <x v="209"/>
    <n v="22"/>
    <x v="2"/>
    <x v="7"/>
  </r>
  <r>
    <n v="225"/>
    <s v="Texas"/>
    <s v="77407"/>
    <d v="2015-02-11T18:08:36"/>
    <d v="2015-02-20T14:41:56"/>
    <n v="5"/>
    <n v="10"/>
    <n v="13"/>
    <n v="8"/>
    <n v="1"/>
    <n v="4"/>
    <n v="201.6"/>
    <x v="3"/>
    <x v="210"/>
    <n v="11"/>
    <x v="6"/>
    <x v="6"/>
  </r>
  <r>
    <n v="226"/>
    <s v="Illinois"/>
    <s v="60606"/>
    <d v="2015-08-13T12:17:52"/>
    <d v="2015-08-13T12:17:54"/>
    <n v="1"/>
    <n v="2"/>
    <n v="2"/>
    <n v="2"/>
    <n v="1"/>
    <n v="2"/>
    <n v="59.84"/>
    <x v="0"/>
    <x v="211"/>
    <n v="13"/>
    <x v="1"/>
    <x v="7"/>
  </r>
  <r>
    <n v="227"/>
    <s v="California"/>
    <s v="95123"/>
    <d v="2015-09-03T17:57:51"/>
    <d v="2015-09-03T13:57:56"/>
    <n v="1"/>
    <n v="2"/>
    <n v="4"/>
    <n v="3"/>
    <n v="1"/>
    <n v="2"/>
    <n v="22"/>
    <x v="5"/>
    <x v="212"/>
    <n v="3"/>
    <x v="1"/>
    <x v="17"/>
  </r>
  <r>
    <n v="228"/>
    <s v="Washington"/>
    <s v="98112"/>
    <d v="2015-01-22T01:52:56"/>
    <d v="2015-01-22T01:53:00"/>
    <n v="1"/>
    <n v="0"/>
    <n v="2"/>
    <n v="2"/>
    <n v="1"/>
    <n v="5"/>
    <n v="36"/>
    <x v="1"/>
    <x v="213"/>
    <n v="22"/>
    <x v="1"/>
    <x v="20"/>
  </r>
  <r>
    <n v="229"/>
    <s v="Oregon"/>
    <s v="97301"/>
    <d v="2015-05-14T20:34:31"/>
    <d v="2015-05-14T20:34:36"/>
    <n v="1"/>
    <n v="0"/>
    <n v="2"/>
    <n v="2"/>
    <n v="1"/>
    <n v="3"/>
    <n v="21.6"/>
    <x v="4"/>
    <x v="214"/>
    <n v="14"/>
    <x v="1"/>
    <x v="5"/>
  </r>
  <r>
    <n v="230"/>
    <s v="South Carolina"/>
    <s v="29201"/>
    <d v="2015-01-21T09:44:37"/>
    <d v="2015-01-21T09:44:41"/>
    <n v="1"/>
    <n v="2"/>
    <n v="8"/>
    <n v="2"/>
    <n v="1"/>
    <n v="4"/>
    <n v="28.8"/>
    <x v="1"/>
    <x v="215"/>
    <n v="21"/>
    <x v="6"/>
    <x v="15"/>
  </r>
  <r>
    <n v="231"/>
    <s v="California"/>
    <s v="90039"/>
    <d v="2015-05-19T14:14:50"/>
    <d v="2015-05-19T14:14:54"/>
    <n v="1"/>
    <n v="2"/>
    <n v="10"/>
    <n v="2"/>
    <n v="1"/>
    <n v="1"/>
    <n v="57.6"/>
    <x v="4"/>
    <x v="216"/>
    <n v="19"/>
    <x v="5"/>
    <x v="9"/>
  </r>
  <r>
    <n v="232"/>
    <s v="Oregon"/>
    <s v="97030"/>
    <d v="2015-06-28T16:26:48"/>
    <d v="2015-06-28T12:26:52"/>
    <n v="1"/>
    <n v="6"/>
    <n v="4"/>
    <n v="2"/>
    <n v="1"/>
    <n v="1"/>
    <n v="28.8"/>
    <x v="6"/>
    <x v="217"/>
    <n v="28"/>
    <x v="2"/>
    <x v="7"/>
  </r>
  <r>
    <n v="233"/>
    <s v="Florida"/>
    <s v="33897"/>
    <d v="2015-08-20T19:06:50"/>
    <d v="2015-08-21T17:25:29"/>
    <n v="5"/>
    <n v="0"/>
    <n v="2"/>
    <n v="4"/>
    <n v="1"/>
    <n v="1"/>
    <n v="28.05"/>
    <x v="0"/>
    <x v="218"/>
    <n v="20"/>
    <x v="1"/>
    <x v="12"/>
  </r>
  <r>
    <n v="234"/>
    <s v="Louisiana"/>
    <s v="70508"/>
    <d v="2015-03-21T00:13:58"/>
    <d v="2015-03-21T20:53:32"/>
    <n v="2"/>
    <n v="2"/>
    <n v="4"/>
    <n v="1"/>
    <n v="1"/>
    <n v="4"/>
    <n v="28.8"/>
    <x v="8"/>
    <x v="219"/>
    <n v="21"/>
    <x v="0"/>
    <x v="14"/>
  </r>
  <r>
    <n v="235"/>
    <s v="Kentucky"/>
    <s v="40242"/>
    <d v="2015-02-05T16:30:09"/>
    <d v="2015-02-05T19:58:02"/>
    <n v="3"/>
    <n v="0"/>
    <n v="8"/>
    <n v="2"/>
    <n v="1"/>
    <n v="4"/>
    <n v="36"/>
    <x v="3"/>
    <x v="220"/>
    <n v="5"/>
    <x v="1"/>
    <x v="4"/>
  </r>
  <r>
    <n v="236"/>
    <s v="California"/>
    <s v="94530"/>
    <d v="2015-04-14T12:27:39"/>
    <d v="2015-04-14T12:27:44"/>
    <n v="1"/>
    <n v="0"/>
    <n v="6"/>
    <n v="1"/>
    <n v="1"/>
    <n v="3"/>
    <n v="18"/>
    <x v="7"/>
    <x v="221"/>
    <n v="14"/>
    <x v="5"/>
    <x v="7"/>
  </r>
  <r>
    <n v="237"/>
    <s v="Nebraska"/>
    <s v="69130"/>
    <d v="2015-08-15T22:31:51"/>
    <d v="2015-08-15T18:31:53"/>
    <n v="1"/>
    <n v="14"/>
    <n v="8"/>
    <n v="2"/>
    <n v="1"/>
    <n v="4"/>
    <n v="124.96"/>
    <x v="0"/>
    <x v="222"/>
    <n v="15"/>
    <x v="0"/>
    <x v="6"/>
  </r>
  <r>
    <n v="238"/>
    <m/>
    <m/>
    <d v="2015-06-11T18:35:59"/>
    <d v="2015-06-11T17:02:42"/>
    <n v="3"/>
    <n v="0"/>
    <n v="3"/>
    <n v="7"/>
    <n v="1"/>
    <n v="2"/>
    <n v="14.4"/>
    <x v="6"/>
    <x v="223"/>
    <n v="11"/>
    <x v="1"/>
    <x v="9"/>
  </r>
  <r>
    <n v="239"/>
    <s v="California"/>
    <s v="94110"/>
    <d v="2015-01-27T16:16:08"/>
    <d v="2015-01-27T16:16:12"/>
    <n v="1"/>
    <n v="2"/>
    <n v="14"/>
    <n v="3"/>
    <n v="1"/>
    <n v="4"/>
    <n v="30.6"/>
    <x v="1"/>
    <x v="224"/>
    <n v="27"/>
    <x v="5"/>
    <x v="4"/>
  </r>
  <r>
    <n v="240"/>
    <s v="California"/>
    <s v="93619"/>
    <d v="2015-08-19T12:29:25"/>
    <d v="2015-08-19T12:29:28"/>
    <n v="1"/>
    <n v="2"/>
    <n v="6"/>
    <n v="2"/>
    <n v="1"/>
    <n v="4"/>
    <n v="35.200000000000003"/>
    <x v="0"/>
    <x v="225"/>
    <n v="19"/>
    <x v="6"/>
    <x v="7"/>
  </r>
  <r>
    <n v="241"/>
    <s v="Washington"/>
    <s v="98034"/>
    <d v="2015-06-12T17:42:30"/>
    <d v="2015-06-12T13:42:34"/>
    <n v="1"/>
    <n v="2"/>
    <n v="2"/>
    <n v="2"/>
    <n v="1"/>
    <n v="4"/>
    <n v="28.8"/>
    <x v="6"/>
    <x v="226"/>
    <n v="12"/>
    <x v="4"/>
    <x v="17"/>
  </r>
  <r>
    <n v="242"/>
    <s v="Virginia"/>
    <s v="23701"/>
    <d v="2015-07-13T20:36:36"/>
    <d v="2015-07-13T16:36:40"/>
    <n v="1"/>
    <n v="0"/>
    <n v="2"/>
    <n v="2"/>
    <n v="1"/>
    <n v="1"/>
    <n v="6.75"/>
    <x v="2"/>
    <x v="227"/>
    <n v="13"/>
    <x v="3"/>
    <x v="4"/>
  </r>
  <r>
    <n v="243"/>
    <s v="Kentucky"/>
    <s v="40516"/>
    <d v="2015-01-27T22:33:38"/>
    <d v="2015-01-27T22:33:43"/>
    <n v="1"/>
    <n v="0"/>
    <n v="4"/>
    <n v="1"/>
    <n v="1"/>
    <n v="2"/>
    <n v="18"/>
    <x v="1"/>
    <x v="228"/>
    <n v="27"/>
    <x v="5"/>
    <x v="1"/>
  </r>
  <r>
    <n v="244"/>
    <s v="Tennessee"/>
    <s v="38237"/>
    <d v="2015-09-03T15:39:53"/>
    <d v="2015-09-03T11:39:58"/>
    <n v="1"/>
    <n v="0"/>
    <n v="2"/>
    <n v="2"/>
    <n v="1"/>
    <n v="1"/>
    <n v="112.64"/>
    <x v="5"/>
    <x v="229"/>
    <n v="3"/>
    <x v="1"/>
    <x v="3"/>
  </r>
  <r>
    <n v="245"/>
    <s v="Georgia"/>
    <s v="30022"/>
    <d v="2015-08-10T22:25:24"/>
    <d v="2015-08-10T22:25:28"/>
    <n v="1"/>
    <n v="4"/>
    <n v="6"/>
    <n v="7"/>
    <n v="1"/>
    <n v="1"/>
    <n v="56.32"/>
    <x v="0"/>
    <x v="230"/>
    <n v="10"/>
    <x v="3"/>
    <x v="1"/>
  </r>
  <r>
    <n v="246"/>
    <s v="California"/>
    <s v="93428"/>
    <d v="2015-03-08T22:05:38"/>
    <d v="2015-03-08T22:05:43"/>
    <n v="1"/>
    <n v="0"/>
    <n v="8"/>
    <n v="1"/>
    <n v="1"/>
    <n v="4"/>
    <n v="28.8"/>
    <x v="8"/>
    <x v="231"/>
    <n v="8"/>
    <x v="2"/>
    <x v="1"/>
  </r>
  <r>
    <n v="247"/>
    <s v="Colorado"/>
    <s v="80014"/>
    <d v="2015-05-19T16:09:43"/>
    <d v="2015-05-19T12:09:45"/>
    <n v="1"/>
    <n v="16"/>
    <n v="14"/>
    <n v="4"/>
    <n v="1"/>
    <n v="4"/>
    <n v="27"/>
    <x v="4"/>
    <x v="232"/>
    <n v="19"/>
    <x v="5"/>
    <x v="7"/>
  </r>
  <r>
    <n v="248"/>
    <s v="Virginia"/>
    <s v="23602"/>
    <d v="2015-09-02T21:07:57"/>
    <d v="2015-09-02T19:27:22"/>
    <n v="3"/>
    <n v="11"/>
    <n v="8"/>
    <n v="2"/>
    <n v="1"/>
    <n v="4"/>
    <n v="33"/>
    <x v="5"/>
    <x v="233"/>
    <n v="2"/>
    <x v="6"/>
    <x v="8"/>
  </r>
  <r>
    <n v="249"/>
    <s v="Pennsylvania"/>
    <s v="17603"/>
    <d v="2015-06-22T14:48:17"/>
    <d v="2015-07-17T11:26:32"/>
    <n v="5"/>
    <n v="3"/>
    <n v="5"/>
    <n v="8"/>
    <n v="1"/>
    <n v="4"/>
    <n v="35.200000000000003"/>
    <x v="2"/>
    <x v="234"/>
    <n v="16"/>
    <x v="1"/>
    <x v="13"/>
  </r>
  <r>
    <n v="250"/>
    <s v="Colorado"/>
    <s v="80525"/>
    <d v="2015-01-23T11:30:57"/>
    <d v="2015-01-23T11:31:25"/>
    <n v="1"/>
    <n v="4"/>
    <n v="6"/>
    <n v="2"/>
    <n v="1"/>
    <n v="3"/>
    <n v="21.6"/>
    <x v="1"/>
    <x v="235"/>
    <n v="23"/>
    <x v="4"/>
    <x v="3"/>
  </r>
  <r>
    <n v="251"/>
    <s v="Ohio"/>
    <s v="43054"/>
    <d v="2015-06-11T11:20:57"/>
    <d v="2015-06-11T11:21:00"/>
    <n v="1"/>
    <n v="2"/>
    <n v="4"/>
    <n v="8"/>
    <n v="1"/>
    <n v="4"/>
    <n v="28.8"/>
    <x v="6"/>
    <x v="236"/>
    <n v="11"/>
    <x v="1"/>
    <x v="3"/>
  </r>
  <r>
    <n v="252"/>
    <s v="Texas"/>
    <s v="78741"/>
    <d v="2015-06-26T16:04:21"/>
    <d v="2015-06-26T12:04:25"/>
    <n v="1"/>
    <n v="8"/>
    <n v="2"/>
    <n v="2"/>
    <n v="1"/>
    <n v="1"/>
    <n v="28.8"/>
    <x v="6"/>
    <x v="237"/>
    <n v="26"/>
    <x v="4"/>
    <x v="7"/>
  </r>
  <r>
    <n v="253"/>
    <s v="Connecticut"/>
    <s v="06237"/>
    <d v="2015-05-23T12:20:36"/>
    <d v="2015-05-23T12:20:40"/>
    <n v="1"/>
    <n v="4"/>
    <n v="2"/>
    <n v="7"/>
    <n v="1"/>
    <n v="1"/>
    <n v="57.6"/>
    <x v="4"/>
    <x v="238"/>
    <n v="23"/>
    <x v="0"/>
    <x v="7"/>
  </r>
  <r>
    <n v="254"/>
    <s v="Washington"/>
    <s v="98327"/>
    <d v="2015-02-21T09:51:51"/>
    <d v="2015-02-21T09:51:55"/>
    <n v="1"/>
    <n v="0"/>
    <n v="2"/>
    <n v="2"/>
    <n v="1"/>
    <n v="4"/>
    <n v="28.8"/>
    <x v="3"/>
    <x v="239"/>
    <n v="21"/>
    <x v="0"/>
    <x v="15"/>
  </r>
  <r>
    <n v="255"/>
    <m/>
    <m/>
    <d v="2015-07-20T05:34:03"/>
    <d v="2015-07-20T01:34:04"/>
    <n v="1"/>
    <n v="2"/>
    <n v="3"/>
    <n v="2"/>
    <n v="1"/>
    <n v="2"/>
    <n v="59.84"/>
    <x v="2"/>
    <x v="240"/>
    <n v="20"/>
    <x v="3"/>
    <x v="20"/>
  </r>
  <r>
    <n v="256"/>
    <m/>
    <m/>
    <d v="2015-02-05T11:00:15"/>
    <d v="2015-02-16T12:59:42"/>
    <n v="2"/>
    <n v="0"/>
    <n v="3"/>
    <n v="5"/>
    <n v="1"/>
    <n v="2"/>
    <n v="18"/>
    <x v="3"/>
    <x v="241"/>
    <n v="5"/>
    <x v="1"/>
    <x v="3"/>
  </r>
  <r>
    <n v="257"/>
    <s v="Massachusetts"/>
    <s v="01945"/>
    <d v="2015-07-12T15:45:02"/>
    <d v="2015-07-12T11:45:08"/>
    <n v="1"/>
    <n v="10"/>
    <n v="16"/>
    <n v="2"/>
    <n v="1"/>
    <n v="7"/>
    <n v="47.2"/>
    <x v="2"/>
    <x v="242"/>
    <n v="12"/>
    <x v="2"/>
    <x v="3"/>
  </r>
  <r>
    <n v="258"/>
    <s v="Tennessee"/>
    <s v="37075"/>
    <d v="2015-09-11T16:28:36"/>
    <d v="2015-09-11T16:28:40"/>
    <n v="1"/>
    <n v="8"/>
    <n v="12"/>
    <n v="2"/>
    <n v="1"/>
    <n v="6"/>
    <n v="68"/>
    <x v="5"/>
    <x v="243"/>
    <n v="11"/>
    <x v="4"/>
    <x v="4"/>
  </r>
  <r>
    <n v="259"/>
    <s v="Illinois"/>
    <s v="60014"/>
    <d v="2015-07-08T15:33:31"/>
    <d v="2015-07-08T11:33:36"/>
    <n v="1"/>
    <n v="0"/>
    <n v="2"/>
    <n v="4"/>
    <n v="1"/>
    <n v="1"/>
    <n v="27"/>
    <x v="2"/>
    <x v="244"/>
    <n v="8"/>
    <x v="6"/>
    <x v="3"/>
  </r>
  <r>
    <n v="260"/>
    <s v="California"/>
    <s v="94044"/>
    <d v="2015-07-01T20:25:58"/>
    <d v="2015-07-01T16:26:02"/>
    <n v="1"/>
    <n v="2"/>
    <n v="2"/>
    <n v="2"/>
    <n v="1"/>
    <n v="1"/>
    <n v="36"/>
    <x v="2"/>
    <x v="245"/>
    <n v="1"/>
    <x v="6"/>
    <x v="4"/>
  </r>
  <r>
    <n v="261"/>
    <s v="Michigan"/>
    <s v="48073"/>
    <d v="2015-06-02T20:02:17"/>
    <d v="2015-06-02T20:02:21"/>
    <n v="1"/>
    <n v="2"/>
    <n v="8"/>
    <n v="2"/>
    <n v="1"/>
    <n v="4"/>
    <n v="36"/>
    <x v="6"/>
    <x v="246"/>
    <n v="2"/>
    <x v="5"/>
    <x v="5"/>
  </r>
  <r>
    <n v="262"/>
    <s v="Pennsylvania"/>
    <s v="19040"/>
    <d v="2015-02-13T16:56:56"/>
    <d v="2015-02-13T16:57:01"/>
    <n v="1"/>
    <n v="0"/>
    <n v="4"/>
    <n v="1"/>
    <n v="1"/>
    <n v="2"/>
    <n v="9"/>
    <x v="3"/>
    <x v="247"/>
    <n v="13"/>
    <x v="4"/>
    <x v="4"/>
  </r>
  <r>
    <n v="263"/>
    <s v="California"/>
    <s v="92833"/>
    <d v="2015-06-19T17:41:02"/>
    <d v="2015-06-19T17:41:05"/>
    <n v="1"/>
    <n v="8"/>
    <n v="4"/>
    <n v="2"/>
    <n v="1"/>
    <n v="5"/>
    <n v="45"/>
    <x v="6"/>
    <x v="248"/>
    <n v="19"/>
    <x v="4"/>
    <x v="8"/>
  </r>
  <r>
    <n v="264"/>
    <s v="Rhode Island"/>
    <s v="02910"/>
    <d v="2015-06-07T17:14:15"/>
    <d v="2015-06-07T13:14:17"/>
    <n v="1"/>
    <n v="4"/>
    <n v="6"/>
    <n v="5"/>
    <n v="1"/>
    <n v="2"/>
    <n v="14.4"/>
    <x v="6"/>
    <x v="249"/>
    <n v="7"/>
    <x v="2"/>
    <x v="17"/>
  </r>
  <r>
    <n v="265"/>
    <m/>
    <m/>
    <d v="2015-03-19T09:51:24"/>
    <d v="2015-03-19T09:51:29"/>
    <n v="1"/>
    <n v="2"/>
    <n v="13"/>
    <n v="2"/>
    <n v="1"/>
    <n v="8"/>
    <n v="57.6"/>
    <x v="8"/>
    <x v="250"/>
    <n v="19"/>
    <x v="1"/>
    <x v="15"/>
  </r>
  <r>
    <n v="266"/>
    <s v="Massachusetts"/>
    <s v="01843"/>
    <d v="2015-05-15T23:44:45"/>
    <d v="2015-05-15T23:44:48"/>
    <n v="1"/>
    <n v="0"/>
    <n v="2"/>
    <n v="2"/>
    <n v="1"/>
    <n v="2"/>
    <n v="14.4"/>
    <x v="4"/>
    <x v="251"/>
    <n v="15"/>
    <x v="4"/>
    <x v="0"/>
  </r>
  <r>
    <n v="267"/>
    <s v="Florida"/>
    <s v="33444"/>
    <d v="2015-08-30T13:29:40"/>
    <d v="2015-08-30T09:29:46"/>
    <n v="1"/>
    <n v="4"/>
    <n v="4"/>
    <n v="2"/>
    <n v="1"/>
    <n v="3"/>
    <n v="121.44"/>
    <x v="0"/>
    <x v="252"/>
    <n v="30"/>
    <x v="2"/>
    <x v="15"/>
  </r>
  <r>
    <n v="268"/>
    <s v="Indiana"/>
    <s v="46077"/>
    <d v="2015-02-12T19:57:23"/>
    <d v="2015-02-12T19:57:29"/>
    <n v="1"/>
    <n v="2"/>
    <n v="12"/>
    <n v="1"/>
    <n v="1"/>
    <n v="4"/>
    <n v="30.6"/>
    <x v="3"/>
    <x v="253"/>
    <n v="12"/>
    <x v="1"/>
    <x v="12"/>
  </r>
  <r>
    <n v="269"/>
    <s v="New York"/>
    <s v="13210"/>
    <d v="2015-06-02T19:07:41"/>
    <d v="2015-06-02T15:07:43"/>
    <n v="1"/>
    <n v="2"/>
    <n v="3"/>
    <n v="1"/>
    <n v="1"/>
    <n v="2"/>
    <n v="14.4"/>
    <x v="6"/>
    <x v="254"/>
    <n v="2"/>
    <x v="5"/>
    <x v="10"/>
  </r>
  <r>
    <n v="270"/>
    <s v="California"/>
    <s v="90012"/>
    <d v="2015-07-27T17:21:57"/>
    <d v="2015-07-28T13:14:29"/>
    <n v="2"/>
    <n v="2"/>
    <n v="4"/>
    <n v="3"/>
    <n v="1"/>
    <n v="2"/>
    <n v="112.64"/>
    <x v="2"/>
    <x v="255"/>
    <n v="27"/>
    <x v="3"/>
    <x v="17"/>
  </r>
  <r>
    <n v="271"/>
    <s v="Texas"/>
    <s v="76567"/>
    <d v="2015-01-26T23:44:50"/>
    <d v="2015-02-26T08:15:27"/>
    <n v="10"/>
    <n v="0"/>
    <n v="14"/>
    <n v="11"/>
    <n v="2"/>
    <n v="8"/>
    <n v="30.6"/>
    <x v="1"/>
    <x v="256"/>
    <n v="26"/>
    <x v="3"/>
    <x v="0"/>
  </r>
  <r>
    <n v="272"/>
    <s v="Maryland"/>
    <s v="21704"/>
    <d v="2015-03-30T10:01:34"/>
    <d v="2015-03-30T10:01:39"/>
    <n v="1"/>
    <n v="1"/>
    <n v="4"/>
    <n v="1"/>
    <n v="1"/>
    <n v="2"/>
    <n v="18"/>
    <x v="8"/>
    <x v="257"/>
    <n v="30"/>
    <x v="3"/>
    <x v="13"/>
  </r>
  <r>
    <n v="273"/>
    <s v="Texas"/>
    <s v="78840"/>
    <d v="2015-05-21T16:14:52"/>
    <d v="2015-05-21T16:14:56"/>
    <n v="1"/>
    <n v="2"/>
    <n v="4"/>
    <n v="6"/>
    <n v="1"/>
    <n v="1"/>
    <n v="57.6"/>
    <x v="4"/>
    <x v="258"/>
    <n v="21"/>
    <x v="1"/>
    <x v="4"/>
  </r>
  <r>
    <n v="274"/>
    <s v="New Jersey"/>
    <s v="07039"/>
    <d v="2015-05-26T14:30:49"/>
    <d v="2015-05-26T14:30:52"/>
    <n v="1"/>
    <n v="4"/>
    <n v="6"/>
    <n v="2"/>
    <n v="1"/>
    <n v="4"/>
    <n v="36"/>
    <x v="4"/>
    <x v="259"/>
    <n v="26"/>
    <x v="5"/>
    <x v="9"/>
  </r>
  <r>
    <n v="275"/>
    <s v="Pennsylvania"/>
    <s v="19122"/>
    <d v="2015-03-11T23:41:30"/>
    <d v="2015-03-12T12:08:40"/>
    <n v="2"/>
    <n v="0"/>
    <n v="6"/>
    <n v="3"/>
    <n v="1"/>
    <n v="2"/>
    <n v="14.4"/>
    <x v="8"/>
    <x v="260"/>
    <n v="11"/>
    <x v="6"/>
    <x v="0"/>
  </r>
  <r>
    <n v="276"/>
    <s v="Wisconsin"/>
    <s v="53719"/>
    <d v="2015-01-21T14:27:40"/>
    <d v="2015-01-21T14:27:44"/>
    <n v="1"/>
    <n v="2"/>
    <n v="2"/>
    <n v="3"/>
    <n v="1"/>
    <n v="2"/>
    <n v="9"/>
    <x v="1"/>
    <x v="261"/>
    <n v="21"/>
    <x v="6"/>
    <x v="9"/>
  </r>
  <r>
    <n v="277"/>
    <s v="Ohio"/>
    <s v="45014"/>
    <d v="2015-02-06T12:43:57"/>
    <d v="2015-02-06T12:44:01"/>
    <n v="1"/>
    <n v="0"/>
    <n v="4"/>
    <n v="1"/>
    <n v="1"/>
    <n v="2"/>
    <n v="9"/>
    <x v="3"/>
    <x v="262"/>
    <n v="6"/>
    <x v="4"/>
    <x v="7"/>
  </r>
  <r>
    <n v="278"/>
    <s v="Virginia"/>
    <s v="20148"/>
    <d v="2015-09-09T17:25:18"/>
    <d v="2015-09-10T17:23:07"/>
    <n v="3"/>
    <n v="0"/>
    <n v="2"/>
    <n v="3"/>
    <n v="1"/>
    <n v="1"/>
    <n v="29.92"/>
    <x v="5"/>
    <x v="263"/>
    <n v="9"/>
    <x v="6"/>
    <x v="8"/>
  </r>
  <r>
    <n v="279"/>
    <s v="Massachusetts"/>
    <s v="02472"/>
    <d v="2015-06-30T15:41:30"/>
    <d v="2015-06-30T11:41:35"/>
    <n v="1"/>
    <n v="2"/>
    <n v="2"/>
    <n v="2"/>
    <n v="1"/>
    <n v="1"/>
    <n v="38.4"/>
    <x v="6"/>
    <x v="264"/>
    <n v="30"/>
    <x v="5"/>
    <x v="3"/>
  </r>
  <r>
    <n v="280"/>
    <m/>
    <m/>
    <d v="2015-07-16T20:37:26"/>
    <d v="2015-07-16T16:37:27"/>
    <n v="2"/>
    <n v="4"/>
    <n v="6"/>
    <n v="3"/>
    <n v="1"/>
    <n v="6"/>
    <n v="45"/>
    <x v="2"/>
    <x v="265"/>
    <n v="16"/>
    <x v="1"/>
    <x v="4"/>
  </r>
  <r>
    <n v="281"/>
    <m/>
    <m/>
    <d v="2015-09-17T23:05:59"/>
    <d v="2015-09-17T23:06:00"/>
    <n v="1"/>
    <n v="6"/>
    <n v="8"/>
    <n v="7"/>
    <n v="1"/>
    <n v="1"/>
    <n v="56.32"/>
    <x v="5"/>
    <x v="266"/>
    <n v="17"/>
    <x v="1"/>
    <x v="0"/>
  </r>
  <r>
    <n v="282"/>
    <s v="Oklahoma"/>
    <s v="73034"/>
    <d v="2015-03-25T10:48:33"/>
    <d v="2015-03-25T10:48:40"/>
    <n v="1"/>
    <n v="6"/>
    <n v="18"/>
    <n v="7"/>
    <n v="1"/>
    <n v="4"/>
    <n v="27.2"/>
    <x v="8"/>
    <x v="267"/>
    <n v="25"/>
    <x v="6"/>
    <x v="13"/>
  </r>
  <r>
    <n v="283"/>
    <s v="California"/>
    <s v="94164"/>
    <d v="2015-01-23T15:28:19"/>
    <d v="2015-01-23T15:28:32"/>
    <n v="1"/>
    <n v="0"/>
    <n v="6"/>
    <n v="3"/>
    <n v="1"/>
    <n v="4"/>
    <n v="36"/>
    <x v="1"/>
    <x v="268"/>
    <n v="23"/>
    <x v="4"/>
    <x v="10"/>
  </r>
  <r>
    <n v="284"/>
    <s v="Michigan"/>
    <s v="49629"/>
    <d v="2015-08-11T10:17:25"/>
    <d v="2015-08-11T06:17:30"/>
    <n v="1"/>
    <n v="4"/>
    <n v="2"/>
    <n v="2"/>
    <n v="1"/>
    <n v="1"/>
    <n v="56.32"/>
    <x v="0"/>
    <x v="269"/>
    <n v="11"/>
    <x v="5"/>
    <x v="11"/>
  </r>
  <r>
    <n v="285"/>
    <s v="Iowa"/>
    <s v="52601"/>
    <d v="2015-07-26T05:31:17"/>
    <d v="2015-07-26T01:31:23"/>
    <n v="1"/>
    <n v="8"/>
    <n v="6"/>
    <n v="2"/>
    <n v="1"/>
    <n v="4"/>
    <n v="35.200000000000003"/>
    <x v="2"/>
    <x v="270"/>
    <n v="26"/>
    <x v="2"/>
    <x v="20"/>
  </r>
  <r>
    <n v="286"/>
    <s v="Oregon"/>
    <s v="97212"/>
    <d v="2015-01-22T15:01:44"/>
    <d v="2015-01-22T15:01:51"/>
    <n v="1"/>
    <n v="2"/>
    <n v="4"/>
    <n v="3"/>
    <n v="1"/>
    <n v="4"/>
    <n v="28.8"/>
    <x v="1"/>
    <x v="271"/>
    <n v="22"/>
    <x v="1"/>
    <x v="10"/>
  </r>
  <r>
    <n v="288"/>
    <m/>
    <m/>
    <d v="2015-07-23T12:55:14"/>
    <d v="2015-07-23T08:55:15"/>
    <n v="1"/>
    <n v="2"/>
    <n v="10"/>
    <n v="13"/>
    <n v="1"/>
    <n v="4"/>
    <n v="70.400000000000006"/>
    <x v="2"/>
    <x v="272"/>
    <n v="23"/>
    <x v="1"/>
    <x v="18"/>
  </r>
  <r>
    <n v="289"/>
    <s v="California"/>
    <s v="92127"/>
    <d v="2015-06-08T16:23:46"/>
    <d v="2015-06-08T12:23:52"/>
    <n v="1"/>
    <n v="4"/>
    <n v="8"/>
    <n v="2"/>
    <n v="1"/>
    <n v="4"/>
    <n v="28.8"/>
    <x v="6"/>
    <x v="273"/>
    <n v="8"/>
    <x v="3"/>
    <x v="7"/>
  </r>
  <r>
    <n v="290"/>
    <s v="Pennsylvania"/>
    <s v="19422"/>
    <d v="2015-03-09T09:35:41"/>
    <d v="2015-03-09T09:35:47"/>
    <n v="1"/>
    <n v="4"/>
    <n v="4"/>
    <n v="1"/>
    <n v="1"/>
    <n v="2"/>
    <n v="36"/>
    <x v="8"/>
    <x v="274"/>
    <n v="9"/>
    <x v="3"/>
    <x v="15"/>
  </r>
  <r>
    <n v="291"/>
    <s v="District of Columbia"/>
    <s v="20017"/>
    <d v="2015-06-21T16:10:06"/>
    <d v="2015-06-21T16:10:10"/>
    <n v="1"/>
    <n v="4"/>
    <n v="2"/>
    <n v="2"/>
    <n v="1"/>
    <n v="1"/>
    <n v="28.8"/>
    <x v="6"/>
    <x v="275"/>
    <n v="21"/>
    <x v="2"/>
    <x v="4"/>
  </r>
  <r>
    <n v="292"/>
    <s v="Illinois"/>
    <s v="60130"/>
    <d v="2015-04-06T15:13:26"/>
    <d v="2015-04-06T15:13:30"/>
    <n v="1"/>
    <n v="2"/>
    <n v="10"/>
    <n v="4"/>
    <n v="1"/>
    <n v="4"/>
    <n v="28.8"/>
    <x v="7"/>
    <x v="276"/>
    <n v="6"/>
    <x v="3"/>
    <x v="10"/>
  </r>
  <r>
    <n v="293"/>
    <s v="Oregon"/>
    <s v="97455"/>
    <d v="2014-12-18T21:54:10"/>
    <d v="2015-09-20T18:10:19"/>
    <n v="3"/>
    <n v="2"/>
    <n v="2"/>
    <n v="4"/>
    <n v="1"/>
    <n v="2"/>
    <n v="140.80000000000001"/>
    <x v="5"/>
    <x v="277"/>
    <n v="20"/>
    <x v="2"/>
    <x v="6"/>
  </r>
  <r>
    <n v="294"/>
    <s v="Kansas"/>
    <s v="66207"/>
    <d v="2015-06-09T22:26:50"/>
    <d v="2015-06-09T22:26:54"/>
    <n v="1"/>
    <n v="10"/>
    <n v="12"/>
    <n v="5"/>
    <n v="1"/>
    <n v="6"/>
    <n v="45.6"/>
    <x v="6"/>
    <x v="278"/>
    <n v="9"/>
    <x v="5"/>
    <x v="1"/>
  </r>
  <r>
    <n v="295"/>
    <s v="California"/>
    <s v="90024"/>
    <d v="2015-05-01T20:07:37"/>
    <d v="2015-05-01T20:07:42"/>
    <n v="1"/>
    <n v="0"/>
    <n v="6"/>
    <n v="1"/>
    <n v="1"/>
    <n v="5"/>
    <n v="36"/>
    <x v="4"/>
    <x v="279"/>
    <n v="1"/>
    <x v="4"/>
    <x v="5"/>
  </r>
  <r>
    <n v="296"/>
    <s v="Wisconsin"/>
    <s v="54304"/>
    <d v="2015-04-01T13:55:15"/>
    <d v="2015-04-01T13:55:19"/>
    <n v="1"/>
    <n v="0"/>
    <n v="2"/>
    <n v="1"/>
    <n v="1"/>
    <n v="1"/>
    <n v="36"/>
    <x v="7"/>
    <x v="280"/>
    <n v="1"/>
    <x v="6"/>
    <x v="17"/>
  </r>
  <r>
    <n v="297"/>
    <s v="New York"/>
    <s v="14150"/>
    <d v="2015-01-10T20:59:49"/>
    <d v="2015-01-10T20:59:53"/>
    <n v="1"/>
    <n v="4"/>
    <n v="16"/>
    <n v="4"/>
    <n v="1"/>
    <n v="5"/>
    <n v="36"/>
    <x v="1"/>
    <x v="281"/>
    <n v="10"/>
    <x v="0"/>
    <x v="2"/>
  </r>
  <r>
    <n v="298"/>
    <s v="North Carolina"/>
    <s v="28078"/>
    <d v="2015-07-02T21:19:35"/>
    <d v="2015-09-12T22:38:15"/>
    <n v="2"/>
    <n v="3"/>
    <n v="4"/>
    <n v="2"/>
    <n v="1"/>
    <n v="2"/>
    <n v="74.8"/>
    <x v="5"/>
    <x v="282"/>
    <n v="12"/>
    <x v="0"/>
    <x v="1"/>
  </r>
  <r>
    <n v="299"/>
    <s v="Minnesota"/>
    <s v="55014"/>
    <d v="2015-09-19T17:12:53"/>
    <d v="2015-09-19T21:39:29"/>
    <n v="7"/>
    <n v="8"/>
    <n v="2"/>
    <n v="2"/>
    <n v="1"/>
    <n v="1"/>
    <n v="56.32"/>
    <x v="5"/>
    <x v="283"/>
    <n v="19"/>
    <x v="0"/>
    <x v="8"/>
  </r>
  <r>
    <n v="300"/>
    <s v="Connecticut"/>
    <s v="06854"/>
    <d v="2015-01-15T20:04:57"/>
    <d v="2015-02-07T19:49:26"/>
    <n v="2"/>
    <n v="1"/>
    <n v="7"/>
    <n v="4"/>
    <n v="2"/>
    <n v="4"/>
    <n v="9"/>
    <x v="1"/>
    <x v="284"/>
    <n v="15"/>
    <x v="1"/>
    <x v="5"/>
  </r>
  <r>
    <n v="301"/>
    <s v="Wisconsin"/>
    <s v="54911"/>
    <d v="2015-02-28T16:05:47"/>
    <d v="2015-02-28T16:05:52"/>
    <n v="1"/>
    <n v="4"/>
    <n v="2"/>
    <n v="1"/>
    <n v="1"/>
    <n v="2"/>
    <n v="9"/>
    <x v="3"/>
    <x v="285"/>
    <n v="28"/>
    <x v="0"/>
    <x v="4"/>
  </r>
  <r>
    <n v="302"/>
    <s v="New York"/>
    <s v="11215"/>
    <d v="2015-01-14T12:24:43"/>
    <d v="2015-01-14T12:24:47"/>
    <n v="1"/>
    <n v="0"/>
    <n v="2"/>
    <n v="2"/>
    <n v="1"/>
    <n v="2"/>
    <n v="9"/>
    <x v="1"/>
    <x v="286"/>
    <n v="14"/>
    <x v="6"/>
    <x v="7"/>
  </r>
  <r>
    <n v="303"/>
    <m/>
    <m/>
    <d v="2015-05-20T00:45:06"/>
    <d v="2015-05-19T20:45:08"/>
    <n v="1"/>
    <n v="2"/>
    <n v="2"/>
    <n v="2"/>
    <n v="1"/>
    <n v="5"/>
    <n v="36"/>
    <x v="4"/>
    <x v="287"/>
    <n v="19"/>
    <x v="5"/>
    <x v="5"/>
  </r>
  <r>
    <n v="304"/>
    <m/>
    <m/>
    <d v="2015-08-15T05:58:01"/>
    <d v="2015-08-15T01:58:02"/>
    <n v="1"/>
    <n v="2"/>
    <n v="6"/>
    <n v="4"/>
    <n v="1"/>
    <n v="1"/>
    <n v="29.92"/>
    <x v="0"/>
    <x v="288"/>
    <n v="15"/>
    <x v="0"/>
    <x v="21"/>
  </r>
  <r>
    <n v="305"/>
    <s v="Maryland"/>
    <s v="21231"/>
    <d v="2015-07-10T16:07:05"/>
    <d v="2015-07-10T16:07:09"/>
    <n v="1"/>
    <n v="2"/>
    <n v="2"/>
    <n v="2"/>
    <n v="1"/>
    <n v="1"/>
    <n v="28.8"/>
    <x v="2"/>
    <x v="289"/>
    <n v="10"/>
    <x v="4"/>
    <x v="4"/>
  </r>
  <r>
    <n v="306"/>
    <s v="New York"/>
    <s v="10017"/>
    <d v="2013-09-20T19:18:58"/>
    <d v="2015-01-23T10:12:06"/>
    <n v="3"/>
    <n v="2"/>
    <n v="2"/>
    <n v="2"/>
    <n v="1"/>
    <n v="2"/>
    <n v="9"/>
    <x v="1"/>
    <x v="290"/>
    <n v="20"/>
    <x v="5"/>
    <x v="9"/>
  </r>
  <r>
    <n v="308"/>
    <s v="Tennessee"/>
    <s v="37090"/>
    <d v="2015-02-18T19:42:45"/>
    <d v="2015-03-10T22:09:32"/>
    <n v="3"/>
    <n v="1"/>
    <n v="14"/>
    <n v="10"/>
    <n v="3"/>
    <n v="7"/>
    <n v="8"/>
    <x v="3"/>
    <x v="291"/>
    <n v="18"/>
    <x v="6"/>
    <x v="12"/>
  </r>
  <r>
    <n v="309"/>
    <s v="Michigan"/>
    <s v="49684"/>
    <d v="2015-08-29T16:44:31"/>
    <d v="2015-08-29T16:44:34"/>
    <n v="1"/>
    <n v="2"/>
    <n v="2"/>
    <n v="2"/>
    <n v="1"/>
    <n v="1"/>
    <n v="40.799999999999997"/>
    <x v="0"/>
    <x v="292"/>
    <n v="29"/>
    <x v="0"/>
    <x v="4"/>
  </r>
  <r>
    <n v="310"/>
    <s v="Texas"/>
    <s v="75002"/>
    <d v="2015-05-31T15:09:36"/>
    <d v="2015-05-31T11:09:37"/>
    <n v="1"/>
    <n v="6"/>
    <n v="2"/>
    <n v="4"/>
    <n v="1"/>
    <n v="4"/>
    <n v="25.6"/>
    <x v="4"/>
    <x v="293"/>
    <n v="31"/>
    <x v="2"/>
    <x v="3"/>
  </r>
  <r>
    <n v="311"/>
    <s v="South Carolina"/>
    <s v="29902"/>
    <d v="2015-09-02T16:36:12"/>
    <d v="2015-09-02T16:36:19"/>
    <n v="1"/>
    <n v="0"/>
    <n v="2"/>
    <n v="2"/>
    <n v="1"/>
    <n v="1"/>
    <n v="29.92"/>
    <x v="5"/>
    <x v="294"/>
    <n v="2"/>
    <x v="6"/>
    <x v="4"/>
  </r>
  <r>
    <n v="312"/>
    <s v="New York"/>
    <s v="11754"/>
    <d v="2015-01-30T22:00:08"/>
    <d v="2015-01-30T22:00:20"/>
    <n v="1"/>
    <n v="2"/>
    <n v="10"/>
    <n v="1"/>
    <n v="1"/>
    <n v="5"/>
    <n v="36"/>
    <x v="1"/>
    <x v="295"/>
    <n v="30"/>
    <x v="4"/>
    <x v="1"/>
  </r>
  <r>
    <n v="313"/>
    <m/>
    <m/>
    <d v="2015-06-06T18:00:24"/>
    <d v="2015-06-06T14:00:28"/>
    <n v="1"/>
    <n v="0"/>
    <n v="2"/>
    <n v="3"/>
    <n v="1"/>
    <n v="1"/>
    <n v="28.8"/>
    <x v="6"/>
    <x v="296"/>
    <n v="6"/>
    <x v="0"/>
    <x v="9"/>
  </r>
  <r>
    <n v="314"/>
    <s v="New Jersey"/>
    <s v="07733"/>
    <d v="2015-04-23T08:34:38"/>
    <d v="2015-04-23T17:10:38"/>
    <n v="4"/>
    <n v="0"/>
    <n v="4"/>
    <n v="2"/>
    <n v="1"/>
    <n v="2"/>
    <n v="14.4"/>
    <x v="7"/>
    <x v="297"/>
    <n v="23"/>
    <x v="1"/>
    <x v="18"/>
  </r>
  <r>
    <n v="315"/>
    <s v="Pennsylvania"/>
    <s v="15853"/>
    <d v="2015-01-21T12:57:02"/>
    <d v="2015-01-26T10:08:29"/>
    <n v="4"/>
    <n v="0"/>
    <n v="8"/>
    <n v="4"/>
    <n v="1"/>
    <n v="4"/>
    <n v="28.8"/>
    <x v="1"/>
    <x v="298"/>
    <n v="21"/>
    <x v="6"/>
    <x v="7"/>
  </r>
  <r>
    <n v="316"/>
    <s v="Texas"/>
    <s v="78411"/>
    <d v="2015-06-27T21:47:57"/>
    <d v="2015-06-27T21:48:01"/>
    <n v="1"/>
    <n v="4"/>
    <n v="2"/>
    <n v="2"/>
    <n v="1"/>
    <n v="1"/>
    <n v="28.8"/>
    <x v="6"/>
    <x v="299"/>
    <n v="27"/>
    <x v="0"/>
    <x v="2"/>
  </r>
  <r>
    <n v="317"/>
    <s v="Maryland"/>
    <s v="20774"/>
    <d v="2015-03-04T21:10:42"/>
    <d v="2015-03-04T21:10:47"/>
    <n v="1"/>
    <n v="0"/>
    <n v="4"/>
    <n v="1"/>
    <n v="1"/>
    <n v="4"/>
    <n v="36"/>
    <x v="8"/>
    <x v="300"/>
    <n v="4"/>
    <x v="6"/>
    <x v="2"/>
  </r>
  <r>
    <n v="318"/>
    <s v="Kansas"/>
    <s v="66611"/>
    <d v="2015-07-18T22:20:59"/>
    <d v="2015-07-18T18:21:02"/>
    <n v="1"/>
    <n v="2"/>
    <n v="4"/>
    <n v="2"/>
    <n v="1"/>
    <n v="1"/>
    <n v="29.92"/>
    <x v="2"/>
    <x v="301"/>
    <n v="18"/>
    <x v="0"/>
    <x v="6"/>
  </r>
  <r>
    <n v="319"/>
    <s v="Tennessee"/>
    <s v="37129"/>
    <d v="2015-04-16T20:34:21"/>
    <d v="2015-04-16T20:34:24"/>
    <n v="1"/>
    <n v="0"/>
    <n v="2"/>
    <n v="1"/>
    <n v="1"/>
    <n v="3"/>
    <n v="27"/>
    <x v="7"/>
    <x v="302"/>
    <n v="16"/>
    <x v="1"/>
    <x v="5"/>
  </r>
  <r>
    <n v="320"/>
    <s v="New York"/>
    <s v="11747"/>
    <d v="2015-01-28T15:18:42"/>
    <d v="2015-01-28T15:19:21"/>
    <n v="1"/>
    <n v="4"/>
    <n v="2"/>
    <n v="3"/>
    <n v="1"/>
    <n v="1"/>
    <n v="57.6"/>
    <x v="1"/>
    <x v="303"/>
    <n v="28"/>
    <x v="6"/>
    <x v="10"/>
  </r>
  <r>
    <n v="321"/>
    <s v="Florida"/>
    <s v="32459"/>
    <d v="2015-06-30T23:33:52"/>
    <d v="2015-06-30T23:33:56"/>
    <n v="1"/>
    <n v="4"/>
    <n v="4"/>
    <n v="4"/>
    <n v="1"/>
    <n v="2"/>
    <n v="32.799999999999997"/>
    <x v="6"/>
    <x v="304"/>
    <n v="30"/>
    <x v="5"/>
    <x v="0"/>
  </r>
  <r>
    <n v="322"/>
    <s v="New York"/>
    <s v="11554"/>
    <d v="2015-08-19T21:23:22"/>
    <d v="2015-08-26T08:13:58"/>
    <n v="3"/>
    <n v="3"/>
    <n v="3"/>
    <n v="5"/>
    <n v="1"/>
    <n v="1"/>
    <n v="26.4"/>
    <x v="0"/>
    <x v="305"/>
    <n v="26"/>
    <x v="6"/>
    <x v="18"/>
  </r>
  <r>
    <n v="323"/>
    <s v="Kentucky"/>
    <s v="40444"/>
    <d v="2015-07-20T14:45:37"/>
    <d v="2015-07-20T10:45:41"/>
    <n v="1"/>
    <n v="6"/>
    <n v="2"/>
    <n v="2"/>
    <n v="1"/>
    <n v="1"/>
    <n v="29.92"/>
    <x v="2"/>
    <x v="306"/>
    <n v="20"/>
    <x v="3"/>
    <x v="13"/>
  </r>
  <r>
    <n v="324"/>
    <s v="Alabama"/>
    <s v="35601"/>
    <d v="2015-06-03T07:11:26"/>
    <d v="2015-06-03T07:11:29"/>
    <n v="1"/>
    <n v="0"/>
    <n v="4"/>
    <n v="2"/>
    <n v="1"/>
    <n v="2"/>
    <n v="18"/>
    <x v="6"/>
    <x v="307"/>
    <n v="3"/>
    <x v="6"/>
    <x v="16"/>
  </r>
  <r>
    <n v="325"/>
    <s v="New Jersey"/>
    <s v="07030"/>
    <d v="2015-02-14T11:06:54"/>
    <d v="2015-02-17T12:55:31"/>
    <n v="5"/>
    <n v="0"/>
    <n v="6"/>
    <n v="3"/>
    <n v="1"/>
    <n v="2"/>
    <n v="9"/>
    <x v="3"/>
    <x v="308"/>
    <n v="14"/>
    <x v="0"/>
    <x v="3"/>
  </r>
  <r>
    <n v="326"/>
    <s v="Virginia"/>
    <s v="22206"/>
    <d v="2015-05-19T11:13:32"/>
    <d v="2015-05-19T11:13:35"/>
    <n v="1"/>
    <n v="6"/>
    <n v="7"/>
    <n v="2"/>
    <n v="1"/>
    <n v="1"/>
    <n v="28.8"/>
    <x v="4"/>
    <x v="309"/>
    <n v="19"/>
    <x v="5"/>
    <x v="3"/>
  </r>
  <r>
    <n v="327"/>
    <s v="Virginia"/>
    <s v="23805"/>
    <d v="2015-03-03T14:36:54"/>
    <d v="2015-03-03T14:36:59"/>
    <n v="1"/>
    <n v="0"/>
    <n v="2"/>
    <n v="1"/>
    <n v="1"/>
    <n v="1"/>
    <n v="36"/>
    <x v="8"/>
    <x v="310"/>
    <n v="3"/>
    <x v="5"/>
    <x v="9"/>
  </r>
  <r>
    <n v="328"/>
    <s v="Texas"/>
    <s v="79423"/>
    <d v="2015-03-24T20:10:26"/>
    <d v="2015-03-24T22:11:57"/>
    <n v="3"/>
    <n v="0"/>
    <n v="10"/>
    <n v="1"/>
    <n v="1"/>
    <n v="4"/>
    <n v="28.8"/>
    <x v="8"/>
    <x v="311"/>
    <n v="24"/>
    <x v="5"/>
    <x v="5"/>
  </r>
  <r>
    <n v="329"/>
    <s v="New York"/>
    <s v="11210"/>
    <d v="2015-05-25T23:12:26"/>
    <d v="2015-05-25T19:12:28"/>
    <n v="1"/>
    <n v="4"/>
    <n v="2"/>
    <n v="2"/>
    <n v="1"/>
    <n v="1"/>
    <n v="28.8"/>
    <x v="4"/>
    <x v="312"/>
    <n v="25"/>
    <x v="3"/>
    <x v="12"/>
  </r>
  <r>
    <n v="330"/>
    <s v="Florida"/>
    <s v="32835"/>
    <d v="2015-07-20T12:19:18"/>
    <d v="2015-07-20T08:19:23"/>
    <n v="1"/>
    <n v="14"/>
    <n v="10"/>
    <n v="2"/>
    <n v="1"/>
    <n v="4"/>
    <n v="35.200000000000003"/>
    <x v="2"/>
    <x v="313"/>
    <n v="20"/>
    <x v="3"/>
    <x v="18"/>
  </r>
  <r>
    <n v="331"/>
    <s v="California"/>
    <s v="94028"/>
    <d v="2015-08-30T14:43:34"/>
    <d v="2015-08-30T14:43:38"/>
    <n v="1"/>
    <n v="2"/>
    <n v="2"/>
    <n v="2"/>
    <n v="1"/>
    <n v="1"/>
    <n v="56.32"/>
    <x v="0"/>
    <x v="314"/>
    <n v="30"/>
    <x v="2"/>
    <x v="9"/>
  </r>
  <r>
    <n v="332"/>
    <s v="New Jersey"/>
    <s v="07642"/>
    <d v="2015-04-28T23:33:21"/>
    <d v="2015-04-28T23:33:26"/>
    <n v="1"/>
    <n v="0"/>
    <n v="4"/>
    <n v="1"/>
    <n v="1"/>
    <n v="4"/>
    <n v="36"/>
    <x v="7"/>
    <x v="315"/>
    <n v="28"/>
    <x v="5"/>
    <x v="0"/>
  </r>
  <r>
    <n v="333"/>
    <s v="District of Columbia"/>
    <s v="20010"/>
    <d v="2015-06-03T20:53:51"/>
    <d v="2015-06-03T20:53:55"/>
    <n v="1"/>
    <n v="6"/>
    <n v="4"/>
    <n v="2"/>
    <n v="1"/>
    <n v="2"/>
    <n v="57.6"/>
    <x v="6"/>
    <x v="316"/>
    <n v="3"/>
    <x v="6"/>
    <x v="5"/>
  </r>
  <r>
    <n v="334"/>
    <m/>
    <m/>
    <d v="2015-02-19T16:12:06"/>
    <d v="2015-02-19T16:12:11"/>
    <n v="1"/>
    <n v="0"/>
    <n v="6"/>
    <n v="2"/>
    <n v="1"/>
    <n v="3"/>
    <n v="18"/>
    <x v="3"/>
    <x v="317"/>
    <n v="19"/>
    <x v="1"/>
    <x v="4"/>
  </r>
  <r>
    <n v="335"/>
    <m/>
    <m/>
    <d v="2015-02-26T12:32:17"/>
    <d v="2015-03-27T09:41:29"/>
    <n v="3"/>
    <n v="3"/>
    <n v="5"/>
    <n v="4"/>
    <n v="1"/>
    <n v="1"/>
    <n v="36"/>
    <x v="8"/>
    <x v="318"/>
    <n v="27"/>
    <x v="4"/>
    <x v="15"/>
  </r>
  <r>
    <n v="336"/>
    <s v="New York"/>
    <s v="10022"/>
    <d v="2015-05-19T20:42:51"/>
    <d v="2015-05-19T16:42:53"/>
    <n v="1"/>
    <n v="6"/>
    <n v="6"/>
    <n v="2"/>
    <n v="1"/>
    <n v="12"/>
    <n v="86.4"/>
    <x v="4"/>
    <x v="319"/>
    <n v="19"/>
    <x v="5"/>
    <x v="4"/>
  </r>
  <r>
    <n v="337"/>
    <s v="California"/>
    <s v="92866"/>
    <d v="2015-02-08T17:33:27"/>
    <d v="2015-02-08T17:33:31"/>
    <n v="1"/>
    <n v="0"/>
    <n v="4"/>
    <n v="3"/>
    <n v="1"/>
    <n v="2"/>
    <n v="9"/>
    <x v="3"/>
    <x v="320"/>
    <n v="8"/>
    <x v="2"/>
    <x v="8"/>
  </r>
  <r>
    <n v="338"/>
    <s v="California"/>
    <s v="90013"/>
    <d v="2015-05-30T03:55:18"/>
    <d v="2015-05-30T03:55:22"/>
    <n v="1"/>
    <n v="2"/>
    <n v="2"/>
    <n v="2"/>
    <n v="1"/>
    <n v="1"/>
    <n v="28.8"/>
    <x v="4"/>
    <x v="321"/>
    <n v="30"/>
    <x v="0"/>
    <x v="19"/>
  </r>
  <r>
    <n v="339"/>
    <m/>
    <m/>
    <d v="2015-03-08T16:59:55"/>
    <d v="2015-03-09T19:19:40"/>
    <n v="5"/>
    <n v="2"/>
    <n v="3"/>
    <n v="2"/>
    <n v="1"/>
    <n v="2"/>
    <n v="64.8"/>
    <x v="8"/>
    <x v="322"/>
    <n v="8"/>
    <x v="2"/>
    <x v="8"/>
  </r>
  <r>
    <n v="340"/>
    <s v="California"/>
    <s v="93065"/>
    <d v="2015-01-16T14:49:10"/>
    <d v="2015-01-16T14:49:14"/>
    <n v="1"/>
    <n v="0"/>
    <n v="8"/>
    <n v="2"/>
    <n v="1"/>
    <n v="4"/>
    <n v="28.8"/>
    <x v="1"/>
    <x v="323"/>
    <n v="16"/>
    <x v="4"/>
    <x v="9"/>
  </r>
  <r>
    <n v="341"/>
    <s v="North Carolina"/>
    <s v="27603"/>
    <d v="2015-03-17T10:24:03"/>
    <d v="2015-03-17T10:24:09"/>
    <n v="1"/>
    <n v="0"/>
    <n v="8"/>
    <n v="1"/>
    <n v="1"/>
    <n v="4"/>
    <n v="28.8"/>
    <x v="8"/>
    <x v="324"/>
    <n v="17"/>
    <x v="5"/>
    <x v="13"/>
  </r>
  <r>
    <n v="342"/>
    <m/>
    <m/>
    <d v="2015-05-07T19:54:34"/>
    <d v="2015-05-07T19:25:54"/>
    <n v="2"/>
    <n v="2"/>
    <n v="2"/>
    <n v="5"/>
    <n v="1"/>
    <n v="1"/>
    <n v="57.6"/>
    <x v="4"/>
    <x v="325"/>
    <n v="7"/>
    <x v="1"/>
    <x v="4"/>
  </r>
  <r>
    <n v="343"/>
    <s v="Virginia"/>
    <s v="20176"/>
    <d v="2015-01-16T09:18:39"/>
    <d v="2015-01-22T12:19:52"/>
    <n v="3"/>
    <n v="2"/>
    <n v="2"/>
    <n v="3"/>
    <n v="1"/>
    <n v="1"/>
    <n v="28.8"/>
    <x v="1"/>
    <x v="326"/>
    <n v="16"/>
    <x v="4"/>
    <x v="15"/>
  </r>
  <r>
    <n v="344"/>
    <s v="Texas"/>
    <s v="77059"/>
    <d v="2015-09-19T11:12:59"/>
    <d v="2015-09-21T13:06:24"/>
    <n v="2"/>
    <n v="2"/>
    <n v="2"/>
    <n v="3"/>
    <n v="1"/>
    <n v="1"/>
    <n v="29.92"/>
    <x v="5"/>
    <x v="327"/>
    <n v="19"/>
    <x v="0"/>
    <x v="3"/>
  </r>
  <r>
    <n v="345"/>
    <s v="New York"/>
    <s v="10567"/>
    <d v="2015-07-06T22:40:32"/>
    <d v="2015-07-06T18:40:34"/>
    <n v="1"/>
    <n v="4"/>
    <n v="10"/>
    <n v="6"/>
    <n v="1"/>
    <n v="3"/>
    <n v="86.4"/>
    <x v="2"/>
    <x v="328"/>
    <n v="6"/>
    <x v="3"/>
    <x v="12"/>
  </r>
  <r>
    <n v="346"/>
    <s v="Illinois"/>
    <s v="60074"/>
    <d v="2015-05-21T17:06:10"/>
    <d v="2015-05-21T17:06:14"/>
    <n v="1"/>
    <n v="6"/>
    <n v="8"/>
    <n v="2"/>
    <n v="1"/>
    <n v="4"/>
    <n v="27.2"/>
    <x v="4"/>
    <x v="329"/>
    <n v="21"/>
    <x v="1"/>
    <x v="8"/>
  </r>
  <r>
    <n v="347"/>
    <s v="Oregon"/>
    <s v="97006"/>
    <d v="2015-06-15T08:01:45"/>
    <d v="2015-06-15T08:01:48"/>
    <n v="1"/>
    <n v="4"/>
    <n v="2"/>
    <n v="2"/>
    <n v="1"/>
    <n v="1"/>
    <n v="25.6"/>
    <x v="6"/>
    <x v="330"/>
    <n v="15"/>
    <x v="3"/>
    <x v="18"/>
  </r>
  <r>
    <n v="348"/>
    <s v="Connecticut"/>
    <s v="06880"/>
    <d v="2015-02-13T09:41:45"/>
    <d v="2015-02-13T09:41:49"/>
    <n v="1"/>
    <n v="0"/>
    <n v="4"/>
    <n v="10"/>
    <n v="1"/>
    <n v="2"/>
    <n v="9"/>
    <x v="3"/>
    <x v="331"/>
    <n v="13"/>
    <x v="4"/>
    <x v="15"/>
  </r>
  <r>
    <n v="349"/>
    <s v="Vermont"/>
    <s v="5486"/>
    <d v="2015-09-03T18:09:48"/>
    <d v="2015-09-03T14:09:53"/>
    <n v="1"/>
    <n v="3"/>
    <n v="4"/>
    <n v="2"/>
    <n v="1"/>
    <n v="4"/>
    <n v="119.68"/>
    <x v="5"/>
    <x v="332"/>
    <n v="3"/>
    <x v="1"/>
    <x v="9"/>
  </r>
  <r>
    <n v="350"/>
    <s v="Missouri"/>
    <s v="63368"/>
    <d v="2015-02-24T19:11:13"/>
    <d v="2015-02-24T19:11:18"/>
    <n v="1"/>
    <n v="0"/>
    <n v="8"/>
    <n v="1"/>
    <n v="1"/>
    <n v="4"/>
    <n v="28.8"/>
    <x v="3"/>
    <x v="333"/>
    <n v="24"/>
    <x v="5"/>
    <x v="12"/>
  </r>
  <r>
    <n v="351"/>
    <m/>
    <m/>
    <d v="2015-01-04T15:58:52"/>
    <d v="2015-01-04T15:58:55"/>
    <n v="1"/>
    <n v="0"/>
    <n v="6"/>
    <n v="7"/>
    <n v="1"/>
    <n v="2"/>
    <n v="9"/>
    <x v="1"/>
    <x v="334"/>
    <n v="4"/>
    <x v="2"/>
    <x v="4"/>
  </r>
  <r>
    <n v="352"/>
    <s v="New York"/>
    <s v="11218"/>
    <d v="2015-03-03T15:56:04"/>
    <d v="2015-03-03T15:56:09"/>
    <n v="1"/>
    <n v="2"/>
    <n v="2"/>
    <n v="1"/>
    <n v="1"/>
    <n v="1"/>
    <n v="25.6"/>
    <x v="8"/>
    <x v="335"/>
    <n v="3"/>
    <x v="5"/>
    <x v="10"/>
  </r>
  <r>
    <n v="353"/>
    <s v="Maryland"/>
    <s v="21702"/>
    <d v="2015-07-08T00:48:33"/>
    <d v="2015-07-07T20:48:37"/>
    <n v="1"/>
    <n v="2"/>
    <n v="4"/>
    <n v="4"/>
    <n v="1"/>
    <n v="1"/>
    <n v="36"/>
    <x v="2"/>
    <x v="336"/>
    <n v="7"/>
    <x v="5"/>
    <x v="5"/>
  </r>
  <r>
    <n v="354"/>
    <s v="Arizona"/>
    <s v="85392"/>
    <d v="2015-07-16T16:14:34"/>
    <d v="2015-07-16T16:14:39"/>
    <n v="1"/>
    <n v="4"/>
    <n v="4"/>
    <n v="2"/>
    <n v="1"/>
    <n v="2"/>
    <n v="111.2"/>
    <x v="2"/>
    <x v="337"/>
    <n v="16"/>
    <x v="1"/>
    <x v="4"/>
  </r>
  <r>
    <n v="355"/>
    <s v="Arizona"/>
    <s v="85615"/>
    <d v="2015-05-19T17:50:41"/>
    <d v="2015-05-19T17:50:44"/>
    <n v="1"/>
    <n v="0"/>
    <n v="2"/>
    <n v="2"/>
    <n v="1"/>
    <n v="1"/>
    <n v="27"/>
    <x v="4"/>
    <x v="338"/>
    <n v="19"/>
    <x v="5"/>
    <x v="8"/>
  </r>
  <r>
    <n v="356"/>
    <s v="Illinois"/>
    <s v="62704"/>
    <d v="2015-08-16T15:54:26"/>
    <d v="2015-08-16T11:54:31"/>
    <n v="1"/>
    <n v="0"/>
    <n v="2"/>
    <n v="2"/>
    <n v="1"/>
    <n v="1"/>
    <n v="29.92"/>
    <x v="0"/>
    <x v="339"/>
    <n v="16"/>
    <x v="2"/>
    <x v="3"/>
  </r>
  <r>
    <n v="357"/>
    <s v="Tennessee"/>
    <s v="37221"/>
    <d v="2015-07-09T17:42:12"/>
    <d v="2015-07-09T17:42:24"/>
    <n v="1"/>
    <n v="2"/>
    <n v="8"/>
    <n v="4"/>
    <n v="1"/>
    <n v="4"/>
    <n v="28.8"/>
    <x v="2"/>
    <x v="340"/>
    <n v="9"/>
    <x v="1"/>
    <x v="8"/>
  </r>
  <r>
    <n v="358"/>
    <s v="Illinois"/>
    <s v="60657"/>
    <d v="2015-02-02T10:21:08"/>
    <d v="2015-02-02T10:21:13"/>
    <n v="1"/>
    <n v="0"/>
    <n v="2"/>
    <n v="2"/>
    <n v="1"/>
    <n v="2"/>
    <n v="18"/>
    <x v="3"/>
    <x v="341"/>
    <n v="2"/>
    <x v="3"/>
    <x v="13"/>
  </r>
  <r>
    <n v="359"/>
    <s v="Michigan"/>
    <s v="48195"/>
    <d v="2015-08-30T22:42:52"/>
    <d v="2015-09-04T13:23:50"/>
    <n v="6"/>
    <n v="5"/>
    <n v="2"/>
    <n v="3"/>
    <n v="1"/>
    <n v="1"/>
    <n v="29.92"/>
    <x v="0"/>
    <x v="342"/>
    <n v="30"/>
    <x v="2"/>
    <x v="6"/>
  </r>
  <r>
    <n v="360"/>
    <s v="Utah"/>
    <s v="84040"/>
    <d v="2015-08-10T00:46:38"/>
    <d v="2015-08-10T00:46:41"/>
    <n v="1"/>
    <n v="2"/>
    <n v="2"/>
    <n v="3"/>
    <n v="1"/>
    <n v="1"/>
    <n v="29.92"/>
    <x v="0"/>
    <x v="343"/>
    <n v="10"/>
    <x v="3"/>
    <x v="14"/>
  </r>
  <r>
    <n v="362"/>
    <s v="Alabama"/>
    <s v="35801"/>
    <d v="2015-01-17T14:47:21"/>
    <d v="2015-01-17T14:47:24"/>
    <n v="1"/>
    <n v="2"/>
    <n v="4"/>
    <n v="2"/>
    <n v="1"/>
    <n v="2"/>
    <n v="36"/>
    <x v="1"/>
    <x v="344"/>
    <n v="17"/>
    <x v="0"/>
    <x v="9"/>
  </r>
  <r>
    <n v="363"/>
    <s v="North Carolina"/>
    <s v="27127"/>
    <d v="2015-04-07T11:05:16"/>
    <d v="2015-04-07T11:05:22"/>
    <n v="1"/>
    <n v="2"/>
    <n v="8"/>
    <n v="1"/>
    <n v="1"/>
    <n v="4"/>
    <n v="28.8"/>
    <x v="7"/>
    <x v="345"/>
    <n v="7"/>
    <x v="5"/>
    <x v="3"/>
  </r>
  <r>
    <n v="364"/>
    <s v="New Jersey"/>
    <s v="07078"/>
    <d v="2015-06-18T00:32:13"/>
    <d v="2015-06-18T12:41:17"/>
    <n v="2"/>
    <n v="6"/>
    <n v="24"/>
    <n v="6"/>
    <n v="1"/>
    <n v="12"/>
    <n v="81"/>
    <x v="6"/>
    <x v="346"/>
    <n v="17"/>
    <x v="6"/>
    <x v="5"/>
  </r>
  <r>
    <n v="365"/>
    <s v="California"/>
    <s v="92123"/>
    <d v="2015-03-29T02:41:41"/>
    <d v="2015-03-29T02:41:53"/>
    <n v="1"/>
    <n v="2"/>
    <n v="4"/>
    <n v="1"/>
    <n v="1"/>
    <n v="2"/>
    <n v="14.4"/>
    <x v="8"/>
    <x v="347"/>
    <n v="29"/>
    <x v="2"/>
    <x v="21"/>
  </r>
  <r>
    <n v="366"/>
    <s v="Georgia"/>
    <s v="30292"/>
    <d v="2015-03-10T17:26:31"/>
    <d v="2015-07-07T16:29:08"/>
    <n v="6"/>
    <n v="5"/>
    <n v="16"/>
    <n v="5"/>
    <n v="1"/>
    <n v="6"/>
    <n v="73.8"/>
    <x v="2"/>
    <x v="348"/>
    <n v="7"/>
    <x v="5"/>
    <x v="4"/>
  </r>
  <r>
    <n v="367"/>
    <s v="New York"/>
    <s v="10010"/>
    <d v="2015-03-02T13:46:53"/>
    <d v="2015-03-02T13:47:05"/>
    <n v="1"/>
    <n v="0"/>
    <n v="4"/>
    <n v="1"/>
    <n v="1"/>
    <n v="2"/>
    <n v="18"/>
    <x v="8"/>
    <x v="349"/>
    <n v="2"/>
    <x v="3"/>
    <x v="17"/>
  </r>
  <r>
    <n v="368"/>
    <m/>
    <m/>
    <d v="2015-08-22T01:26:38"/>
    <d v="2015-08-21T21:26:39"/>
    <n v="1"/>
    <n v="1"/>
    <n v="2"/>
    <n v="1"/>
    <n v="1"/>
    <n v="2"/>
    <n v="11"/>
    <x v="0"/>
    <x v="350"/>
    <n v="21"/>
    <x v="4"/>
    <x v="2"/>
  </r>
  <r>
    <n v="369"/>
    <s v="Iowa"/>
    <s v="51038"/>
    <d v="2015-08-27T15:48:06"/>
    <d v="2015-08-27T15:48:07"/>
    <n v="1"/>
    <n v="6"/>
    <n v="4"/>
    <n v="2"/>
    <n v="1"/>
    <n v="2"/>
    <n v="22"/>
    <x v="0"/>
    <x v="351"/>
    <n v="27"/>
    <x v="1"/>
    <x v="10"/>
  </r>
  <r>
    <n v="370"/>
    <m/>
    <m/>
    <d v="2015-01-23T19:41:04"/>
    <d v="2015-01-23T19:41:22"/>
    <n v="1"/>
    <n v="0"/>
    <n v="4"/>
    <n v="5"/>
    <n v="1"/>
    <n v="2"/>
    <n v="9"/>
    <x v="1"/>
    <x v="352"/>
    <n v="23"/>
    <x v="4"/>
    <x v="12"/>
  </r>
  <r>
    <n v="371"/>
    <s v="Illinois"/>
    <s v="60655"/>
    <d v="2015-02-13T21:25:48"/>
    <d v="2015-02-19T12:44:15"/>
    <n v="3"/>
    <n v="0"/>
    <n v="2"/>
    <n v="2"/>
    <n v="1"/>
    <n v="1"/>
    <n v="30.6"/>
    <x v="3"/>
    <x v="353"/>
    <n v="13"/>
    <x v="4"/>
    <x v="2"/>
  </r>
  <r>
    <n v="372"/>
    <s v="Virginia"/>
    <s v="22311"/>
    <d v="2015-08-10T16:22:18"/>
    <d v="2015-08-10T16:22:21"/>
    <n v="1"/>
    <n v="8"/>
    <n v="2"/>
    <n v="6"/>
    <n v="1"/>
    <n v="1"/>
    <n v="29.92"/>
    <x v="0"/>
    <x v="354"/>
    <n v="10"/>
    <x v="3"/>
    <x v="4"/>
  </r>
  <r>
    <n v="373"/>
    <s v="Oregon"/>
    <s v="97420"/>
    <d v="2015-09-10T23:23:21"/>
    <d v="2015-09-10T23:23:23"/>
    <n v="1"/>
    <n v="1"/>
    <n v="4"/>
    <n v="6"/>
    <n v="1"/>
    <n v="1"/>
    <n v="56.32"/>
    <x v="5"/>
    <x v="355"/>
    <n v="10"/>
    <x v="1"/>
    <x v="0"/>
  </r>
  <r>
    <n v="374"/>
    <s v="North Carolina"/>
    <s v="27012"/>
    <d v="2015-06-29T13:20:23"/>
    <d v="2015-06-29T09:20:41"/>
    <n v="1"/>
    <n v="4"/>
    <n v="2"/>
    <n v="2"/>
    <n v="1"/>
    <n v="1"/>
    <n v="72"/>
    <x v="6"/>
    <x v="356"/>
    <n v="29"/>
    <x v="3"/>
    <x v="15"/>
  </r>
  <r>
    <n v="375"/>
    <m/>
    <m/>
    <d v="2015-07-06T11:42:08"/>
    <d v="2015-07-06T07:42:09"/>
    <n v="1"/>
    <n v="2"/>
    <n v="10"/>
    <n v="11"/>
    <n v="1"/>
    <n v="2"/>
    <n v="18"/>
    <x v="2"/>
    <x v="357"/>
    <n v="6"/>
    <x v="3"/>
    <x v="16"/>
  </r>
  <r>
    <n v="376"/>
    <s v="Massachusetts"/>
    <s v="01267"/>
    <d v="2015-07-16T11:21:01"/>
    <d v="2015-07-16T11:21:04"/>
    <n v="1"/>
    <n v="4"/>
    <n v="4"/>
    <n v="2"/>
    <n v="1"/>
    <n v="2"/>
    <n v="18.399999999999999"/>
    <x v="2"/>
    <x v="358"/>
    <n v="16"/>
    <x v="1"/>
    <x v="3"/>
  </r>
  <r>
    <n v="377"/>
    <s v="Massachusetts"/>
    <s v="02653"/>
    <d v="2015-01-29T21:50:08"/>
    <d v="2015-01-29T21:50:14"/>
    <n v="1"/>
    <n v="2"/>
    <n v="12"/>
    <n v="1"/>
    <n v="1"/>
    <n v="12"/>
    <n v="91.8"/>
    <x v="1"/>
    <x v="359"/>
    <n v="29"/>
    <x v="1"/>
    <x v="2"/>
  </r>
  <r>
    <n v="378"/>
    <s v="North Carolina"/>
    <s v="28411"/>
    <d v="2015-07-07T08:27:45"/>
    <d v="2015-07-07T08:27:48"/>
    <n v="1"/>
    <n v="0"/>
    <n v="2"/>
    <n v="2"/>
    <n v="1"/>
    <n v="4"/>
    <n v="28.8"/>
    <x v="2"/>
    <x v="360"/>
    <n v="7"/>
    <x v="5"/>
    <x v="18"/>
  </r>
  <r>
    <n v="379"/>
    <s v="South Carolina"/>
    <s v="29715"/>
    <d v="2015-04-23T10:15:49"/>
    <d v="2015-04-24T09:16:21"/>
    <n v="2"/>
    <n v="1"/>
    <n v="6"/>
    <n v="1"/>
    <n v="1"/>
    <n v="3"/>
    <n v="27"/>
    <x v="7"/>
    <x v="361"/>
    <n v="23"/>
    <x v="1"/>
    <x v="13"/>
  </r>
  <r>
    <n v="380"/>
    <s v="New Hampshire"/>
    <s v="03755"/>
    <d v="2015-07-09T12:14:58"/>
    <d v="2015-07-09T08:15:04"/>
    <n v="1"/>
    <n v="4"/>
    <n v="6"/>
    <n v="2"/>
    <n v="1"/>
    <n v="3"/>
    <n v="105.6"/>
    <x v="2"/>
    <x v="362"/>
    <n v="9"/>
    <x v="1"/>
    <x v="18"/>
  </r>
  <r>
    <n v="381"/>
    <s v="Pennsylvania"/>
    <s v="18433"/>
    <d v="2015-06-04T13:21:58"/>
    <d v="2015-06-04T13:22:02"/>
    <n v="1"/>
    <n v="4"/>
    <n v="10"/>
    <n v="2"/>
    <n v="1"/>
    <n v="5"/>
    <n v="36"/>
    <x v="6"/>
    <x v="363"/>
    <n v="4"/>
    <x v="1"/>
    <x v="17"/>
  </r>
  <r>
    <n v="382"/>
    <m/>
    <m/>
    <d v="2015-02-28T21:08:22"/>
    <d v="2015-02-28T21:08:27"/>
    <n v="1"/>
    <n v="2"/>
    <n v="4"/>
    <n v="4"/>
    <n v="1"/>
    <n v="2"/>
    <n v="18"/>
    <x v="3"/>
    <x v="364"/>
    <n v="28"/>
    <x v="0"/>
    <x v="2"/>
  </r>
  <r>
    <n v="383"/>
    <s v="Minnesota"/>
    <s v="55419"/>
    <d v="2015-06-29T14:25:53"/>
    <d v="2015-06-30T08:00:08"/>
    <n v="3"/>
    <n v="0"/>
    <n v="2"/>
    <n v="3"/>
    <n v="1"/>
    <n v="1"/>
    <n v="28.8"/>
    <x v="6"/>
    <x v="365"/>
    <n v="29"/>
    <x v="3"/>
    <x v="9"/>
  </r>
  <r>
    <n v="384"/>
    <s v="Massachusetts"/>
    <s v="01440"/>
    <d v="2015-07-12T10:52:39"/>
    <d v="2015-07-12T10:53:10"/>
    <n v="1"/>
    <n v="2"/>
    <n v="8"/>
    <n v="2"/>
    <n v="1"/>
    <n v="4"/>
    <n v="28.8"/>
    <x v="2"/>
    <x v="366"/>
    <n v="12"/>
    <x v="2"/>
    <x v="13"/>
  </r>
  <r>
    <n v="385"/>
    <s v="Washington"/>
    <s v="98516"/>
    <d v="2015-02-12T16:22:54"/>
    <d v="2015-02-12T16:22:57"/>
    <n v="1"/>
    <n v="2"/>
    <n v="2"/>
    <n v="1"/>
    <n v="1"/>
    <n v="1"/>
    <n v="28.8"/>
    <x v="3"/>
    <x v="367"/>
    <n v="12"/>
    <x v="1"/>
    <x v="4"/>
  </r>
  <r>
    <n v="386"/>
    <s v="Ohio"/>
    <s v="43606"/>
    <d v="2015-01-21T08:14:33"/>
    <d v="2015-02-11T08:18:35"/>
    <n v="3"/>
    <n v="0"/>
    <n v="4"/>
    <n v="3"/>
    <n v="1"/>
    <n v="4"/>
    <n v="28.8"/>
    <x v="1"/>
    <x v="368"/>
    <n v="21"/>
    <x v="6"/>
    <x v="18"/>
  </r>
  <r>
    <n v="387"/>
    <s v="New York"/>
    <s v="14209"/>
    <d v="2015-07-01T13:06:28"/>
    <d v="2015-07-01T13:06:32"/>
    <n v="1"/>
    <n v="2"/>
    <n v="4"/>
    <n v="2"/>
    <n v="1"/>
    <n v="2"/>
    <n v="57.6"/>
    <x v="2"/>
    <x v="369"/>
    <n v="1"/>
    <x v="6"/>
    <x v="17"/>
  </r>
  <r>
    <n v="388"/>
    <s v="Georgia"/>
    <s v="30813"/>
    <d v="2015-03-22T18:36:03"/>
    <d v="2015-03-22T18:36:09"/>
    <n v="1"/>
    <n v="0"/>
    <n v="6"/>
    <n v="1"/>
    <n v="1"/>
    <n v="6"/>
    <n v="43.2"/>
    <x v="8"/>
    <x v="370"/>
    <n v="22"/>
    <x v="2"/>
    <x v="6"/>
  </r>
  <r>
    <n v="389"/>
    <s v="Florida"/>
    <s v="32164"/>
    <d v="2015-01-23T07:23:13"/>
    <d v="2015-01-23T07:23:18"/>
    <n v="1"/>
    <n v="10"/>
    <n v="6"/>
    <n v="2"/>
    <n v="1"/>
    <n v="2"/>
    <n v="9"/>
    <x v="1"/>
    <x v="371"/>
    <n v="23"/>
    <x v="4"/>
    <x v="16"/>
  </r>
  <r>
    <n v="390"/>
    <s v="California"/>
    <s v="94544"/>
    <d v="2015-05-22T10:38:17"/>
    <d v="2015-05-22T10:38:20"/>
    <n v="1"/>
    <n v="2"/>
    <n v="2"/>
    <n v="2"/>
    <n v="1"/>
    <n v="1"/>
    <n v="28.8"/>
    <x v="4"/>
    <x v="372"/>
    <n v="22"/>
    <x v="4"/>
    <x v="13"/>
  </r>
  <r>
    <n v="391"/>
    <s v="California"/>
    <s v="94122"/>
    <d v="2015-03-10T21:17:07"/>
    <d v="2015-03-11T00:57:03"/>
    <n v="2"/>
    <n v="2"/>
    <n v="8"/>
    <n v="1"/>
    <n v="1"/>
    <n v="4"/>
    <n v="28.8"/>
    <x v="8"/>
    <x v="373"/>
    <n v="10"/>
    <x v="5"/>
    <x v="2"/>
  </r>
  <r>
    <n v="392"/>
    <s v="Florida"/>
    <s v="32792"/>
    <d v="2015-02-20T18:04:43"/>
    <d v="2015-02-20T18:04:48"/>
    <n v="1"/>
    <n v="0"/>
    <n v="6"/>
    <n v="1"/>
    <n v="1"/>
    <n v="3"/>
    <n v="18"/>
    <x v="3"/>
    <x v="374"/>
    <n v="20"/>
    <x v="4"/>
    <x v="6"/>
  </r>
  <r>
    <n v="393"/>
    <m/>
    <m/>
    <d v="2015-01-22T12:27:07"/>
    <d v="2015-01-22T12:27:13"/>
    <n v="1"/>
    <n v="0"/>
    <n v="6"/>
    <n v="12"/>
    <n v="1"/>
    <n v="2"/>
    <n v="9"/>
    <x v="1"/>
    <x v="375"/>
    <n v="22"/>
    <x v="1"/>
    <x v="7"/>
  </r>
  <r>
    <n v="394"/>
    <s v="Missouri"/>
    <s v="63127"/>
    <d v="2015-02-25T18:33:20"/>
    <d v="2015-02-25T18:33:26"/>
    <n v="1"/>
    <n v="0"/>
    <n v="2"/>
    <n v="1"/>
    <n v="1"/>
    <n v="4"/>
    <n v="28.8"/>
    <x v="3"/>
    <x v="376"/>
    <n v="25"/>
    <x v="6"/>
    <x v="6"/>
  </r>
  <r>
    <n v="395"/>
    <s v="Michigan"/>
    <s v="48045"/>
    <d v="2015-08-12T22:49:41"/>
    <d v="2015-08-12T18:49:45"/>
    <n v="1"/>
    <n v="8"/>
    <n v="6"/>
    <n v="4"/>
    <n v="1"/>
    <n v="3"/>
    <n v="52"/>
    <x v="0"/>
    <x v="377"/>
    <n v="12"/>
    <x v="6"/>
    <x v="6"/>
  </r>
  <r>
    <n v="397"/>
    <s v="Idaho"/>
    <s v="83702"/>
    <d v="2015-02-02T23:56:04"/>
    <d v="2015-02-02T23:56:10"/>
    <n v="1"/>
    <n v="0"/>
    <n v="4"/>
    <n v="1"/>
    <n v="1"/>
    <n v="2"/>
    <n v="9"/>
    <x v="3"/>
    <x v="378"/>
    <n v="2"/>
    <x v="3"/>
    <x v="0"/>
  </r>
  <r>
    <n v="398"/>
    <s v="Nevada"/>
    <s v="89121"/>
    <d v="2015-06-09T06:05:56"/>
    <d v="2015-06-09T02:06:01"/>
    <n v="1"/>
    <n v="2"/>
    <n v="2"/>
    <n v="2"/>
    <n v="1"/>
    <n v="4"/>
    <n v="28.8"/>
    <x v="6"/>
    <x v="379"/>
    <n v="9"/>
    <x v="5"/>
    <x v="21"/>
  </r>
  <r>
    <n v="399"/>
    <m/>
    <m/>
    <d v="2015-08-06T17:28:16"/>
    <d v="2015-08-20T22:56:44"/>
    <n v="2"/>
    <n v="4"/>
    <n v="4"/>
    <n v="4"/>
    <n v="1"/>
    <n v="1"/>
    <n v="28.05"/>
    <x v="0"/>
    <x v="380"/>
    <n v="20"/>
    <x v="1"/>
    <x v="1"/>
  </r>
  <r>
    <n v="400"/>
    <m/>
    <m/>
    <d v="2015-02-15T02:48:02"/>
    <d v="2015-02-18T18:25:45"/>
    <n v="4"/>
    <n v="4"/>
    <n v="2"/>
    <n v="3"/>
    <n v="1"/>
    <n v="1"/>
    <n v="57.6"/>
    <x v="3"/>
    <x v="381"/>
    <n v="15"/>
    <x v="2"/>
    <x v="21"/>
  </r>
  <r>
    <n v="401"/>
    <s v="Georgia"/>
    <s v="31047"/>
    <d v="2015-04-18T23:14:29"/>
    <d v="2015-04-18T23:14:35"/>
    <n v="1"/>
    <n v="0"/>
    <n v="10"/>
    <n v="2"/>
    <n v="1"/>
    <n v="6"/>
    <n v="54"/>
    <x v="7"/>
    <x v="382"/>
    <n v="18"/>
    <x v="0"/>
    <x v="0"/>
  </r>
  <r>
    <n v="402"/>
    <s v="Maryland"/>
    <s v="21218"/>
    <d v="2015-03-16T09:05:56"/>
    <d v="2015-03-16T09:06:04"/>
    <n v="1"/>
    <n v="2"/>
    <n v="2"/>
    <n v="1"/>
    <n v="1"/>
    <n v="1"/>
    <n v="28.8"/>
    <x v="8"/>
    <x v="383"/>
    <n v="16"/>
    <x v="3"/>
    <x v="15"/>
  </r>
  <r>
    <n v="403"/>
    <s v="Maryland"/>
    <s v="20882"/>
    <d v="2015-06-12T15:03:19"/>
    <d v="2015-06-12T15:03:24"/>
    <n v="1"/>
    <n v="10"/>
    <n v="16"/>
    <n v="2"/>
    <n v="1"/>
    <n v="7"/>
    <n v="72"/>
    <x v="6"/>
    <x v="384"/>
    <n v="12"/>
    <x v="4"/>
    <x v="10"/>
  </r>
  <r>
    <n v="404"/>
    <s v="New York"/>
    <s v="11375"/>
    <d v="2015-03-17T01:04:09"/>
    <d v="2015-03-17T01:04:15"/>
    <n v="1"/>
    <n v="2"/>
    <n v="8"/>
    <n v="1"/>
    <n v="1"/>
    <n v="4"/>
    <n v="28.8"/>
    <x v="8"/>
    <x v="385"/>
    <n v="17"/>
    <x v="5"/>
    <x v="20"/>
  </r>
  <r>
    <n v="405"/>
    <s v="Iowa"/>
    <s v="50325"/>
    <d v="2015-05-18T22:16:03"/>
    <d v="2015-05-18T22:16:06"/>
    <n v="1"/>
    <n v="0"/>
    <n v="6"/>
    <n v="2"/>
    <n v="1"/>
    <n v="3"/>
    <n v="21.6"/>
    <x v="4"/>
    <x v="386"/>
    <n v="18"/>
    <x v="3"/>
    <x v="1"/>
  </r>
  <r>
    <n v="406"/>
    <s v="Arizona"/>
    <s v="85016"/>
    <d v="2015-05-18T11:53:54"/>
    <d v="2015-05-19T09:37:58"/>
    <n v="3"/>
    <n v="4"/>
    <n v="4"/>
    <n v="3"/>
    <n v="1"/>
    <n v="6"/>
    <n v="43.2"/>
    <x v="4"/>
    <x v="387"/>
    <n v="18"/>
    <x v="3"/>
    <x v="3"/>
  </r>
  <r>
    <n v="407"/>
    <s v="Minnesota"/>
    <s v="55416"/>
    <d v="2015-01-29T12:56:30"/>
    <d v="2015-01-29T12:56:35"/>
    <n v="1"/>
    <n v="4"/>
    <n v="4"/>
    <n v="1"/>
    <n v="1"/>
    <n v="2"/>
    <n v="9"/>
    <x v="1"/>
    <x v="388"/>
    <n v="29"/>
    <x v="1"/>
    <x v="7"/>
  </r>
  <r>
    <n v="408"/>
    <s v="California"/>
    <s v="94117"/>
    <d v="2015-06-17T02:49:23"/>
    <d v="2015-06-17T02:49:26"/>
    <n v="1"/>
    <n v="2"/>
    <n v="2"/>
    <n v="2"/>
    <n v="1"/>
    <n v="4"/>
    <n v="28.8"/>
    <x v="6"/>
    <x v="389"/>
    <n v="17"/>
    <x v="6"/>
    <x v="21"/>
  </r>
  <r>
    <n v="409"/>
    <s v="Virginia"/>
    <s v="20136"/>
    <d v="2015-09-19T14:44:03"/>
    <d v="2015-09-19T10:44:07"/>
    <n v="1"/>
    <n v="4"/>
    <n v="4"/>
    <n v="2"/>
    <n v="1"/>
    <n v="2"/>
    <n v="74.8"/>
    <x v="5"/>
    <x v="390"/>
    <n v="19"/>
    <x v="0"/>
    <x v="13"/>
  </r>
  <r>
    <n v="410"/>
    <s v="California"/>
    <s v="91107"/>
    <d v="2015-02-15T19:52:05"/>
    <d v="2015-02-15T19:52:11"/>
    <n v="1"/>
    <n v="2"/>
    <n v="4"/>
    <n v="1"/>
    <n v="1"/>
    <n v="2"/>
    <n v="57.6"/>
    <x v="3"/>
    <x v="391"/>
    <n v="15"/>
    <x v="2"/>
    <x v="12"/>
  </r>
  <r>
    <n v="411"/>
    <s v="North Carolina"/>
    <s v="28305"/>
    <d v="2015-09-01T07:37:53"/>
    <d v="2015-09-01T14:59:18"/>
    <n v="5"/>
    <n v="9"/>
    <n v="8"/>
    <n v="10"/>
    <n v="1"/>
    <n v="3"/>
    <n v="86.8"/>
    <x v="5"/>
    <x v="392"/>
    <n v="1"/>
    <x v="5"/>
    <x v="7"/>
  </r>
  <r>
    <n v="412"/>
    <m/>
    <m/>
    <d v="2015-08-24T16:03:22"/>
    <d v="2015-08-24T12:03:24"/>
    <n v="1"/>
    <n v="6"/>
    <n v="4"/>
    <n v="5"/>
    <n v="1"/>
    <n v="1"/>
    <n v="29.92"/>
    <x v="0"/>
    <x v="393"/>
    <n v="24"/>
    <x v="3"/>
    <x v="7"/>
  </r>
  <r>
    <n v="413"/>
    <s v="California"/>
    <s v="94521"/>
    <d v="2015-08-17T21:30:54"/>
    <d v="2015-08-17T21:31:00"/>
    <n v="1"/>
    <n v="6"/>
    <n v="8"/>
    <n v="2"/>
    <n v="1"/>
    <n v="4"/>
    <n v="77.55"/>
    <x v="0"/>
    <x v="394"/>
    <n v="17"/>
    <x v="3"/>
    <x v="2"/>
  </r>
  <r>
    <n v="414"/>
    <s v="Massachusetts"/>
    <s v="02019"/>
    <d v="2015-06-28T19:11:27"/>
    <d v="2015-06-28T21:25:29"/>
    <n v="3"/>
    <n v="6"/>
    <n v="4"/>
    <n v="2"/>
    <n v="1"/>
    <n v="2"/>
    <n v="144"/>
    <x v="6"/>
    <x v="395"/>
    <n v="28"/>
    <x v="2"/>
    <x v="12"/>
  </r>
  <r>
    <n v="415"/>
    <m/>
    <m/>
    <d v="2015-01-16T19:13:32"/>
    <d v="2015-01-16T19:13:37"/>
    <n v="1"/>
    <n v="0"/>
    <n v="8"/>
    <n v="10"/>
    <n v="1"/>
    <n v="2"/>
    <n v="57.6"/>
    <x v="1"/>
    <x v="396"/>
    <n v="16"/>
    <x v="4"/>
    <x v="12"/>
  </r>
  <r>
    <n v="416"/>
    <m/>
    <m/>
    <d v="2015-03-05T17:59:14"/>
    <d v="2015-03-05T17:59:19"/>
    <n v="1"/>
    <n v="0"/>
    <n v="4"/>
    <n v="7"/>
    <n v="1"/>
    <n v="2"/>
    <n v="14.4"/>
    <x v="8"/>
    <x v="397"/>
    <n v="5"/>
    <x v="1"/>
    <x v="8"/>
  </r>
  <r>
    <n v="417"/>
    <s v="North Carolina"/>
    <s v="28374"/>
    <d v="2015-07-16T10:54:32"/>
    <d v="2015-07-16T10:54:36"/>
    <n v="1"/>
    <n v="0"/>
    <n v="2"/>
    <n v="2"/>
    <n v="1"/>
    <n v="1"/>
    <n v="37.4"/>
    <x v="2"/>
    <x v="398"/>
    <n v="16"/>
    <x v="1"/>
    <x v="13"/>
  </r>
  <r>
    <n v="418"/>
    <s v="Georgia"/>
    <s v="30721"/>
    <d v="2015-02-24T01:32:15"/>
    <d v="2015-03-02T02:11:21"/>
    <n v="2"/>
    <n v="0"/>
    <n v="4"/>
    <n v="2"/>
    <n v="1"/>
    <n v="2"/>
    <n v="9"/>
    <x v="3"/>
    <x v="399"/>
    <n v="24"/>
    <x v="5"/>
    <x v="20"/>
  </r>
  <r>
    <n v="419"/>
    <m/>
    <m/>
    <d v="2015-06-11T21:40:44"/>
    <d v="2015-06-11T17:40:48"/>
    <n v="1"/>
    <n v="0"/>
    <n v="4"/>
    <n v="4"/>
    <n v="1"/>
    <n v="2"/>
    <n v="12"/>
    <x v="6"/>
    <x v="400"/>
    <n v="11"/>
    <x v="1"/>
    <x v="8"/>
  </r>
  <r>
    <n v="420"/>
    <s v="Georgia"/>
    <s v="30224"/>
    <d v="2015-08-21T11:22:52"/>
    <d v="2015-08-21T11:22:56"/>
    <n v="1"/>
    <n v="6"/>
    <n v="6"/>
    <n v="4"/>
    <n v="1"/>
    <n v="2"/>
    <n v="80.849999999999994"/>
    <x v="0"/>
    <x v="401"/>
    <n v="21"/>
    <x v="4"/>
    <x v="3"/>
  </r>
  <r>
    <n v="421"/>
    <s v="Ohio"/>
    <s v="43228"/>
    <d v="2015-06-06T16:14:38"/>
    <d v="2015-06-06T12:14:44"/>
    <n v="1"/>
    <n v="4"/>
    <n v="6"/>
    <n v="2"/>
    <n v="1"/>
    <n v="3"/>
    <n v="81.599999999999994"/>
    <x v="6"/>
    <x v="402"/>
    <n v="6"/>
    <x v="0"/>
    <x v="7"/>
  </r>
  <r>
    <n v="422"/>
    <s v="Ohio"/>
    <s v="43952"/>
    <d v="2015-07-13T10:24:43"/>
    <d v="2015-07-13T12:39:04"/>
    <n v="6"/>
    <n v="0"/>
    <n v="2"/>
    <n v="2"/>
    <n v="1"/>
    <n v="1"/>
    <n v="36"/>
    <x v="2"/>
    <x v="403"/>
    <n v="13"/>
    <x v="3"/>
    <x v="13"/>
  </r>
  <r>
    <n v="423"/>
    <s v="Washington"/>
    <s v="98074"/>
    <d v="2015-08-03T12:43:20"/>
    <d v="2015-08-03T12:43:23"/>
    <n v="1"/>
    <n v="2"/>
    <n v="2"/>
    <n v="2"/>
    <n v="1"/>
    <n v="1"/>
    <n v="56.32"/>
    <x v="0"/>
    <x v="404"/>
    <n v="3"/>
    <x v="3"/>
    <x v="7"/>
  </r>
  <r>
    <n v="424"/>
    <s v="Florida"/>
    <s v="33314"/>
    <d v="2015-01-25T16:08:00"/>
    <d v="2015-01-25T16:08:04"/>
    <n v="1"/>
    <n v="0"/>
    <n v="6"/>
    <n v="4"/>
    <n v="1"/>
    <n v="2"/>
    <n v="9"/>
    <x v="1"/>
    <x v="405"/>
    <n v="25"/>
    <x v="2"/>
    <x v="4"/>
  </r>
  <r>
    <n v="425"/>
    <m/>
    <m/>
    <d v="2015-07-29T13:59:20"/>
    <d v="2015-07-29T09:59:21"/>
    <n v="1"/>
    <n v="2"/>
    <n v="3"/>
    <n v="4"/>
    <n v="1"/>
    <n v="2"/>
    <n v="11"/>
    <x v="2"/>
    <x v="406"/>
    <n v="29"/>
    <x v="6"/>
    <x v="13"/>
  </r>
  <r>
    <n v="426"/>
    <s v="Alabama"/>
    <s v="35213"/>
    <d v="2015-05-22T11:21:00"/>
    <d v="2015-05-22T11:21:03"/>
    <n v="1"/>
    <n v="2"/>
    <n v="2"/>
    <n v="2"/>
    <n v="1"/>
    <n v="1"/>
    <n v="28.8"/>
    <x v="4"/>
    <x v="407"/>
    <n v="22"/>
    <x v="4"/>
    <x v="3"/>
  </r>
  <r>
    <n v="427"/>
    <s v="Arizona"/>
    <s v="85304"/>
    <d v="2015-06-12T17:27:59"/>
    <d v="2015-06-12T13:28:04"/>
    <n v="1"/>
    <n v="8"/>
    <n v="8"/>
    <n v="2"/>
    <n v="1"/>
    <n v="4"/>
    <n v="28.8"/>
    <x v="6"/>
    <x v="408"/>
    <n v="12"/>
    <x v="4"/>
    <x v="17"/>
  </r>
  <r>
    <n v="428"/>
    <s v="Kansas"/>
    <s v="66202"/>
    <d v="2015-08-15T13:58:54"/>
    <d v="2015-08-15T13:58:57"/>
    <n v="1"/>
    <n v="2"/>
    <n v="2"/>
    <n v="2"/>
    <n v="1"/>
    <n v="1"/>
    <n v="29.92"/>
    <x v="0"/>
    <x v="409"/>
    <n v="15"/>
    <x v="0"/>
    <x v="17"/>
  </r>
  <r>
    <n v="429"/>
    <s v="New Jersey"/>
    <s v="7752"/>
    <d v="2015-03-14T07:41:27"/>
    <d v="2015-03-14T07:41:39"/>
    <n v="1"/>
    <n v="2"/>
    <n v="4"/>
    <n v="2"/>
    <n v="1"/>
    <n v="2"/>
    <n v="18"/>
    <x v="8"/>
    <x v="410"/>
    <n v="14"/>
    <x v="0"/>
    <x v="16"/>
  </r>
  <r>
    <n v="430"/>
    <s v="Virginia"/>
    <s v="22101"/>
    <d v="2015-06-12T01:10:16"/>
    <d v="2015-06-11T21:10:22"/>
    <n v="1"/>
    <n v="2"/>
    <n v="4"/>
    <n v="2"/>
    <n v="1"/>
    <n v="2"/>
    <n v="57.6"/>
    <x v="6"/>
    <x v="411"/>
    <n v="11"/>
    <x v="1"/>
    <x v="2"/>
  </r>
  <r>
    <n v="431"/>
    <s v="Wisconsin"/>
    <s v="54165"/>
    <d v="2015-06-26T18:48:00"/>
    <d v="2015-06-26T14:48:05"/>
    <n v="1"/>
    <n v="4"/>
    <n v="8"/>
    <n v="2"/>
    <n v="1"/>
    <n v="4"/>
    <n v="28.8"/>
    <x v="6"/>
    <x v="412"/>
    <n v="26"/>
    <x v="4"/>
    <x v="9"/>
  </r>
  <r>
    <n v="432"/>
    <s v="California"/>
    <s v="92504"/>
    <d v="2015-09-18T17:15:30"/>
    <d v="2015-09-18T17:15:34"/>
    <n v="1"/>
    <n v="2"/>
    <n v="2"/>
    <n v="2"/>
    <n v="1"/>
    <n v="1"/>
    <n v="29.92"/>
    <x v="5"/>
    <x v="413"/>
    <n v="18"/>
    <x v="4"/>
    <x v="8"/>
  </r>
  <r>
    <n v="433"/>
    <s v="Texas"/>
    <s v="78732"/>
    <d v="2015-07-24T14:23:33"/>
    <d v="2015-07-24T14:23:37"/>
    <n v="1"/>
    <n v="2"/>
    <n v="6"/>
    <n v="2"/>
    <n v="1"/>
    <n v="2"/>
    <n v="22"/>
    <x v="2"/>
    <x v="414"/>
    <n v="24"/>
    <x v="4"/>
    <x v="9"/>
  </r>
  <r>
    <n v="434"/>
    <s v="Ohio"/>
    <s v="44140"/>
    <d v="2015-07-03T00:13:39"/>
    <d v="2015-07-02T20:13:41"/>
    <n v="1"/>
    <n v="2"/>
    <n v="16"/>
    <n v="4"/>
    <n v="1"/>
    <n v="4"/>
    <n v="28.8"/>
    <x v="2"/>
    <x v="415"/>
    <n v="2"/>
    <x v="1"/>
    <x v="5"/>
  </r>
  <r>
    <n v="435"/>
    <m/>
    <m/>
    <d v="2015-01-19T13:27:21"/>
    <d v="2015-02-25T21:26:29"/>
    <n v="3"/>
    <n v="0"/>
    <n v="1"/>
    <n v="2"/>
    <n v="1"/>
    <n v="4"/>
    <n v="28.8"/>
    <x v="3"/>
    <x v="416"/>
    <n v="25"/>
    <x v="6"/>
    <x v="2"/>
  </r>
  <r>
    <n v="436"/>
    <s v="Maryland"/>
    <s v="21042"/>
    <d v="2015-01-21T22:02:27"/>
    <d v="2015-01-21T22:02:30"/>
    <n v="1"/>
    <n v="0"/>
    <n v="2"/>
    <n v="2"/>
    <n v="1"/>
    <n v="1"/>
    <n v="57.6"/>
    <x v="1"/>
    <x v="417"/>
    <n v="21"/>
    <x v="6"/>
    <x v="1"/>
  </r>
  <r>
    <n v="437"/>
    <m/>
    <m/>
    <d v="2015-05-20T13:16:51"/>
    <d v="2015-05-20T09:16:54"/>
    <n v="1"/>
    <n v="0"/>
    <n v="10"/>
    <n v="10"/>
    <n v="1"/>
    <n v="1"/>
    <n v="28.8"/>
    <x v="4"/>
    <x v="418"/>
    <n v="20"/>
    <x v="6"/>
    <x v="15"/>
  </r>
  <r>
    <n v="438"/>
    <s v="Connecticut"/>
    <s v="06825"/>
    <d v="2015-03-04T10:36:22"/>
    <d v="2015-03-04T10:36:28"/>
    <n v="1"/>
    <n v="0"/>
    <n v="14"/>
    <n v="1"/>
    <n v="1"/>
    <n v="7"/>
    <n v="50.4"/>
    <x v="8"/>
    <x v="419"/>
    <n v="4"/>
    <x v="6"/>
    <x v="13"/>
  </r>
  <r>
    <n v="439"/>
    <s v="Pennsylvania"/>
    <s v="18643"/>
    <d v="2015-01-26T11:33:40"/>
    <d v="2015-02-23T17:01:16"/>
    <n v="16"/>
    <n v="12"/>
    <n v="10"/>
    <n v="12"/>
    <n v="1"/>
    <n v="7"/>
    <n v="50.4"/>
    <x v="1"/>
    <x v="420"/>
    <n v="26"/>
    <x v="3"/>
    <x v="7"/>
  </r>
  <r>
    <n v="440"/>
    <s v="Indiana"/>
    <s v="47803"/>
    <d v="2015-03-12T09:36:35"/>
    <d v="2015-03-12T09:36:40"/>
    <n v="1"/>
    <n v="0"/>
    <n v="8"/>
    <n v="1"/>
    <n v="1"/>
    <n v="4"/>
    <n v="28.8"/>
    <x v="8"/>
    <x v="421"/>
    <n v="12"/>
    <x v="1"/>
    <x v="15"/>
  </r>
  <r>
    <n v="441"/>
    <s v="Florida"/>
    <s v="34275"/>
    <d v="2015-06-07T20:42:53"/>
    <d v="2015-06-07T16:43:00"/>
    <n v="1"/>
    <n v="0"/>
    <n v="4"/>
    <n v="2"/>
    <n v="1"/>
    <n v="2"/>
    <n v="36"/>
    <x v="6"/>
    <x v="422"/>
    <n v="7"/>
    <x v="2"/>
    <x v="4"/>
  </r>
  <r>
    <n v="442"/>
    <s v="Maine"/>
    <s v="04105"/>
    <d v="2015-05-16T05:06:51"/>
    <d v="2015-05-16T05:06:54"/>
    <n v="1"/>
    <n v="2"/>
    <n v="2"/>
    <n v="5"/>
    <n v="1"/>
    <n v="4"/>
    <n v="28.8"/>
    <x v="4"/>
    <x v="423"/>
    <n v="16"/>
    <x v="0"/>
    <x v="22"/>
  </r>
  <r>
    <n v="444"/>
    <s v="Maryland"/>
    <s v="21042"/>
    <d v="2013-09-20T19:25:06"/>
    <d v="2015-07-06T23:18:47"/>
    <n v="2"/>
    <n v="0"/>
    <n v="2"/>
    <n v="3"/>
    <n v="1"/>
    <n v="1"/>
    <n v="28.8"/>
    <x v="2"/>
    <x v="424"/>
    <n v="6"/>
    <x v="3"/>
    <x v="0"/>
  </r>
  <r>
    <n v="445"/>
    <m/>
    <m/>
    <d v="2015-02-12T14:58:25"/>
    <d v="2015-02-12T17:35:52"/>
    <n v="3"/>
    <n v="0"/>
    <n v="2"/>
    <n v="3"/>
    <n v="1"/>
    <n v="1"/>
    <n v="27"/>
    <x v="3"/>
    <x v="425"/>
    <n v="12"/>
    <x v="1"/>
    <x v="9"/>
  </r>
  <r>
    <n v="446"/>
    <s v="California"/>
    <s v="91942"/>
    <d v="2015-03-25T16:51:42"/>
    <d v="2015-03-25T16:51:45"/>
    <n v="1"/>
    <n v="1"/>
    <n v="8"/>
    <n v="3"/>
    <n v="1"/>
    <n v="2"/>
    <n v="52.8"/>
    <x v="8"/>
    <x v="426"/>
    <n v="25"/>
    <x v="6"/>
    <x v="4"/>
  </r>
  <r>
    <n v="447"/>
    <s v="New York"/>
    <s v="11229"/>
    <d v="2015-01-27T15:34:11"/>
    <d v="2015-03-13T18:19:45"/>
    <n v="6"/>
    <n v="1"/>
    <n v="11"/>
    <n v="9"/>
    <n v="3"/>
    <n v="9"/>
    <n v="18"/>
    <x v="1"/>
    <x v="427"/>
    <n v="27"/>
    <x v="5"/>
    <x v="10"/>
  </r>
  <r>
    <n v="448"/>
    <s v="Pennsylvania"/>
    <s v="17601"/>
    <d v="2015-09-12T20:40:43"/>
    <d v="2015-09-13T15:23:25"/>
    <n v="2"/>
    <n v="0"/>
    <n v="2"/>
    <n v="23"/>
    <n v="1"/>
    <n v="1"/>
    <n v="29.92"/>
    <x v="5"/>
    <x v="428"/>
    <n v="12"/>
    <x v="0"/>
    <x v="5"/>
  </r>
  <r>
    <n v="449"/>
    <s v="New Jersey"/>
    <s v="08515"/>
    <d v="2015-02-04T08:01:23"/>
    <d v="2015-02-04T08:01:29"/>
    <n v="1"/>
    <n v="2"/>
    <n v="4"/>
    <n v="1"/>
    <n v="1"/>
    <n v="2"/>
    <n v="18"/>
    <x v="3"/>
    <x v="429"/>
    <n v="4"/>
    <x v="6"/>
    <x v="18"/>
  </r>
  <r>
    <n v="450"/>
    <s v="Connecticut"/>
    <s v="06801"/>
    <d v="2015-07-27T16:10:31"/>
    <d v="2015-07-27T16:10:35"/>
    <n v="1"/>
    <n v="0"/>
    <n v="2"/>
    <n v="2"/>
    <n v="1"/>
    <n v="1"/>
    <n v="29.92"/>
    <x v="2"/>
    <x v="430"/>
    <n v="27"/>
    <x v="3"/>
    <x v="4"/>
  </r>
  <r>
    <n v="451"/>
    <s v="South Carolina"/>
    <s v="29148"/>
    <d v="2015-04-27T11:22:19"/>
    <d v="2015-04-30T21:15:31"/>
    <n v="4"/>
    <n v="1"/>
    <n v="7"/>
    <n v="8"/>
    <n v="1"/>
    <n v="2"/>
    <n v="18"/>
    <x v="7"/>
    <x v="431"/>
    <n v="28"/>
    <x v="5"/>
    <x v="18"/>
  </r>
  <r>
    <n v="452"/>
    <s v="Washington"/>
    <s v="98030"/>
    <d v="2015-03-07T22:22:29"/>
    <d v="2015-03-07T22:22:35"/>
    <n v="1"/>
    <n v="0"/>
    <n v="10"/>
    <n v="2"/>
    <n v="1"/>
    <n v="4"/>
    <n v="28.8"/>
    <x v="8"/>
    <x v="432"/>
    <n v="7"/>
    <x v="0"/>
    <x v="1"/>
  </r>
  <r>
    <n v="453"/>
    <m/>
    <m/>
    <d v="2015-07-26T02:30:30"/>
    <d v="2015-07-25T22:30:31"/>
    <n v="1"/>
    <n v="5"/>
    <n v="7"/>
    <n v="1"/>
    <n v="1"/>
    <n v="2"/>
    <n v="59.84"/>
    <x v="2"/>
    <x v="433"/>
    <n v="25"/>
    <x v="0"/>
    <x v="1"/>
  </r>
  <r>
    <n v="454"/>
    <s v="California"/>
    <s v="90049"/>
    <d v="2015-05-31T11:45:31"/>
    <d v="2015-05-31T11:45:40"/>
    <n v="1"/>
    <n v="2"/>
    <n v="4"/>
    <n v="2"/>
    <n v="1"/>
    <n v="2"/>
    <n v="14.4"/>
    <x v="4"/>
    <x v="434"/>
    <n v="31"/>
    <x v="2"/>
    <x v="3"/>
  </r>
  <r>
    <n v="455"/>
    <m/>
    <m/>
    <d v="2015-01-14T13:17:48"/>
    <d v="2015-01-27T16:33:28"/>
    <n v="16"/>
    <n v="0"/>
    <n v="2"/>
    <n v="13"/>
    <n v="1"/>
    <n v="2"/>
    <n v="115.2"/>
    <x v="1"/>
    <x v="435"/>
    <n v="17"/>
    <x v="0"/>
    <x v="13"/>
  </r>
  <r>
    <n v="456"/>
    <s v="Indiana"/>
    <s v="46168"/>
    <d v="2015-09-12T07:30:29"/>
    <d v="2015-09-12T07:30:33"/>
    <n v="1"/>
    <n v="0"/>
    <n v="4"/>
    <n v="2"/>
    <n v="1"/>
    <n v="1"/>
    <n v="29.92"/>
    <x v="5"/>
    <x v="436"/>
    <n v="12"/>
    <x v="0"/>
    <x v="16"/>
  </r>
  <r>
    <n v="457"/>
    <s v="Connecticut"/>
    <s v="06483"/>
    <d v="2015-03-18T07:35:29"/>
    <d v="2015-03-18T07:35:34"/>
    <n v="1"/>
    <n v="0"/>
    <n v="2"/>
    <n v="2"/>
    <n v="1"/>
    <n v="1"/>
    <n v="57.6"/>
    <x v="8"/>
    <x v="437"/>
    <n v="18"/>
    <x v="6"/>
    <x v="16"/>
  </r>
  <r>
    <n v="458"/>
    <s v="Colorado"/>
    <s v="80022"/>
    <d v="2015-07-06T18:13:30"/>
    <d v="2015-07-06T18:13:33"/>
    <n v="1"/>
    <n v="2"/>
    <n v="6"/>
    <n v="3"/>
    <n v="1"/>
    <n v="1"/>
    <n v="28.8"/>
    <x v="2"/>
    <x v="438"/>
    <n v="6"/>
    <x v="3"/>
    <x v="6"/>
  </r>
  <r>
    <n v="459"/>
    <s v="Georgia"/>
    <s v="31501"/>
    <d v="2015-03-06T12:26:03"/>
    <d v="2015-03-06T12:26:12"/>
    <n v="1"/>
    <n v="0"/>
    <n v="10"/>
    <n v="11"/>
    <n v="1"/>
    <n v="1"/>
    <n v="28.8"/>
    <x v="8"/>
    <x v="439"/>
    <n v="6"/>
    <x v="4"/>
    <x v="7"/>
  </r>
  <r>
    <n v="460"/>
    <s v="Florida"/>
    <s v="32583"/>
    <d v="2015-07-21T03:15:36"/>
    <d v="2015-07-20T23:15:37"/>
    <n v="2"/>
    <n v="0"/>
    <n v="1"/>
    <n v="2"/>
    <n v="1"/>
    <n v="1"/>
    <n v="30.6"/>
    <x v="2"/>
    <x v="440"/>
    <n v="20"/>
    <x v="3"/>
    <x v="0"/>
  </r>
  <r>
    <n v="461"/>
    <s v="Washington"/>
    <s v="98371"/>
    <d v="2015-08-14T10:13:56"/>
    <d v="2015-08-14T21:56:45"/>
    <n v="6"/>
    <n v="4"/>
    <n v="4"/>
    <n v="2"/>
    <n v="1"/>
    <n v="1"/>
    <n v="37.4"/>
    <x v="0"/>
    <x v="441"/>
    <n v="14"/>
    <x v="4"/>
    <x v="13"/>
  </r>
  <r>
    <n v="462"/>
    <s v="Nevada"/>
    <s v="89179"/>
    <d v="2015-06-11T23:00:22"/>
    <d v="2015-06-11T23:00:30"/>
    <n v="1"/>
    <n v="10"/>
    <n v="13"/>
    <n v="3"/>
    <n v="1"/>
    <n v="8"/>
    <n v="54"/>
    <x v="6"/>
    <x v="442"/>
    <n v="11"/>
    <x v="1"/>
    <x v="0"/>
  </r>
  <r>
    <n v="463"/>
    <s v="North Carolina"/>
    <s v="28314"/>
    <d v="2015-01-18T11:52:27"/>
    <d v="2015-01-23T07:35:12"/>
    <n v="2"/>
    <n v="0"/>
    <n v="4"/>
    <n v="4"/>
    <n v="1"/>
    <n v="2"/>
    <n v="9"/>
    <x v="1"/>
    <x v="443"/>
    <n v="18"/>
    <x v="2"/>
    <x v="3"/>
  </r>
  <r>
    <n v="464"/>
    <s v="Maryland"/>
    <s v="21201"/>
    <d v="2015-08-11T19:23:41"/>
    <d v="2015-08-11T15:23:46"/>
    <n v="1"/>
    <n v="0"/>
    <n v="2"/>
    <n v="2"/>
    <n v="1"/>
    <n v="1"/>
    <n v="32.64"/>
    <x v="0"/>
    <x v="444"/>
    <n v="11"/>
    <x v="5"/>
    <x v="10"/>
  </r>
  <r>
    <n v="465"/>
    <s v="Massachusetts"/>
    <s v="01057"/>
    <d v="2015-01-29T20:51:41"/>
    <d v="2015-01-30T20:09:29"/>
    <n v="2"/>
    <n v="0"/>
    <n v="5"/>
    <n v="5"/>
    <n v="1"/>
    <n v="2"/>
    <n v="14.4"/>
    <x v="1"/>
    <x v="445"/>
    <n v="29"/>
    <x v="1"/>
    <x v="5"/>
  </r>
  <r>
    <n v="466"/>
    <s v="Georgia"/>
    <s v="30605"/>
    <d v="2015-06-08T13:45:37"/>
    <d v="2015-06-08T13:45:41"/>
    <n v="1"/>
    <n v="2"/>
    <n v="4"/>
    <n v="6"/>
    <n v="1"/>
    <n v="1"/>
    <n v="28.8"/>
    <x v="6"/>
    <x v="446"/>
    <n v="8"/>
    <x v="3"/>
    <x v="17"/>
  </r>
  <r>
    <n v="467"/>
    <s v="New York"/>
    <s v="10014"/>
    <d v="2015-06-16T11:12:08"/>
    <d v="2015-06-16T11:12:12"/>
    <n v="1"/>
    <n v="2"/>
    <n v="2"/>
    <n v="2"/>
    <n v="1"/>
    <n v="1"/>
    <n v="28.8"/>
    <x v="6"/>
    <x v="447"/>
    <n v="16"/>
    <x v="5"/>
    <x v="3"/>
  </r>
  <r>
    <n v="468"/>
    <s v="Florida"/>
    <s v="33315"/>
    <d v="2015-06-04T06:14:41"/>
    <d v="2015-06-04T06:14:44"/>
    <n v="1"/>
    <n v="2"/>
    <n v="2"/>
    <n v="2"/>
    <n v="1"/>
    <n v="1"/>
    <n v="28.8"/>
    <x v="6"/>
    <x v="448"/>
    <n v="4"/>
    <x v="1"/>
    <x v="11"/>
  </r>
  <r>
    <n v="469"/>
    <s v="New York"/>
    <s v="11367"/>
    <d v="2015-06-17T12:27:11"/>
    <d v="2015-06-17T08:27:17"/>
    <n v="1"/>
    <n v="4"/>
    <n v="6"/>
    <n v="2"/>
    <n v="1"/>
    <n v="3"/>
    <n v="21.6"/>
    <x v="6"/>
    <x v="449"/>
    <n v="17"/>
    <x v="6"/>
    <x v="18"/>
  </r>
  <r>
    <n v="470"/>
    <s v="New Jersey"/>
    <s v="08527"/>
    <d v="2015-01-28T10:33:37"/>
    <d v="2015-02-14T13:59:09"/>
    <n v="2"/>
    <n v="4"/>
    <n v="12"/>
    <n v="5"/>
    <n v="2"/>
    <n v="5"/>
    <n v="21.6"/>
    <x v="1"/>
    <x v="450"/>
    <n v="28"/>
    <x v="6"/>
    <x v="13"/>
  </r>
  <r>
    <n v="471"/>
    <s v="California"/>
    <s v="94070"/>
    <d v="2015-05-21T19:36:58"/>
    <d v="2015-05-21T19:37:03"/>
    <n v="1"/>
    <n v="2"/>
    <n v="2"/>
    <n v="2"/>
    <n v="1"/>
    <n v="1"/>
    <n v="28.8"/>
    <x v="4"/>
    <x v="451"/>
    <n v="21"/>
    <x v="1"/>
    <x v="12"/>
  </r>
  <r>
    <n v="472"/>
    <s v="Pennsylvania"/>
    <s v="19041"/>
    <d v="2015-09-18T12:12:32"/>
    <d v="2015-09-18T12:12:37"/>
    <n v="1"/>
    <n v="6"/>
    <n v="2"/>
    <n v="2"/>
    <n v="1"/>
    <n v="1"/>
    <n v="29.92"/>
    <x v="5"/>
    <x v="452"/>
    <n v="18"/>
    <x v="4"/>
    <x v="7"/>
  </r>
  <r>
    <n v="473"/>
    <s v="Arizona"/>
    <s v="85035"/>
    <d v="2015-01-13T16:43:27"/>
    <d v="2015-01-20T16:05:23"/>
    <n v="3"/>
    <n v="0"/>
    <n v="2"/>
    <n v="3"/>
    <n v="1"/>
    <n v="1"/>
    <n v="28.8"/>
    <x v="1"/>
    <x v="453"/>
    <n v="13"/>
    <x v="5"/>
    <x v="4"/>
  </r>
  <r>
    <n v="474"/>
    <s v="New Jersey"/>
    <s v="7631"/>
    <d v="2015-06-16T19:25:15"/>
    <d v="2015-06-16T15:25:22"/>
    <n v="1"/>
    <n v="0"/>
    <n v="4"/>
    <n v="2"/>
    <n v="1"/>
    <n v="2"/>
    <n v="18"/>
    <x v="6"/>
    <x v="454"/>
    <n v="16"/>
    <x v="5"/>
    <x v="10"/>
  </r>
  <r>
    <n v="475"/>
    <s v="Alabama"/>
    <s v="35210"/>
    <d v="2015-08-18T11:05:05"/>
    <d v="2015-08-18T11:05:08"/>
    <n v="1"/>
    <n v="0"/>
    <n v="2"/>
    <n v="4"/>
    <n v="1"/>
    <n v="1"/>
    <n v="56.32"/>
    <x v="0"/>
    <x v="455"/>
    <n v="18"/>
    <x v="5"/>
    <x v="3"/>
  </r>
  <r>
    <n v="476"/>
    <s v="Michigan"/>
    <s v="49221"/>
    <d v="2015-08-27T09:00:56"/>
    <d v="2015-08-27T09:01:00"/>
    <n v="1"/>
    <n v="2"/>
    <n v="2"/>
    <n v="2"/>
    <n v="1"/>
    <n v="1"/>
    <n v="56.32"/>
    <x v="0"/>
    <x v="456"/>
    <n v="27"/>
    <x v="1"/>
    <x v="15"/>
  </r>
  <r>
    <n v="477"/>
    <s v="Oklahoma"/>
    <s v="74135"/>
    <d v="2015-06-20T15:07:48"/>
    <d v="2015-06-20T11:07:49"/>
    <n v="1"/>
    <n v="1"/>
    <n v="6"/>
    <n v="1"/>
    <n v="1"/>
    <n v="4"/>
    <n v="39"/>
    <x v="6"/>
    <x v="457"/>
    <n v="20"/>
    <x v="0"/>
    <x v="3"/>
  </r>
  <r>
    <n v="478"/>
    <s v="Illinois"/>
    <s v="61739"/>
    <d v="2015-08-17T08:12:02"/>
    <d v="2015-08-17T08:12:05"/>
    <n v="1"/>
    <n v="2"/>
    <n v="2"/>
    <n v="2"/>
    <n v="1"/>
    <n v="4"/>
    <n v="35.200000000000003"/>
    <x v="0"/>
    <x v="458"/>
    <n v="17"/>
    <x v="3"/>
    <x v="18"/>
  </r>
  <r>
    <n v="480"/>
    <s v="New York"/>
    <s v="12210"/>
    <d v="2015-04-05T11:50:48"/>
    <d v="2015-04-05T11:50:53"/>
    <n v="1"/>
    <n v="0"/>
    <n v="4"/>
    <n v="1"/>
    <n v="1"/>
    <n v="2"/>
    <n v="18"/>
    <x v="7"/>
    <x v="459"/>
    <n v="5"/>
    <x v="2"/>
    <x v="3"/>
  </r>
  <r>
    <n v="481"/>
    <s v="Wisconsin"/>
    <s v="54481"/>
    <d v="2015-05-14T12:43:56"/>
    <d v="2015-05-14T12:44:00"/>
    <n v="1"/>
    <n v="4"/>
    <n v="12"/>
    <n v="2"/>
    <n v="1"/>
    <n v="6"/>
    <n v="43.2"/>
    <x v="4"/>
    <x v="460"/>
    <n v="14"/>
    <x v="1"/>
    <x v="7"/>
  </r>
  <r>
    <n v="483"/>
    <s v="California"/>
    <s v="92122"/>
    <d v="2015-06-02T16:10:08"/>
    <d v="2015-06-02T16:10:14"/>
    <n v="1"/>
    <n v="6"/>
    <n v="2"/>
    <n v="2"/>
    <n v="1"/>
    <n v="1"/>
    <n v="57.6"/>
    <x v="6"/>
    <x v="461"/>
    <n v="2"/>
    <x v="5"/>
    <x v="4"/>
  </r>
  <r>
    <n v="484"/>
    <s v="Indiana"/>
    <s v="46074"/>
    <d v="2015-03-22T09:51:33"/>
    <d v="2015-03-22T09:51:39"/>
    <n v="1"/>
    <n v="0"/>
    <n v="8"/>
    <n v="1"/>
    <n v="1"/>
    <n v="4"/>
    <n v="27"/>
    <x v="8"/>
    <x v="462"/>
    <n v="22"/>
    <x v="2"/>
    <x v="15"/>
  </r>
  <r>
    <n v="485"/>
    <m/>
    <m/>
    <d v="2015-02-26T13:56:24"/>
    <d v="2015-02-27T16:42:41"/>
    <n v="3"/>
    <n v="4"/>
    <n v="8"/>
    <n v="3"/>
    <n v="1"/>
    <n v="4"/>
    <n v="144"/>
    <x v="3"/>
    <x v="463"/>
    <n v="26"/>
    <x v="1"/>
    <x v="17"/>
  </r>
  <r>
    <n v="486"/>
    <s v="Delaware"/>
    <s v="19702"/>
    <d v="2015-01-20T15:44:13"/>
    <d v="2015-01-21T14:06:23"/>
    <n v="2"/>
    <n v="0"/>
    <n v="2"/>
    <n v="4"/>
    <n v="1"/>
    <n v="1"/>
    <n v="28.8"/>
    <x v="1"/>
    <x v="464"/>
    <n v="20"/>
    <x v="5"/>
    <x v="10"/>
  </r>
  <r>
    <n v="487"/>
    <s v="Illinois"/>
    <s v="62278"/>
    <d v="2015-09-09T11:52:31"/>
    <d v="2015-09-11T13:36:28"/>
    <n v="4"/>
    <n v="8"/>
    <n v="10"/>
    <n v="5"/>
    <n v="1"/>
    <n v="4"/>
    <n v="36"/>
    <x v="5"/>
    <x v="465"/>
    <n v="11"/>
    <x v="4"/>
    <x v="17"/>
  </r>
  <r>
    <n v="488"/>
    <s v="Pennsylvania"/>
    <s v="18069"/>
    <d v="2015-03-04T19:05:29"/>
    <d v="2015-03-05T10:19:42"/>
    <n v="3"/>
    <n v="2"/>
    <n v="4"/>
    <n v="1"/>
    <n v="1"/>
    <n v="2"/>
    <n v="9"/>
    <x v="8"/>
    <x v="466"/>
    <n v="4"/>
    <x v="6"/>
    <x v="12"/>
  </r>
  <r>
    <n v="489"/>
    <s v="North Carolina"/>
    <s v="28117"/>
    <d v="2015-02-28T13:10:04"/>
    <d v="2015-03-12T14:22:47"/>
    <n v="2"/>
    <n v="0"/>
    <n v="2"/>
    <n v="3"/>
    <n v="1"/>
    <n v="1"/>
    <n v="27"/>
    <x v="3"/>
    <x v="467"/>
    <n v="28"/>
    <x v="0"/>
    <x v="17"/>
  </r>
  <r>
    <n v="490"/>
    <s v="Illinois"/>
    <s v="60137"/>
    <d v="2015-02-22T23:09:56"/>
    <d v="2015-02-22T23:10:03"/>
    <n v="1"/>
    <n v="2"/>
    <n v="8"/>
    <n v="1"/>
    <n v="1"/>
    <n v="4"/>
    <n v="28.8"/>
    <x v="3"/>
    <x v="468"/>
    <n v="22"/>
    <x v="2"/>
    <x v="0"/>
  </r>
  <r>
    <n v="491"/>
    <s v="California"/>
    <s v="94133"/>
    <d v="2015-03-05T14:39:49"/>
    <d v="2015-03-05T14:39:54"/>
    <n v="1"/>
    <n v="0"/>
    <n v="4"/>
    <n v="1"/>
    <n v="1"/>
    <n v="2"/>
    <n v="14.4"/>
    <x v="8"/>
    <x v="469"/>
    <n v="5"/>
    <x v="1"/>
    <x v="9"/>
  </r>
  <r>
    <n v="493"/>
    <s v="Texas"/>
    <s v="75238"/>
    <d v="2015-01-22T14:05:08"/>
    <d v="2015-01-22T14:05:12"/>
    <n v="1"/>
    <n v="0"/>
    <n v="6"/>
    <n v="2"/>
    <n v="1"/>
    <n v="6"/>
    <n v="41.6"/>
    <x v="1"/>
    <x v="470"/>
    <n v="22"/>
    <x v="1"/>
    <x v="9"/>
  </r>
  <r>
    <n v="494"/>
    <m/>
    <m/>
    <d v="2015-05-29T14:31:41"/>
    <d v="2015-05-30T17:08:33"/>
    <n v="1"/>
    <n v="1"/>
    <n v="2"/>
    <n v="1"/>
    <n v="1"/>
    <n v="2"/>
    <n v="72"/>
    <x v="4"/>
    <x v="471"/>
    <n v="30"/>
    <x v="0"/>
    <x v="8"/>
  </r>
  <r>
    <n v="495"/>
    <s v="Iowa"/>
    <s v="50009"/>
    <d v="2015-06-11T07:14:08"/>
    <d v="2015-06-11T07:14:11"/>
    <n v="1"/>
    <n v="8"/>
    <n v="2"/>
    <n v="4"/>
    <n v="1"/>
    <n v="1"/>
    <n v="28.8"/>
    <x v="6"/>
    <x v="472"/>
    <n v="11"/>
    <x v="1"/>
    <x v="16"/>
  </r>
  <r>
    <n v="496"/>
    <s v="Illinois"/>
    <s v="60614"/>
    <d v="2015-01-17T14:40:48"/>
    <d v="2015-02-02T20:08:16"/>
    <n v="2"/>
    <n v="2"/>
    <n v="32"/>
    <n v="5"/>
    <n v="2"/>
    <n v="16"/>
    <n v="57.6"/>
    <x v="1"/>
    <x v="473"/>
    <n v="17"/>
    <x v="0"/>
    <x v="9"/>
  </r>
  <r>
    <n v="497"/>
    <s v="Iowa"/>
    <s v="51533"/>
    <d v="2015-03-03T16:07:28"/>
    <d v="2015-03-04T13:41:36"/>
    <n v="3"/>
    <n v="0"/>
    <n v="4"/>
    <n v="2"/>
    <n v="1"/>
    <n v="2"/>
    <n v="9"/>
    <x v="8"/>
    <x v="474"/>
    <n v="3"/>
    <x v="5"/>
    <x v="4"/>
  </r>
  <r>
    <n v="498"/>
    <s v="Mississippi"/>
    <s v="38732"/>
    <d v="2015-09-05T08:45:41"/>
    <d v="2015-09-05T19:39:58"/>
    <n v="2"/>
    <n v="2"/>
    <n v="2"/>
    <n v="2"/>
    <n v="1"/>
    <n v="1"/>
    <n v="51.2"/>
    <x v="5"/>
    <x v="475"/>
    <n v="5"/>
    <x v="0"/>
    <x v="18"/>
  </r>
  <r>
    <n v="499"/>
    <m/>
    <m/>
    <d v="2015-01-22T23:11:17"/>
    <d v="2015-01-22T23:11:24"/>
    <n v="1"/>
    <n v="0"/>
    <n v="8"/>
    <n v="3"/>
    <n v="1"/>
    <n v="4"/>
    <n v="27"/>
    <x v="1"/>
    <x v="476"/>
    <n v="22"/>
    <x v="1"/>
    <x v="0"/>
  </r>
  <r>
    <n v="500"/>
    <s v="Texas"/>
    <s v="77057"/>
    <d v="2015-08-25T20:26:26"/>
    <d v="2015-08-25T20:26:29"/>
    <n v="1"/>
    <n v="4"/>
    <n v="4"/>
    <n v="2"/>
    <n v="1"/>
    <n v="1"/>
    <n v="56.32"/>
    <x v="0"/>
    <x v="477"/>
    <n v="25"/>
    <x v="5"/>
    <x v="5"/>
  </r>
  <r>
    <n v="501"/>
    <s v="California"/>
    <s v="90025"/>
    <d v="2015-02-19T21:28:42"/>
    <d v="2015-02-19T21:28:45"/>
    <n v="1"/>
    <n v="4"/>
    <n v="6"/>
    <n v="3"/>
    <n v="1"/>
    <n v="2"/>
    <n v="14.4"/>
    <x v="3"/>
    <x v="478"/>
    <n v="19"/>
    <x v="1"/>
    <x v="2"/>
  </r>
  <r>
    <n v="502"/>
    <s v="Florida"/>
    <s v="32073"/>
    <d v="2015-02-10T12:06:35"/>
    <d v="2015-02-10T14:28:41"/>
    <n v="2"/>
    <n v="2"/>
    <n v="4"/>
    <n v="5"/>
    <n v="1"/>
    <n v="2"/>
    <n v="9"/>
    <x v="3"/>
    <x v="479"/>
    <n v="10"/>
    <x v="5"/>
    <x v="9"/>
  </r>
  <r>
    <n v="503"/>
    <s v="Illinois"/>
    <s v="60093"/>
    <d v="2015-06-24T18:33:02"/>
    <d v="2015-06-24T14:33:07"/>
    <n v="1"/>
    <n v="0"/>
    <n v="4"/>
    <n v="3"/>
    <n v="1"/>
    <n v="2"/>
    <n v="18"/>
    <x v="6"/>
    <x v="480"/>
    <n v="24"/>
    <x v="6"/>
    <x v="9"/>
  </r>
  <r>
    <n v="504"/>
    <s v="Texas"/>
    <s v="75215"/>
    <d v="2015-06-17T15:15:59"/>
    <d v="2015-06-17T13:42:59"/>
    <n v="7"/>
    <n v="4"/>
    <n v="10"/>
    <n v="2"/>
    <n v="1"/>
    <n v="4"/>
    <n v="28.8"/>
    <x v="6"/>
    <x v="481"/>
    <n v="17"/>
    <x v="6"/>
    <x v="3"/>
  </r>
  <r>
    <n v="505"/>
    <s v="Kansas"/>
    <s v="66801"/>
    <d v="2015-09-06T12:18:05"/>
    <d v="2015-09-06T12:18:08"/>
    <n v="1"/>
    <n v="0"/>
    <n v="2"/>
    <n v="2"/>
    <n v="1"/>
    <n v="1"/>
    <n v="11"/>
    <x v="5"/>
    <x v="482"/>
    <n v="6"/>
    <x v="2"/>
    <x v="7"/>
  </r>
  <r>
    <n v="506"/>
    <s v="Nebraska"/>
    <s v="68372"/>
    <d v="2015-01-17T15:22:21"/>
    <d v="2015-01-17T15:22:28"/>
    <n v="1"/>
    <n v="0"/>
    <n v="4"/>
    <n v="2"/>
    <n v="1"/>
    <n v="2"/>
    <n v="18"/>
    <x v="1"/>
    <x v="483"/>
    <n v="17"/>
    <x v="0"/>
    <x v="10"/>
  </r>
  <r>
    <n v="507"/>
    <s v="California"/>
    <s v="95003"/>
    <d v="2015-05-28T23:45:48"/>
    <d v="2015-05-28T23:45:52"/>
    <n v="1"/>
    <n v="2"/>
    <n v="4"/>
    <n v="2"/>
    <n v="1"/>
    <n v="2"/>
    <n v="52.8"/>
    <x v="4"/>
    <x v="484"/>
    <n v="28"/>
    <x v="1"/>
    <x v="0"/>
  </r>
  <r>
    <n v="508"/>
    <s v="South Carolina"/>
    <s v="29301"/>
    <d v="2015-08-02T23:36:43"/>
    <d v="2015-08-02T19:36:47"/>
    <n v="1"/>
    <n v="4"/>
    <n v="2"/>
    <n v="2"/>
    <n v="1"/>
    <n v="1"/>
    <n v="29.92"/>
    <x v="0"/>
    <x v="485"/>
    <n v="2"/>
    <x v="2"/>
    <x v="12"/>
  </r>
  <r>
    <n v="509"/>
    <s v="Massachusetts"/>
    <s v="01776"/>
    <d v="2015-09-04T12:03:55"/>
    <d v="2015-09-04T12:03:58"/>
    <n v="1"/>
    <n v="6"/>
    <n v="4"/>
    <n v="2"/>
    <n v="1"/>
    <n v="2"/>
    <n v="22"/>
    <x v="5"/>
    <x v="486"/>
    <n v="4"/>
    <x v="4"/>
    <x v="7"/>
  </r>
  <r>
    <n v="510"/>
    <m/>
    <m/>
    <d v="2015-01-23T17:42:24"/>
    <d v="2015-01-27T16:44:02"/>
    <n v="2"/>
    <n v="0"/>
    <n v="4"/>
    <n v="7"/>
    <n v="1"/>
    <n v="1"/>
    <n v="27"/>
    <x v="1"/>
    <x v="487"/>
    <n v="23"/>
    <x v="4"/>
    <x v="8"/>
  </r>
  <r>
    <n v="511"/>
    <s v="Texas"/>
    <s v="79118"/>
    <d v="2015-04-16T14:56:40"/>
    <d v="2015-04-16T23:49:32"/>
    <n v="4"/>
    <n v="0"/>
    <n v="4"/>
    <n v="1"/>
    <n v="1"/>
    <n v="2"/>
    <n v="18"/>
    <x v="7"/>
    <x v="488"/>
    <n v="16"/>
    <x v="1"/>
    <x v="9"/>
  </r>
  <r>
    <n v="512"/>
    <s v="California"/>
    <s v="94025"/>
    <d v="2015-05-31T17:46:59"/>
    <d v="2015-05-31T17:47:03"/>
    <n v="1"/>
    <n v="2"/>
    <n v="2"/>
    <n v="2"/>
    <n v="1"/>
    <n v="1"/>
    <n v="28.8"/>
    <x v="4"/>
    <x v="489"/>
    <n v="31"/>
    <x v="2"/>
    <x v="8"/>
  </r>
  <r>
    <n v="513"/>
    <s v="Washington"/>
    <s v="98499"/>
    <d v="2015-06-15T05:58:22"/>
    <d v="2015-06-15T01:58:27"/>
    <n v="1"/>
    <n v="2"/>
    <n v="2"/>
    <n v="2"/>
    <n v="1"/>
    <n v="1"/>
    <n v="57.6"/>
    <x v="6"/>
    <x v="490"/>
    <n v="15"/>
    <x v="3"/>
    <x v="20"/>
  </r>
  <r>
    <n v="514"/>
    <s v="Colorado"/>
    <s v="80104"/>
    <d v="2015-09-04T21:53:53"/>
    <d v="2015-09-04T17:53:58"/>
    <n v="1"/>
    <n v="14"/>
    <n v="10"/>
    <n v="2"/>
    <n v="1"/>
    <n v="5"/>
    <n v="65.92"/>
    <x v="5"/>
    <x v="491"/>
    <n v="4"/>
    <x v="4"/>
    <x v="8"/>
  </r>
  <r>
    <n v="515"/>
    <s v="California"/>
    <s v="92104"/>
    <d v="2015-03-19T19:03:40"/>
    <d v="2015-03-19T19:03:44"/>
    <n v="1"/>
    <n v="0"/>
    <n v="6"/>
    <n v="1"/>
    <n v="1"/>
    <n v="2"/>
    <n v="9"/>
    <x v="8"/>
    <x v="492"/>
    <n v="19"/>
    <x v="1"/>
    <x v="12"/>
  </r>
  <r>
    <n v="516"/>
    <s v="California"/>
    <s v="94582"/>
    <d v="2015-01-23T01:59:38"/>
    <d v="2015-01-23T01:59:46"/>
    <n v="1"/>
    <n v="0"/>
    <n v="14"/>
    <n v="2"/>
    <n v="1"/>
    <n v="6"/>
    <n v="43.2"/>
    <x v="1"/>
    <x v="493"/>
    <n v="23"/>
    <x v="4"/>
    <x v="20"/>
  </r>
  <r>
    <n v="517"/>
    <s v="New York"/>
    <s v="10309"/>
    <d v="2015-03-04T20:09:34"/>
    <d v="2015-03-04T20:09:39"/>
    <n v="1"/>
    <n v="0"/>
    <n v="16"/>
    <n v="1"/>
    <n v="1"/>
    <n v="4"/>
    <n v="28.8"/>
    <x v="8"/>
    <x v="494"/>
    <n v="4"/>
    <x v="6"/>
    <x v="5"/>
  </r>
  <r>
    <n v="519"/>
    <s v="Wisconsin"/>
    <s v="53142"/>
    <d v="2015-09-22T06:57:08"/>
    <d v="2015-09-22T06:57:12"/>
    <n v="1"/>
    <n v="2"/>
    <n v="2"/>
    <n v="2"/>
    <n v="1"/>
    <n v="1"/>
    <n v="29.92"/>
    <x v="5"/>
    <x v="495"/>
    <n v="22"/>
    <x v="5"/>
    <x v="11"/>
  </r>
  <r>
    <n v="520"/>
    <s v="Connecticut"/>
    <s v="06902"/>
    <d v="2015-08-31T00:57:46"/>
    <d v="2015-08-30T20:57:49"/>
    <n v="1"/>
    <n v="2"/>
    <n v="2"/>
    <n v="2"/>
    <n v="1"/>
    <n v="1"/>
    <n v="30.6"/>
    <x v="0"/>
    <x v="496"/>
    <n v="30"/>
    <x v="2"/>
    <x v="5"/>
  </r>
  <r>
    <n v="521"/>
    <s v="Indiana"/>
    <s v="46952"/>
    <d v="2015-06-12T11:22:26"/>
    <d v="2015-06-12T11:22:30"/>
    <n v="1"/>
    <n v="2"/>
    <n v="2"/>
    <n v="4"/>
    <n v="1"/>
    <n v="1"/>
    <n v="28.8"/>
    <x v="6"/>
    <x v="497"/>
    <n v="12"/>
    <x v="4"/>
    <x v="3"/>
  </r>
  <r>
    <n v="522"/>
    <s v="New York"/>
    <s v="11935"/>
    <d v="2015-02-18T16:22:04"/>
    <d v="2015-02-19T07:58:32"/>
    <n v="2"/>
    <n v="2"/>
    <n v="4"/>
    <n v="1"/>
    <n v="1"/>
    <n v="2"/>
    <n v="18"/>
    <x v="3"/>
    <x v="498"/>
    <n v="18"/>
    <x v="6"/>
    <x v="4"/>
  </r>
  <r>
    <n v="523"/>
    <s v="Indiana"/>
    <s v="47712"/>
    <d v="2015-09-17T21:15:17"/>
    <d v="2015-09-17T21:15:18"/>
    <n v="1"/>
    <n v="6"/>
    <n v="3"/>
    <n v="1"/>
    <n v="1"/>
    <n v="1"/>
    <n v="56.32"/>
    <x v="5"/>
    <x v="499"/>
    <n v="17"/>
    <x v="1"/>
    <x v="2"/>
  </r>
  <r>
    <n v="524"/>
    <s v="Texas"/>
    <s v="78028"/>
    <d v="2015-01-18T20:45:38"/>
    <d v="2015-01-19T22:19:45"/>
    <n v="2"/>
    <n v="0"/>
    <n v="2"/>
    <n v="3"/>
    <n v="1"/>
    <n v="1"/>
    <n v="57.6"/>
    <x v="1"/>
    <x v="500"/>
    <n v="18"/>
    <x v="2"/>
    <x v="5"/>
  </r>
  <r>
    <n v="525"/>
    <s v="Delaware"/>
    <s v="19803"/>
    <d v="2015-04-25T13:30:14"/>
    <d v="2015-04-25T13:30:20"/>
    <n v="1"/>
    <n v="2"/>
    <n v="12"/>
    <n v="1"/>
    <n v="1"/>
    <n v="4"/>
    <n v="28.8"/>
    <x v="7"/>
    <x v="501"/>
    <n v="25"/>
    <x v="0"/>
    <x v="17"/>
  </r>
  <r>
    <n v="526"/>
    <s v="California"/>
    <s v="95382"/>
    <d v="2015-04-08T03:48:36"/>
    <d v="2015-04-08T15:34:16"/>
    <n v="2"/>
    <n v="10"/>
    <n v="2"/>
    <n v="1"/>
    <n v="1"/>
    <n v="4"/>
    <n v="28.8"/>
    <x v="7"/>
    <x v="502"/>
    <n v="8"/>
    <x v="6"/>
    <x v="10"/>
  </r>
  <r>
    <n v="527"/>
    <s v="Pennsylvania"/>
    <s v="19107"/>
    <d v="2015-06-01T14:29:52"/>
    <d v="2015-06-01T14:29:55"/>
    <n v="1"/>
    <n v="0"/>
    <n v="2"/>
    <n v="2"/>
    <n v="1"/>
    <n v="3"/>
    <n v="86.4"/>
    <x v="6"/>
    <x v="503"/>
    <n v="1"/>
    <x v="3"/>
    <x v="9"/>
  </r>
  <r>
    <n v="528"/>
    <s v="New York"/>
    <s v="10028"/>
    <d v="2015-07-13T11:04:21"/>
    <d v="2015-07-13T11:04:25"/>
    <n v="1"/>
    <n v="2"/>
    <n v="4"/>
    <n v="2"/>
    <n v="1"/>
    <n v="2"/>
    <n v="21"/>
    <x v="2"/>
    <x v="504"/>
    <n v="13"/>
    <x v="3"/>
    <x v="3"/>
  </r>
  <r>
    <n v="529"/>
    <s v="Virginia"/>
    <s v="22060"/>
    <d v="2015-06-19T09:51:12"/>
    <d v="2015-06-19T09:51:17"/>
    <n v="1"/>
    <n v="6"/>
    <n v="10"/>
    <n v="2"/>
    <n v="1"/>
    <n v="5"/>
    <n v="40.799999999999997"/>
    <x v="6"/>
    <x v="505"/>
    <n v="19"/>
    <x v="4"/>
    <x v="15"/>
  </r>
  <r>
    <n v="530"/>
    <s v="Pennsylvania"/>
    <s v="15012"/>
    <d v="2015-01-04T19:07:06"/>
    <d v="2015-01-04T19:07:12"/>
    <n v="1"/>
    <n v="0"/>
    <n v="4"/>
    <n v="2"/>
    <n v="1"/>
    <n v="8"/>
    <n v="72"/>
    <x v="1"/>
    <x v="506"/>
    <n v="4"/>
    <x v="2"/>
    <x v="12"/>
  </r>
  <r>
    <n v="531"/>
    <s v="Texas"/>
    <s v="76051"/>
    <d v="2015-09-03T03:02:35"/>
    <d v="2015-09-02T23:02:39"/>
    <n v="1"/>
    <n v="8"/>
    <n v="4"/>
    <n v="6"/>
    <n v="1"/>
    <n v="2"/>
    <n v="22"/>
    <x v="5"/>
    <x v="507"/>
    <n v="2"/>
    <x v="6"/>
    <x v="0"/>
  </r>
  <r>
    <n v="532"/>
    <s v="Virginia"/>
    <s v="22199"/>
    <d v="2015-02-18T15:12:56"/>
    <d v="2015-02-18T15:13:00"/>
    <n v="1"/>
    <n v="0"/>
    <n v="2"/>
    <n v="1"/>
    <n v="1"/>
    <n v="1"/>
    <n v="28.8"/>
    <x v="3"/>
    <x v="508"/>
    <n v="18"/>
    <x v="6"/>
    <x v="10"/>
  </r>
  <r>
    <n v="533"/>
    <s v="Alabama"/>
    <s v="36305"/>
    <d v="2015-08-12T12:45:46"/>
    <d v="2015-08-12T08:45:51"/>
    <n v="1"/>
    <n v="2"/>
    <n v="2"/>
    <n v="2"/>
    <n v="1"/>
    <n v="1"/>
    <n v="29.92"/>
    <x v="0"/>
    <x v="509"/>
    <n v="12"/>
    <x v="6"/>
    <x v="18"/>
  </r>
  <r>
    <n v="534"/>
    <s v="Wisconsin"/>
    <s v="53511"/>
    <d v="2015-07-06T01:10:43"/>
    <d v="2015-07-05T21:10:44"/>
    <n v="1"/>
    <n v="2"/>
    <n v="1"/>
    <n v="1"/>
    <n v="1"/>
    <n v="1"/>
    <n v="28.8"/>
    <x v="2"/>
    <x v="510"/>
    <n v="5"/>
    <x v="2"/>
    <x v="2"/>
  </r>
  <r>
    <n v="535"/>
    <s v="New Jersey"/>
    <s v="08223"/>
    <d v="2015-04-30T20:05:16"/>
    <d v="2015-04-30T20:05:20"/>
    <n v="1"/>
    <n v="2"/>
    <n v="2"/>
    <n v="2"/>
    <n v="1"/>
    <n v="1"/>
    <n v="28.8"/>
    <x v="7"/>
    <x v="511"/>
    <n v="30"/>
    <x v="1"/>
    <x v="5"/>
  </r>
  <r>
    <n v="536"/>
    <m/>
    <m/>
    <d v="2015-05-01T00:48:30"/>
    <d v="2015-05-01T00:48:35"/>
    <n v="1"/>
    <n v="6"/>
    <n v="4"/>
    <n v="1"/>
    <n v="1"/>
    <n v="1"/>
    <n v="36"/>
    <x v="4"/>
    <x v="512"/>
    <n v="1"/>
    <x v="4"/>
    <x v="14"/>
  </r>
  <r>
    <n v="537"/>
    <s v="New York"/>
    <s v="11561"/>
    <d v="2015-07-28T00:16:53"/>
    <d v="2015-07-28T00:16:57"/>
    <n v="1"/>
    <n v="6"/>
    <n v="4"/>
    <n v="2"/>
    <n v="1"/>
    <n v="1"/>
    <n v="30.6"/>
    <x v="2"/>
    <x v="513"/>
    <n v="28"/>
    <x v="5"/>
    <x v="14"/>
  </r>
  <r>
    <n v="538"/>
    <s v="Connecticut"/>
    <s v="06511"/>
    <d v="2015-04-28T22:02:46"/>
    <d v="2015-04-28T22:02:50"/>
    <n v="1"/>
    <n v="0"/>
    <n v="4"/>
    <n v="2"/>
    <n v="1"/>
    <n v="2"/>
    <n v="18"/>
    <x v="7"/>
    <x v="514"/>
    <n v="28"/>
    <x v="5"/>
    <x v="1"/>
  </r>
  <r>
    <n v="539"/>
    <s v="New York"/>
    <s v="10598"/>
    <d v="2015-06-19T00:33:12"/>
    <d v="2015-06-18T20:33:19"/>
    <n v="1"/>
    <n v="7"/>
    <n v="8"/>
    <n v="2"/>
    <n v="1"/>
    <n v="5"/>
    <n v="36"/>
    <x v="6"/>
    <x v="515"/>
    <n v="18"/>
    <x v="1"/>
    <x v="5"/>
  </r>
  <r>
    <n v="540"/>
    <s v="Illinois"/>
    <s v="60626"/>
    <d v="2015-03-08T20:37:40"/>
    <d v="2015-03-08T20:37:45"/>
    <n v="1"/>
    <n v="0"/>
    <n v="2"/>
    <n v="1"/>
    <n v="1"/>
    <n v="1"/>
    <n v="57.6"/>
    <x v="8"/>
    <x v="516"/>
    <n v="8"/>
    <x v="2"/>
    <x v="5"/>
  </r>
  <r>
    <n v="541"/>
    <s v="California"/>
    <s v="95126"/>
    <d v="2015-06-01T21:24:31"/>
    <d v="2015-06-02T11:52:33"/>
    <n v="2"/>
    <n v="0"/>
    <n v="2"/>
    <n v="2"/>
    <n v="1"/>
    <n v="4"/>
    <n v="36"/>
    <x v="6"/>
    <x v="517"/>
    <n v="1"/>
    <x v="3"/>
    <x v="2"/>
  </r>
  <r>
    <n v="542"/>
    <s v="California"/>
    <s v="91335"/>
    <d v="2015-05-05T15:19:10"/>
    <d v="2015-05-05T15:19:14"/>
    <n v="1"/>
    <n v="0"/>
    <n v="2"/>
    <n v="2"/>
    <n v="1"/>
    <n v="1"/>
    <n v="28.8"/>
    <x v="4"/>
    <x v="518"/>
    <n v="5"/>
    <x v="5"/>
    <x v="10"/>
  </r>
  <r>
    <n v="543"/>
    <s v="Alabama"/>
    <s v="35640"/>
    <d v="2015-03-24T14:16:09"/>
    <d v="2015-03-24T14:16:16"/>
    <n v="1"/>
    <n v="0"/>
    <n v="8"/>
    <n v="4"/>
    <n v="1"/>
    <n v="4"/>
    <n v="28.8"/>
    <x v="8"/>
    <x v="519"/>
    <n v="24"/>
    <x v="5"/>
    <x v="9"/>
  </r>
  <r>
    <n v="544"/>
    <s v="Indiana"/>
    <s v="46544"/>
    <d v="2015-05-22T20:32:48"/>
    <d v="2015-05-22T16:33:03"/>
    <n v="1"/>
    <n v="6"/>
    <n v="6"/>
    <n v="2"/>
    <n v="1"/>
    <n v="3"/>
    <n v="43.2"/>
    <x v="4"/>
    <x v="520"/>
    <n v="22"/>
    <x v="4"/>
    <x v="4"/>
  </r>
  <r>
    <n v="545"/>
    <s v="Florida"/>
    <s v="32750"/>
    <d v="2015-06-15T14:40:31"/>
    <d v="2015-06-15T14:40:34"/>
    <n v="1"/>
    <n v="0"/>
    <n v="4"/>
    <n v="2"/>
    <n v="1"/>
    <n v="8"/>
    <n v="57.6"/>
    <x v="6"/>
    <x v="521"/>
    <n v="15"/>
    <x v="3"/>
    <x v="9"/>
  </r>
  <r>
    <n v="546"/>
    <m/>
    <m/>
    <d v="2015-04-03T21:26:35"/>
    <d v="2015-04-03T21:26:39"/>
    <n v="1"/>
    <n v="0"/>
    <n v="4"/>
    <n v="3"/>
    <n v="1"/>
    <n v="2"/>
    <n v="18"/>
    <x v="7"/>
    <x v="522"/>
    <n v="3"/>
    <x v="4"/>
    <x v="2"/>
  </r>
  <r>
    <n v="547"/>
    <s v="Connecticut"/>
    <s v="06460"/>
    <d v="2015-01-29T10:08:45"/>
    <d v="2015-01-29T10:08:49"/>
    <n v="1"/>
    <n v="2"/>
    <n v="4"/>
    <n v="2"/>
    <n v="1"/>
    <n v="2"/>
    <n v="9"/>
    <x v="1"/>
    <x v="523"/>
    <n v="29"/>
    <x v="1"/>
    <x v="13"/>
  </r>
  <r>
    <n v="548"/>
    <s v="Texas"/>
    <s v="75065"/>
    <d v="2015-04-04T15:58:06"/>
    <d v="2015-04-04T15:58:11"/>
    <n v="1"/>
    <n v="2"/>
    <n v="2"/>
    <n v="1"/>
    <n v="1"/>
    <n v="1"/>
    <n v="28.8"/>
    <x v="7"/>
    <x v="524"/>
    <n v="4"/>
    <x v="0"/>
    <x v="10"/>
  </r>
  <r>
    <n v="549"/>
    <m/>
    <m/>
    <d v="2015-01-19T17:55:48"/>
    <d v="2015-01-19T17:55:55"/>
    <n v="1"/>
    <n v="1"/>
    <n v="4"/>
    <n v="2"/>
    <n v="1"/>
    <n v="2"/>
    <n v="9"/>
    <x v="1"/>
    <x v="525"/>
    <n v="19"/>
    <x v="3"/>
    <x v="8"/>
  </r>
  <r>
    <n v="550"/>
    <s v="Iowa"/>
    <s v="50111"/>
    <d v="2015-06-16T04:23:32"/>
    <d v="2015-06-16T00:23:34"/>
    <n v="1"/>
    <n v="2"/>
    <n v="4"/>
    <n v="2"/>
    <n v="1"/>
    <n v="2"/>
    <n v="21"/>
    <x v="6"/>
    <x v="526"/>
    <n v="16"/>
    <x v="5"/>
    <x v="14"/>
  </r>
  <r>
    <n v="551"/>
    <s v="Pennsylvania"/>
    <s v="19087"/>
    <d v="2015-07-12T01:22:27"/>
    <d v="2015-07-11T21:22:29"/>
    <n v="1"/>
    <n v="3"/>
    <n v="3"/>
    <n v="2"/>
    <n v="1"/>
    <n v="2"/>
    <n v="36"/>
    <x v="2"/>
    <x v="527"/>
    <n v="11"/>
    <x v="0"/>
    <x v="2"/>
  </r>
  <r>
    <n v="552"/>
    <m/>
    <m/>
    <d v="2015-08-30T16:06:48"/>
    <d v="2015-08-30T16:06:49"/>
    <n v="1"/>
    <n v="2"/>
    <n v="8"/>
    <n v="4"/>
    <n v="1"/>
    <n v="4"/>
    <n v="36"/>
    <x v="0"/>
    <x v="528"/>
    <n v="30"/>
    <x v="2"/>
    <x v="4"/>
  </r>
  <r>
    <n v="553"/>
    <s v="Pennsylvania"/>
    <s v="16134"/>
    <d v="2015-08-15T13:27:07"/>
    <d v="2015-08-15T09:27:11"/>
    <n v="1"/>
    <n v="7"/>
    <n v="10"/>
    <n v="3"/>
    <n v="1"/>
    <n v="1"/>
    <n v="56.32"/>
    <x v="0"/>
    <x v="529"/>
    <n v="15"/>
    <x v="0"/>
    <x v="15"/>
  </r>
  <r>
    <n v="554"/>
    <s v="Illinois"/>
    <s v="60004"/>
    <d v="2015-05-10T00:48:52"/>
    <d v="2015-05-10T11:33:42"/>
    <n v="2"/>
    <n v="10"/>
    <n v="8"/>
    <n v="2"/>
    <n v="1"/>
    <n v="4"/>
    <n v="28.8"/>
    <x v="4"/>
    <x v="530"/>
    <n v="10"/>
    <x v="2"/>
    <x v="14"/>
  </r>
  <r>
    <n v="555"/>
    <s v="Colorado"/>
    <s v="80016"/>
    <d v="2015-06-27T23:36:39"/>
    <d v="2015-06-27T23:36:43"/>
    <n v="1"/>
    <n v="0"/>
    <n v="2"/>
    <n v="3"/>
    <n v="1"/>
    <n v="1"/>
    <n v="28.8"/>
    <x v="6"/>
    <x v="531"/>
    <n v="27"/>
    <x v="0"/>
    <x v="0"/>
  </r>
  <r>
    <n v="556"/>
    <s v="Minnesota"/>
    <s v="55417"/>
    <d v="2015-08-10T14:33:30"/>
    <d v="2015-08-10T14:33:33"/>
    <n v="1"/>
    <n v="0"/>
    <n v="2"/>
    <n v="2"/>
    <n v="1"/>
    <n v="1"/>
    <n v="29.92"/>
    <x v="0"/>
    <x v="532"/>
    <n v="10"/>
    <x v="3"/>
    <x v="9"/>
  </r>
  <r>
    <n v="557"/>
    <m/>
    <m/>
    <d v="2015-06-02T17:44:10"/>
    <d v="2015-06-02T13:44:11"/>
    <n v="1"/>
    <n v="3"/>
    <n v="2"/>
    <n v="2"/>
    <n v="1"/>
    <n v="5"/>
    <n v="36"/>
    <x v="6"/>
    <x v="533"/>
    <n v="2"/>
    <x v="5"/>
    <x v="17"/>
  </r>
  <r>
    <n v="558"/>
    <s v="Pennsylvania"/>
    <s v="19605"/>
    <d v="2015-09-07T15:13:36"/>
    <d v="2015-09-07T15:13:39"/>
    <n v="1"/>
    <n v="6"/>
    <n v="2"/>
    <n v="2"/>
    <n v="1"/>
    <n v="1"/>
    <n v="11"/>
    <x v="5"/>
    <x v="534"/>
    <n v="7"/>
    <x v="3"/>
    <x v="10"/>
  </r>
  <r>
    <n v="560"/>
    <s v="Michigan"/>
    <s v="48186"/>
    <d v="2015-05-21T15:26:03"/>
    <d v="2015-05-21T11:26:05"/>
    <n v="1"/>
    <n v="4"/>
    <n v="6"/>
    <n v="7"/>
    <n v="1"/>
    <n v="1"/>
    <n v="28.8"/>
    <x v="4"/>
    <x v="535"/>
    <n v="21"/>
    <x v="1"/>
    <x v="3"/>
  </r>
  <r>
    <n v="561"/>
    <s v="California"/>
    <s v="94061"/>
    <d v="2015-03-23T04:56:30"/>
    <d v="2015-03-23T04:56:34"/>
    <n v="1"/>
    <n v="8"/>
    <n v="6"/>
    <n v="2"/>
    <n v="1"/>
    <n v="4"/>
    <n v="28.8"/>
    <x v="8"/>
    <x v="536"/>
    <n v="23"/>
    <x v="3"/>
    <x v="23"/>
  </r>
  <r>
    <n v="562"/>
    <s v="Indiana"/>
    <s v="47630"/>
    <d v="2015-02-28T20:33:30"/>
    <d v="2015-03-01T11:37:52"/>
    <n v="3"/>
    <n v="2"/>
    <n v="5"/>
    <n v="2"/>
    <n v="2"/>
    <n v="5"/>
    <n v="36"/>
    <x v="3"/>
    <x v="537"/>
    <n v="28"/>
    <x v="0"/>
    <x v="5"/>
  </r>
  <r>
    <n v="563"/>
    <s v="Oregon"/>
    <s v="97080"/>
    <d v="2015-09-13T16:14:02"/>
    <d v="2015-09-13T12:14:08"/>
    <n v="1"/>
    <n v="2"/>
    <n v="4"/>
    <n v="2"/>
    <n v="1"/>
    <n v="2"/>
    <n v="86.24"/>
    <x v="5"/>
    <x v="538"/>
    <n v="13"/>
    <x v="2"/>
    <x v="7"/>
  </r>
  <r>
    <n v="564"/>
    <s v="Tennessee"/>
    <s v="38120"/>
    <d v="2015-04-23T12:31:50"/>
    <d v="2015-04-23T12:32:05"/>
    <n v="1"/>
    <n v="0"/>
    <n v="1"/>
    <n v="1"/>
    <n v="1"/>
    <n v="1"/>
    <n v="57.6"/>
    <x v="7"/>
    <x v="539"/>
    <n v="23"/>
    <x v="1"/>
    <x v="7"/>
  </r>
  <r>
    <n v="565"/>
    <s v="Wisconsin"/>
    <s v="54403"/>
    <d v="2015-07-12T19:31:19"/>
    <d v="2015-07-12T15:31:23"/>
    <n v="1"/>
    <n v="2"/>
    <n v="6"/>
    <n v="2"/>
    <n v="1"/>
    <n v="4"/>
    <n v="153.6"/>
    <x v="2"/>
    <x v="540"/>
    <n v="12"/>
    <x v="2"/>
    <x v="10"/>
  </r>
  <r>
    <n v="567"/>
    <s v="New Jersey"/>
    <s v="07052"/>
    <d v="2015-01-18T20:02:21"/>
    <d v="2015-01-18T20:02:35"/>
    <n v="1"/>
    <n v="6"/>
    <n v="14"/>
    <n v="3"/>
    <n v="1"/>
    <n v="8"/>
    <n v="57.6"/>
    <x v="1"/>
    <x v="541"/>
    <n v="18"/>
    <x v="2"/>
    <x v="5"/>
  </r>
  <r>
    <n v="568"/>
    <s v="North Carolina"/>
    <s v="27284"/>
    <d v="2015-03-22T09:08:27"/>
    <d v="2015-03-22T09:08:31"/>
    <n v="1"/>
    <n v="0"/>
    <n v="2"/>
    <n v="1"/>
    <n v="1"/>
    <n v="2"/>
    <n v="18"/>
    <x v="8"/>
    <x v="542"/>
    <n v="22"/>
    <x v="2"/>
    <x v="15"/>
  </r>
  <r>
    <n v="569"/>
    <s v="Colorado"/>
    <s v="80443"/>
    <d v="2015-08-01T19:11:21"/>
    <d v="2015-08-01T19:11:24"/>
    <n v="1"/>
    <n v="14"/>
    <n v="2"/>
    <n v="4"/>
    <n v="1"/>
    <n v="1"/>
    <n v="29.92"/>
    <x v="0"/>
    <x v="543"/>
    <n v="1"/>
    <x v="0"/>
    <x v="12"/>
  </r>
  <r>
    <n v="570"/>
    <s v="Texas"/>
    <s v="76034"/>
    <d v="2015-05-18T19:29:40"/>
    <d v="2015-05-18T19:29:43"/>
    <n v="1"/>
    <n v="0"/>
    <n v="2"/>
    <n v="2"/>
    <n v="1"/>
    <n v="4"/>
    <n v="28.8"/>
    <x v="4"/>
    <x v="544"/>
    <n v="18"/>
    <x v="3"/>
    <x v="12"/>
  </r>
  <r>
    <n v="571"/>
    <s v="Massachusetts"/>
    <s v="02453"/>
    <d v="2015-04-30T09:14:25"/>
    <d v="2015-04-30T09:14:29"/>
    <n v="1"/>
    <n v="6"/>
    <n v="6"/>
    <n v="2"/>
    <n v="1"/>
    <n v="5"/>
    <n v="36"/>
    <x v="7"/>
    <x v="545"/>
    <n v="30"/>
    <x v="1"/>
    <x v="15"/>
  </r>
  <r>
    <n v="572"/>
    <s v="Wisconsin"/>
    <s v="53228"/>
    <d v="2015-09-04T11:22:46"/>
    <d v="2015-09-04T11:22:49"/>
    <n v="1"/>
    <n v="2"/>
    <n v="2"/>
    <n v="2"/>
    <n v="1"/>
    <n v="1"/>
    <n v="12"/>
    <x v="5"/>
    <x v="546"/>
    <n v="4"/>
    <x v="4"/>
    <x v="3"/>
  </r>
  <r>
    <n v="573"/>
    <s v="Maryland"/>
    <s v="21403"/>
    <d v="2015-01-02T02:27:15"/>
    <d v="2015-01-02T02:27:18"/>
    <n v="1"/>
    <n v="2"/>
    <n v="4"/>
    <n v="4"/>
    <n v="1"/>
    <n v="2"/>
    <n v="7"/>
    <x v="1"/>
    <x v="547"/>
    <n v="2"/>
    <x v="4"/>
    <x v="21"/>
  </r>
  <r>
    <n v="574"/>
    <s v="Pennsylvania"/>
    <s v="15301"/>
    <d v="2015-06-11T15:34:48"/>
    <d v="2015-06-11T11:34:53"/>
    <n v="1"/>
    <n v="0"/>
    <n v="2"/>
    <n v="2"/>
    <n v="1"/>
    <n v="4"/>
    <n v="28.8"/>
    <x v="6"/>
    <x v="548"/>
    <n v="11"/>
    <x v="1"/>
    <x v="3"/>
  </r>
  <r>
    <n v="575"/>
    <s v="Maryland"/>
    <s v="20910"/>
    <d v="2015-09-06T15:51:00"/>
    <d v="2015-09-06T11:51:04"/>
    <n v="1"/>
    <n v="4"/>
    <n v="2"/>
    <n v="2"/>
    <n v="1"/>
    <n v="1"/>
    <n v="37.4"/>
    <x v="5"/>
    <x v="549"/>
    <n v="6"/>
    <x v="2"/>
    <x v="3"/>
  </r>
  <r>
    <n v="576"/>
    <m/>
    <m/>
    <d v="2015-08-30T21:55:26"/>
    <d v="2015-08-30T21:55:27"/>
    <n v="1"/>
    <n v="1"/>
    <n v="3"/>
    <n v="1"/>
    <n v="1"/>
    <n v="2"/>
    <n v="22"/>
    <x v="0"/>
    <x v="550"/>
    <n v="30"/>
    <x v="2"/>
    <x v="2"/>
  </r>
  <r>
    <n v="577"/>
    <s v="Indiana"/>
    <s v="46250"/>
    <d v="2015-06-09T13:28:55"/>
    <d v="2015-06-09T09:29:01"/>
    <n v="1"/>
    <n v="0"/>
    <n v="2"/>
    <n v="2"/>
    <n v="1"/>
    <n v="1"/>
    <n v="27"/>
    <x v="6"/>
    <x v="551"/>
    <n v="9"/>
    <x v="5"/>
    <x v="15"/>
  </r>
  <r>
    <n v="578"/>
    <m/>
    <m/>
    <d v="2015-03-08T18:12:08"/>
    <d v="2015-03-08T18:12:18"/>
    <n v="1"/>
    <n v="2"/>
    <n v="6"/>
    <n v="1"/>
    <n v="1"/>
    <n v="4"/>
    <n v="28.8"/>
    <x v="8"/>
    <x v="552"/>
    <n v="8"/>
    <x v="2"/>
    <x v="6"/>
  </r>
  <r>
    <n v="579"/>
    <s v="Wisconsin"/>
    <s v="53593"/>
    <d v="2015-08-12T11:08:34"/>
    <d v="2015-08-12T11:08:37"/>
    <n v="1"/>
    <n v="6"/>
    <n v="2"/>
    <n v="2"/>
    <n v="1"/>
    <n v="1"/>
    <n v="29.92"/>
    <x v="0"/>
    <x v="553"/>
    <n v="12"/>
    <x v="6"/>
    <x v="3"/>
  </r>
  <r>
    <n v="580"/>
    <s v="Kentucky"/>
    <s v="40014"/>
    <d v="2015-09-20T22:14:34"/>
    <d v="2015-09-20T22:14:38"/>
    <n v="1"/>
    <n v="8"/>
    <n v="6"/>
    <n v="4"/>
    <n v="1"/>
    <n v="3"/>
    <n v="68.64"/>
    <x v="5"/>
    <x v="554"/>
    <n v="20"/>
    <x v="2"/>
    <x v="1"/>
  </r>
  <r>
    <n v="581"/>
    <s v="Arizona"/>
    <s v="85298"/>
    <d v="2015-01-27T12:01:57"/>
    <d v="2015-01-31T15:47:24"/>
    <n v="4"/>
    <n v="0"/>
    <n v="2"/>
    <n v="4"/>
    <n v="1"/>
    <n v="1"/>
    <n v="30.6"/>
    <x v="1"/>
    <x v="555"/>
    <n v="27"/>
    <x v="5"/>
    <x v="7"/>
  </r>
  <r>
    <n v="582"/>
    <m/>
    <m/>
    <d v="2015-01-26T21:42:24"/>
    <d v="2015-01-30T19:58:24"/>
    <n v="2"/>
    <n v="2"/>
    <n v="2"/>
    <n v="3"/>
    <n v="1"/>
    <n v="1"/>
    <n v="27"/>
    <x v="1"/>
    <x v="556"/>
    <n v="30"/>
    <x v="4"/>
    <x v="5"/>
  </r>
  <r>
    <n v="583"/>
    <s v="North Carolina"/>
    <s v="28173"/>
    <d v="2015-01-24T07:35:43"/>
    <d v="2015-02-05T20:56:14"/>
    <n v="2"/>
    <n v="2"/>
    <n v="7"/>
    <n v="6"/>
    <n v="2"/>
    <n v="5"/>
    <n v="18"/>
    <x v="1"/>
    <x v="557"/>
    <n v="24"/>
    <x v="0"/>
    <x v="16"/>
  </r>
  <r>
    <n v="584"/>
    <s v="California"/>
    <s v="94002"/>
    <d v="2015-06-17T13:17:13"/>
    <d v="2015-06-17T13:17:17"/>
    <n v="1"/>
    <n v="4"/>
    <n v="4"/>
    <n v="3"/>
    <n v="1"/>
    <n v="1"/>
    <n v="27"/>
    <x v="6"/>
    <x v="558"/>
    <n v="17"/>
    <x v="6"/>
    <x v="17"/>
  </r>
  <r>
    <n v="585"/>
    <s v="Arizona"/>
    <s v="85254"/>
    <d v="2015-02-23T22:50:39"/>
    <d v="2015-02-23T22:50:44"/>
    <n v="1"/>
    <n v="0"/>
    <n v="6"/>
    <n v="1"/>
    <n v="1"/>
    <n v="3"/>
    <n v="18"/>
    <x v="3"/>
    <x v="559"/>
    <n v="23"/>
    <x v="3"/>
    <x v="1"/>
  </r>
  <r>
    <n v="586"/>
    <s v="Illinois"/>
    <s v="60189"/>
    <d v="2015-06-29T20:38:24"/>
    <d v="2015-06-29T16:38:31"/>
    <n v="1"/>
    <n v="10"/>
    <n v="12"/>
    <n v="2"/>
    <n v="1"/>
    <n v="10"/>
    <n v="72"/>
    <x v="6"/>
    <x v="560"/>
    <n v="29"/>
    <x v="3"/>
    <x v="4"/>
  </r>
  <r>
    <n v="587"/>
    <m/>
    <m/>
    <d v="2015-02-15T08:21:21"/>
    <d v="2015-02-15T10:33:46"/>
    <n v="3"/>
    <n v="4"/>
    <n v="8"/>
    <n v="4"/>
    <n v="1"/>
    <n v="4"/>
    <n v="30.6"/>
    <x v="3"/>
    <x v="561"/>
    <n v="15"/>
    <x v="2"/>
    <x v="13"/>
  </r>
  <r>
    <n v="588"/>
    <m/>
    <m/>
    <d v="2015-04-26T17:55:55"/>
    <d v="2015-04-26T17:55:58"/>
    <n v="1"/>
    <n v="2"/>
    <n v="3"/>
    <n v="1"/>
    <n v="1"/>
    <n v="2"/>
    <n v="57.6"/>
    <x v="7"/>
    <x v="562"/>
    <n v="26"/>
    <x v="2"/>
    <x v="6"/>
  </r>
  <r>
    <n v="589"/>
    <s v="New York"/>
    <s v="10011"/>
    <d v="2015-02-06T18:43:52"/>
    <d v="2015-02-06T18:43:56"/>
    <n v="1"/>
    <n v="0"/>
    <n v="4"/>
    <n v="3"/>
    <n v="1"/>
    <n v="2"/>
    <n v="9"/>
    <x v="3"/>
    <x v="563"/>
    <n v="6"/>
    <x v="4"/>
    <x v="6"/>
  </r>
  <r>
    <n v="590"/>
    <s v="South Carolina"/>
    <s v="29072"/>
    <d v="2015-01-27T17:50:40"/>
    <d v="2015-01-27T17:50:44"/>
    <n v="1"/>
    <n v="4"/>
    <n v="4"/>
    <n v="2"/>
    <n v="1"/>
    <n v="1"/>
    <n v="28.8"/>
    <x v="1"/>
    <x v="564"/>
    <n v="27"/>
    <x v="5"/>
    <x v="8"/>
  </r>
  <r>
    <n v="591"/>
    <m/>
    <m/>
    <d v="2015-07-06T20:26:12"/>
    <d v="2015-07-07T08:19:44"/>
    <n v="2"/>
    <n v="10"/>
    <n v="22"/>
    <n v="13"/>
    <n v="1"/>
    <n v="5"/>
    <n v="172.8"/>
    <x v="2"/>
    <x v="565"/>
    <n v="7"/>
    <x v="5"/>
    <x v="18"/>
  </r>
  <r>
    <n v="592"/>
    <s v="California"/>
    <s v="90807"/>
    <d v="2015-09-11T00:33:12"/>
    <d v="2015-09-11T00:33:15"/>
    <n v="1"/>
    <n v="2"/>
    <n v="2"/>
    <n v="3"/>
    <n v="1"/>
    <n v="1"/>
    <n v="29.92"/>
    <x v="5"/>
    <x v="566"/>
    <n v="11"/>
    <x v="4"/>
    <x v="14"/>
  </r>
  <r>
    <n v="593"/>
    <s v="California"/>
    <s v="92782"/>
    <d v="2015-09-09T15:54:13"/>
    <d v="2015-09-09T15:54:17"/>
    <n v="1"/>
    <n v="0"/>
    <n v="2"/>
    <n v="2"/>
    <n v="1"/>
    <n v="1"/>
    <n v="56.32"/>
    <x v="5"/>
    <x v="567"/>
    <n v="9"/>
    <x v="6"/>
    <x v="10"/>
  </r>
  <r>
    <n v="594"/>
    <s v="Connecticut"/>
    <s v="06492"/>
    <d v="2015-02-27T19:55:49"/>
    <d v="2015-03-10T18:04:40"/>
    <n v="3"/>
    <n v="6"/>
    <n v="14"/>
    <n v="3"/>
    <n v="1"/>
    <n v="7"/>
    <n v="50.4"/>
    <x v="3"/>
    <x v="568"/>
    <n v="27"/>
    <x v="4"/>
    <x v="12"/>
  </r>
  <r>
    <n v="595"/>
    <s v="District of Columbia"/>
    <s v="20005"/>
    <d v="2015-05-03T16:24:37"/>
    <d v="2015-05-03T16:24:40"/>
    <n v="1"/>
    <n v="4"/>
    <n v="8"/>
    <n v="1"/>
    <n v="1"/>
    <n v="2"/>
    <n v="72"/>
    <x v="4"/>
    <x v="569"/>
    <n v="3"/>
    <x v="2"/>
    <x v="4"/>
  </r>
  <r>
    <n v="596"/>
    <m/>
    <m/>
    <d v="2015-05-19T22:12:07"/>
    <d v="2015-05-19T18:12:09"/>
    <n v="1"/>
    <n v="4"/>
    <n v="4"/>
    <n v="2"/>
    <n v="1"/>
    <n v="1"/>
    <n v="57.6"/>
    <x v="4"/>
    <x v="570"/>
    <n v="19"/>
    <x v="5"/>
    <x v="6"/>
  </r>
  <r>
    <n v="597"/>
    <s v="Kentucky"/>
    <s v="40503"/>
    <d v="2015-06-05T11:37:17"/>
    <d v="2015-06-05T16:16:41"/>
    <n v="3"/>
    <n v="2"/>
    <n v="4"/>
    <n v="2"/>
    <n v="2"/>
    <n v="4"/>
    <n v="9"/>
    <x v="6"/>
    <x v="571"/>
    <n v="5"/>
    <x v="4"/>
    <x v="3"/>
  </r>
  <r>
    <n v="598"/>
    <m/>
    <m/>
    <d v="2015-08-28T11:40:43"/>
    <d v="2015-08-28T11:40:47"/>
    <n v="1"/>
    <n v="31"/>
    <n v="8"/>
    <n v="6"/>
    <n v="1"/>
    <n v="3"/>
    <n v="108.9"/>
    <x v="0"/>
    <x v="572"/>
    <n v="28"/>
    <x v="4"/>
    <x v="3"/>
  </r>
  <r>
    <n v="599"/>
    <s v="South Carolina"/>
    <s v="29180"/>
    <d v="2015-03-14T09:02:04"/>
    <d v="2015-03-14T09:02:09"/>
    <n v="1"/>
    <n v="0"/>
    <n v="8"/>
    <n v="2"/>
    <n v="1"/>
    <n v="4"/>
    <n v="36"/>
    <x v="8"/>
    <x v="573"/>
    <n v="14"/>
    <x v="0"/>
    <x v="15"/>
  </r>
  <r>
    <n v="600"/>
    <m/>
    <m/>
    <d v="2015-01-20T09:26:12"/>
    <d v="2015-01-20T09:26:15"/>
    <n v="1"/>
    <n v="0"/>
    <n v="4"/>
    <n v="10"/>
    <n v="1"/>
    <n v="4"/>
    <n v="28.8"/>
    <x v="1"/>
    <x v="574"/>
    <n v="20"/>
    <x v="5"/>
    <x v="15"/>
  </r>
  <r>
    <n v="602"/>
    <s v="Maryland"/>
    <s v="21102"/>
    <d v="2015-07-22T02:31:28"/>
    <d v="2015-07-21T22:31:32"/>
    <n v="1"/>
    <n v="0"/>
    <n v="2"/>
    <n v="2"/>
    <n v="1"/>
    <n v="1"/>
    <n v="12"/>
    <x v="2"/>
    <x v="575"/>
    <n v="21"/>
    <x v="5"/>
    <x v="1"/>
  </r>
  <r>
    <n v="603"/>
    <s v="Michigan"/>
    <s v="49418"/>
    <d v="2015-03-20T08:18:47"/>
    <d v="2015-03-20T08:18:53"/>
    <n v="1"/>
    <n v="4"/>
    <n v="8"/>
    <n v="2"/>
    <n v="1"/>
    <n v="4"/>
    <n v="28.8"/>
    <x v="8"/>
    <x v="576"/>
    <n v="20"/>
    <x v="4"/>
    <x v="18"/>
  </r>
  <r>
    <n v="604"/>
    <s v="Georgia"/>
    <s v="30141"/>
    <d v="2015-05-18T08:27:41"/>
    <d v="2015-05-18T08:27:47"/>
    <n v="1"/>
    <n v="4"/>
    <n v="2"/>
    <n v="2"/>
    <n v="1"/>
    <n v="1"/>
    <n v="28.8"/>
    <x v="4"/>
    <x v="577"/>
    <n v="18"/>
    <x v="3"/>
    <x v="18"/>
  </r>
  <r>
    <n v="605"/>
    <s v="Pennsylvania"/>
    <s v="17815"/>
    <d v="2015-07-09T20:15:15"/>
    <d v="2015-07-09T16:15:19"/>
    <n v="1"/>
    <n v="0"/>
    <n v="2"/>
    <n v="2"/>
    <n v="1"/>
    <n v="1"/>
    <n v="28.8"/>
    <x v="2"/>
    <x v="578"/>
    <n v="9"/>
    <x v="1"/>
    <x v="4"/>
  </r>
  <r>
    <n v="606"/>
    <s v="Wisconsin"/>
    <s v="54956"/>
    <d v="2015-04-19T22:06:24"/>
    <d v="2015-04-19T22:06:29"/>
    <n v="1"/>
    <n v="0"/>
    <n v="4"/>
    <n v="3"/>
    <n v="1"/>
    <n v="2"/>
    <n v="18"/>
    <x v="7"/>
    <x v="579"/>
    <n v="19"/>
    <x v="2"/>
    <x v="1"/>
  </r>
  <r>
    <n v="607"/>
    <s v="Wisconsin"/>
    <s v="53211"/>
    <d v="2015-06-19T01:12:10"/>
    <d v="2015-06-18T21:12:14"/>
    <n v="1"/>
    <n v="2"/>
    <n v="4"/>
    <n v="2"/>
    <n v="1"/>
    <n v="4"/>
    <n v="27"/>
    <x v="6"/>
    <x v="580"/>
    <n v="18"/>
    <x v="1"/>
    <x v="2"/>
  </r>
  <r>
    <n v="608"/>
    <m/>
    <m/>
    <d v="2015-07-25T19:15:34"/>
    <d v="2015-07-25T15:15:35"/>
    <n v="1"/>
    <n v="2"/>
    <n v="2"/>
    <n v="1"/>
    <n v="1"/>
    <n v="2"/>
    <n v="22"/>
    <x v="2"/>
    <x v="581"/>
    <n v="25"/>
    <x v="0"/>
    <x v="10"/>
  </r>
  <r>
    <n v="609"/>
    <s v="Missouri"/>
    <s v="63139"/>
    <d v="2015-02-19T18:59:41"/>
    <d v="2015-02-22T16:54:07"/>
    <n v="4"/>
    <n v="2"/>
    <n v="4"/>
    <n v="4"/>
    <n v="1"/>
    <n v="1"/>
    <n v="28.8"/>
    <x v="3"/>
    <x v="582"/>
    <n v="19"/>
    <x v="1"/>
    <x v="6"/>
  </r>
  <r>
    <n v="610"/>
    <s v="Texas"/>
    <s v="77651"/>
    <d v="2015-08-14T11:28:48"/>
    <d v="2015-08-14T07:28:53"/>
    <n v="1"/>
    <n v="0"/>
    <n v="6"/>
    <n v="2"/>
    <n v="1"/>
    <n v="4"/>
    <n v="35.200000000000003"/>
    <x v="0"/>
    <x v="583"/>
    <n v="14"/>
    <x v="4"/>
    <x v="16"/>
  </r>
  <r>
    <n v="611"/>
    <s v="Michigan"/>
    <s v="48323"/>
    <d v="2015-01-15T13:07:50"/>
    <d v="2015-01-15T13:07:56"/>
    <n v="1"/>
    <n v="0"/>
    <n v="4"/>
    <n v="2"/>
    <n v="1"/>
    <n v="2"/>
    <n v="9"/>
    <x v="1"/>
    <x v="584"/>
    <n v="15"/>
    <x v="1"/>
    <x v="17"/>
  </r>
  <r>
    <n v="612"/>
    <s v="California"/>
    <s v="94558"/>
    <d v="2015-07-29T20:11:14"/>
    <d v="2015-07-29T20:11:19"/>
    <n v="1"/>
    <n v="2"/>
    <n v="4"/>
    <n v="2"/>
    <n v="1"/>
    <n v="2"/>
    <n v="88.6"/>
    <x v="2"/>
    <x v="585"/>
    <n v="29"/>
    <x v="6"/>
    <x v="5"/>
  </r>
  <r>
    <n v="613"/>
    <s v="Ohio"/>
    <s v="43214"/>
    <d v="2015-03-11T02:00:35"/>
    <d v="2015-03-11T02:00:40"/>
    <n v="1"/>
    <n v="0"/>
    <n v="6"/>
    <n v="1"/>
    <n v="1"/>
    <n v="2"/>
    <n v="14.4"/>
    <x v="8"/>
    <x v="586"/>
    <n v="11"/>
    <x v="6"/>
    <x v="21"/>
  </r>
  <r>
    <n v="614"/>
    <s v="California"/>
    <s v="94041"/>
    <d v="2015-06-29T14:35:34"/>
    <d v="2015-06-29T14:35:38"/>
    <n v="1"/>
    <n v="8"/>
    <n v="4"/>
    <n v="3"/>
    <n v="1"/>
    <n v="1"/>
    <n v="57.6"/>
    <x v="6"/>
    <x v="587"/>
    <n v="29"/>
    <x v="3"/>
    <x v="9"/>
  </r>
  <r>
    <n v="615"/>
    <s v="Colorado"/>
    <s v="80021"/>
    <d v="2015-08-15T04:41:25"/>
    <d v="2015-08-16T16:05:08"/>
    <n v="4"/>
    <n v="3"/>
    <n v="4"/>
    <n v="3"/>
    <n v="1"/>
    <n v="1"/>
    <n v="37.4"/>
    <x v="0"/>
    <x v="588"/>
    <n v="16"/>
    <x v="2"/>
    <x v="4"/>
  </r>
  <r>
    <n v="616"/>
    <s v="Texas"/>
    <s v="78734"/>
    <d v="2015-09-06T10:54:02"/>
    <d v="2015-09-06T10:54:05"/>
    <n v="1"/>
    <n v="2"/>
    <n v="2"/>
    <n v="3"/>
    <n v="1"/>
    <n v="2"/>
    <n v="22"/>
    <x v="5"/>
    <x v="589"/>
    <n v="6"/>
    <x v="2"/>
    <x v="13"/>
  </r>
  <r>
    <n v="617"/>
    <s v="Wisconsin"/>
    <s v="53711"/>
    <d v="2015-01-26T18:51:26"/>
    <d v="2015-01-26T18:51:31"/>
    <n v="1"/>
    <n v="0"/>
    <n v="8"/>
    <n v="2"/>
    <n v="1"/>
    <n v="4"/>
    <n v="28.8"/>
    <x v="1"/>
    <x v="590"/>
    <n v="26"/>
    <x v="3"/>
    <x v="6"/>
  </r>
  <r>
    <n v="618"/>
    <s v="Florida"/>
    <s v="33324"/>
    <d v="2015-08-10T15:22:23"/>
    <d v="2015-08-10T15:22:26"/>
    <n v="1"/>
    <n v="4"/>
    <n v="4"/>
    <n v="2"/>
    <n v="1"/>
    <n v="2"/>
    <n v="22"/>
    <x v="0"/>
    <x v="591"/>
    <n v="10"/>
    <x v="3"/>
    <x v="10"/>
  </r>
  <r>
    <n v="619"/>
    <s v="South Carolina"/>
    <s v="29605"/>
    <d v="2015-04-19T17:01:58"/>
    <d v="2015-04-19T17:02:03"/>
    <n v="1"/>
    <n v="2"/>
    <n v="14"/>
    <n v="1"/>
    <n v="1"/>
    <n v="9"/>
    <n v="64.8"/>
    <x v="7"/>
    <x v="592"/>
    <n v="19"/>
    <x v="2"/>
    <x v="8"/>
  </r>
  <r>
    <n v="620"/>
    <s v="Michigan"/>
    <s v="48072"/>
    <d v="2015-02-23T18:32:34"/>
    <d v="2015-02-23T18:32:40"/>
    <n v="1"/>
    <n v="0"/>
    <n v="8"/>
    <n v="1"/>
    <n v="1"/>
    <n v="4"/>
    <n v="28.8"/>
    <x v="3"/>
    <x v="593"/>
    <n v="23"/>
    <x v="3"/>
    <x v="6"/>
  </r>
  <r>
    <n v="621"/>
    <s v="Texas"/>
    <s v="75070"/>
    <d v="2015-01-30T17:15:37"/>
    <d v="2015-02-02T08:40:37"/>
    <n v="2"/>
    <n v="0"/>
    <n v="5"/>
    <n v="3"/>
    <n v="1"/>
    <n v="2"/>
    <n v="9"/>
    <x v="1"/>
    <x v="594"/>
    <n v="30"/>
    <x v="4"/>
    <x v="8"/>
  </r>
  <r>
    <n v="622"/>
    <s v="Maryland"/>
    <s v="21215"/>
    <d v="2015-02-01T13:52:49"/>
    <d v="2015-02-01T13:52:55"/>
    <n v="1"/>
    <n v="0"/>
    <n v="6"/>
    <n v="2"/>
    <n v="1"/>
    <n v="2"/>
    <n v="9"/>
    <x v="3"/>
    <x v="595"/>
    <n v="1"/>
    <x v="2"/>
    <x v="17"/>
  </r>
  <r>
    <n v="623"/>
    <s v="Oklahoma"/>
    <s v="73064"/>
    <d v="2015-07-09T16:18:26"/>
    <d v="2015-07-09T16:18:29"/>
    <n v="1"/>
    <n v="4"/>
    <n v="4"/>
    <n v="2"/>
    <n v="1"/>
    <n v="1"/>
    <n v="28.8"/>
    <x v="2"/>
    <x v="596"/>
    <n v="9"/>
    <x v="1"/>
    <x v="4"/>
  </r>
  <r>
    <n v="624"/>
    <s v="Ohio"/>
    <s v="44030"/>
    <d v="2015-05-29T15:24:03"/>
    <d v="2015-05-30T08:06:34"/>
    <n v="3"/>
    <n v="0"/>
    <n v="2"/>
    <n v="2"/>
    <n v="1"/>
    <n v="1"/>
    <n v="72"/>
    <x v="4"/>
    <x v="597"/>
    <n v="29"/>
    <x v="4"/>
    <x v="10"/>
  </r>
  <r>
    <n v="625"/>
    <s v="California"/>
    <s v="94619"/>
    <d v="2015-05-21T22:51:29"/>
    <d v="2015-05-21T22:51:32"/>
    <n v="1"/>
    <n v="0"/>
    <n v="4"/>
    <n v="2"/>
    <n v="1"/>
    <n v="2"/>
    <n v="18"/>
    <x v="4"/>
    <x v="598"/>
    <n v="21"/>
    <x v="1"/>
    <x v="1"/>
  </r>
  <r>
    <n v="626"/>
    <s v="California"/>
    <s v="91977"/>
    <d v="2015-03-03T02:42:18"/>
    <d v="2015-03-08T05:10:41"/>
    <n v="9"/>
    <n v="2"/>
    <n v="8"/>
    <n v="4"/>
    <n v="1"/>
    <n v="4"/>
    <n v="27"/>
    <x v="8"/>
    <x v="599"/>
    <n v="3"/>
    <x v="5"/>
    <x v="21"/>
  </r>
  <r>
    <n v="628"/>
    <s v="Connecticut"/>
    <s v="06516"/>
    <d v="2015-05-19T02:32:32"/>
    <d v="2015-05-18T22:32:35"/>
    <n v="1"/>
    <n v="2"/>
    <n v="10"/>
    <n v="4"/>
    <n v="1"/>
    <n v="8"/>
    <n v="57.6"/>
    <x v="4"/>
    <x v="600"/>
    <n v="18"/>
    <x v="3"/>
    <x v="1"/>
  </r>
  <r>
    <n v="629"/>
    <s v="New Jersey"/>
    <s v="07001"/>
    <d v="2015-07-14T13:47:07"/>
    <d v="2015-07-14T13:47:12"/>
    <n v="1"/>
    <n v="1"/>
    <n v="3"/>
    <n v="2"/>
    <n v="1"/>
    <n v="1"/>
    <n v="37.4"/>
    <x v="2"/>
    <x v="601"/>
    <n v="14"/>
    <x v="5"/>
    <x v="17"/>
  </r>
  <r>
    <n v="631"/>
    <s v="Indiana"/>
    <s v="46142"/>
    <d v="2015-02-26T08:52:14"/>
    <d v="2015-02-26T08:52:17"/>
    <n v="1"/>
    <n v="0"/>
    <n v="2"/>
    <n v="1"/>
    <n v="1"/>
    <n v="1"/>
    <n v="57.6"/>
    <x v="3"/>
    <x v="602"/>
    <n v="26"/>
    <x v="1"/>
    <x v="18"/>
  </r>
  <r>
    <n v="632"/>
    <m/>
    <m/>
    <d v="2015-07-03T16:34:26"/>
    <d v="2015-07-03T12:34:28"/>
    <n v="1"/>
    <n v="4"/>
    <n v="12"/>
    <n v="5"/>
    <n v="1"/>
    <n v="6"/>
    <n v="43.2"/>
    <x v="2"/>
    <x v="603"/>
    <n v="3"/>
    <x v="4"/>
    <x v="7"/>
  </r>
  <r>
    <n v="634"/>
    <s v="New Hampshire"/>
    <s v="03063"/>
    <d v="2015-08-11T02:07:49"/>
    <d v="2015-08-10T22:07:53"/>
    <n v="1"/>
    <n v="4"/>
    <n v="2"/>
    <n v="2"/>
    <n v="1"/>
    <n v="1"/>
    <n v="37.4"/>
    <x v="0"/>
    <x v="604"/>
    <n v="10"/>
    <x v="3"/>
    <x v="1"/>
  </r>
  <r>
    <n v="635"/>
    <s v="Iowa"/>
    <s v="52722"/>
    <d v="2015-02-10T12:41:19"/>
    <d v="2015-02-10T12:41:23"/>
    <n v="1"/>
    <n v="2"/>
    <n v="2"/>
    <n v="1"/>
    <n v="1"/>
    <n v="1"/>
    <n v="27.2"/>
    <x v="3"/>
    <x v="605"/>
    <n v="10"/>
    <x v="5"/>
    <x v="7"/>
  </r>
  <r>
    <n v="636"/>
    <s v="Washington"/>
    <s v="98112"/>
    <d v="2015-09-03T23:53:35"/>
    <d v="2015-09-03T19:53:39"/>
    <n v="1"/>
    <n v="4"/>
    <n v="2"/>
    <n v="2"/>
    <n v="1"/>
    <n v="1"/>
    <n v="29.92"/>
    <x v="5"/>
    <x v="606"/>
    <n v="3"/>
    <x v="1"/>
    <x v="12"/>
  </r>
  <r>
    <n v="637"/>
    <s v="Texas"/>
    <s v="77450"/>
    <d v="2015-02-14T19:26:11"/>
    <d v="2015-02-14T19:26:16"/>
    <n v="1"/>
    <n v="2"/>
    <n v="4"/>
    <n v="2"/>
    <n v="1"/>
    <n v="2"/>
    <n v="9"/>
    <x v="3"/>
    <x v="607"/>
    <n v="14"/>
    <x v="0"/>
    <x v="12"/>
  </r>
  <r>
    <n v="638"/>
    <s v="California"/>
    <s v="90245"/>
    <d v="2015-06-08T17:59:18"/>
    <d v="2015-06-08T16:35:25"/>
    <n v="3"/>
    <n v="1"/>
    <n v="6"/>
    <n v="4"/>
    <n v="1"/>
    <n v="4"/>
    <n v="36"/>
    <x v="6"/>
    <x v="608"/>
    <n v="8"/>
    <x v="3"/>
    <x v="9"/>
  </r>
  <r>
    <n v="639"/>
    <s v="New York"/>
    <s v="13066"/>
    <d v="2015-07-06T14:12:25"/>
    <d v="2015-07-06T10:12:29"/>
    <n v="1"/>
    <n v="4"/>
    <n v="2"/>
    <n v="2"/>
    <n v="1"/>
    <n v="1"/>
    <n v="28.8"/>
    <x v="2"/>
    <x v="609"/>
    <n v="6"/>
    <x v="3"/>
    <x v="13"/>
  </r>
  <r>
    <n v="640"/>
    <s v="Virginia"/>
    <s v="20147"/>
    <d v="2015-02-23T20:30:10"/>
    <d v="2015-03-03T18:34:34"/>
    <n v="4"/>
    <n v="0"/>
    <n v="15"/>
    <n v="4"/>
    <n v="2"/>
    <n v="24"/>
    <n v="72"/>
    <x v="3"/>
    <x v="610"/>
    <n v="23"/>
    <x v="3"/>
    <x v="5"/>
  </r>
  <r>
    <n v="641"/>
    <s v="Idaho"/>
    <s v="83646"/>
    <d v="2015-07-20T01:19:12"/>
    <d v="2015-07-20T01:19:16"/>
    <n v="1"/>
    <n v="2"/>
    <n v="2"/>
    <n v="3"/>
    <n v="1"/>
    <n v="1"/>
    <n v="29.92"/>
    <x v="2"/>
    <x v="611"/>
    <n v="20"/>
    <x v="3"/>
    <x v="20"/>
  </r>
  <r>
    <n v="642"/>
    <s v="Colorado"/>
    <s v="80219"/>
    <d v="2015-08-08T12:22:09"/>
    <d v="2015-08-08T08:22:15"/>
    <n v="1"/>
    <n v="16"/>
    <n v="12"/>
    <n v="2"/>
    <n v="1"/>
    <n v="4"/>
    <n v="36"/>
    <x v="0"/>
    <x v="612"/>
    <n v="8"/>
    <x v="0"/>
    <x v="18"/>
  </r>
  <r>
    <n v="643"/>
    <s v="Illinois"/>
    <s v="60062"/>
    <d v="2015-02-23T10:49:39"/>
    <d v="2015-02-23T10:49:43"/>
    <n v="1"/>
    <n v="0"/>
    <n v="6"/>
    <n v="1"/>
    <n v="1"/>
    <n v="4"/>
    <n v="28.8"/>
    <x v="3"/>
    <x v="613"/>
    <n v="23"/>
    <x v="3"/>
    <x v="13"/>
  </r>
  <r>
    <n v="644"/>
    <s v="Massachusetts"/>
    <s v="01746"/>
    <d v="2015-07-13T17:05:51"/>
    <d v="2015-07-13T17:05:55"/>
    <n v="1"/>
    <n v="4"/>
    <n v="8"/>
    <n v="2"/>
    <n v="1"/>
    <n v="4"/>
    <n v="28.8"/>
    <x v="2"/>
    <x v="614"/>
    <n v="13"/>
    <x v="3"/>
    <x v="8"/>
  </r>
  <r>
    <n v="645"/>
    <s v="Pennsylvania"/>
    <s v="15239"/>
    <d v="2015-06-12T23:52:37"/>
    <d v="2015-06-12T19:52:41"/>
    <n v="1"/>
    <n v="6"/>
    <n v="6"/>
    <n v="2"/>
    <n v="1"/>
    <n v="4"/>
    <n v="27"/>
    <x v="6"/>
    <x v="615"/>
    <n v="12"/>
    <x v="4"/>
    <x v="12"/>
  </r>
  <r>
    <n v="646"/>
    <s v="Wisconsin"/>
    <s v="54935"/>
    <d v="2015-09-17T15:36:28"/>
    <d v="2015-09-17T11:36:32"/>
    <n v="1"/>
    <n v="8"/>
    <n v="6"/>
    <n v="2"/>
    <n v="1"/>
    <n v="1"/>
    <n v="27.2"/>
    <x v="5"/>
    <x v="616"/>
    <n v="17"/>
    <x v="1"/>
    <x v="3"/>
  </r>
  <r>
    <n v="647"/>
    <s v="Texas"/>
    <s v="78757"/>
    <d v="2015-03-12T03:05:38"/>
    <d v="2015-03-12T03:05:42"/>
    <n v="1"/>
    <n v="0"/>
    <n v="4"/>
    <n v="1"/>
    <n v="1"/>
    <n v="2"/>
    <n v="14.4"/>
    <x v="8"/>
    <x v="617"/>
    <n v="12"/>
    <x v="1"/>
    <x v="19"/>
  </r>
  <r>
    <n v="648"/>
    <s v="Minnesota"/>
    <s v="55318"/>
    <d v="2015-06-29T18:04:04"/>
    <d v="2015-07-01T15:35:20"/>
    <n v="6"/>
    <n v="2"/>
    <n v="4"/>
    <n v="4"/>
    <n v="1"/>
    <n v="2"/>
    <n v="57.6"/>
    <x v="6"/>
    <x v="618"/>
    <n v="29"/>
    <x v="3"/>
    <x v="9"/>
  </r>
  <r>
    <n v="649"/>
    <s v="Georgia"/>
    <s v="30152"/>
    <d v="2015-06-11T17:54:47"/>
    <d v="2015-06-12T02:19:07"/>
    <n v="5"/>
    <n v="5"/>
    <n v="3"/>
    <n v="7"/>
    <n v="2"/>
    <n v="2"/>
    <n v="36"/>
    <x v="6"/>
    <x v="619"/>
    <n v="11"/>
    <x v="1"/>
    <x v="17"/>
  </r>
  <r>
    <n v="650"/>
    <s v="Michigan"/>
    <s v="48823"/>
    <d v="2015-07-02T17:42:33"/>
    <d v="2015-07-02T17:42:37"/>
    <n v="1"/>
    <n v="6"/>
    <n v="6"/>
    <n v="2"/>
    <n v="1"/>
    <n v="7"/>
    <n v="50.4"/>
    <x v="2"/>
    <x v="620"/>
    <n v="2"/>
    <x v="1"/>
    <x v="8"/>
  </r>
  <r>
    <n v="652"/>
    <s v="Connecticut"/>
    <s v="06903"/>
    <d v="2015-03-09T19:40:43"/>
    <d v="2015-03-09T19:40:50"/>
    <n v="1"/>
    <n v="0"/>
    <n v="4"/>
    <n v="1"/>
    <n v="1"/>
    <n v="1"/>
    <n v="28.8"/>
    <x v="8"/>
    <x v="621"/>
    <n v="9"/>
    <x v="3"/>
    <x v="12"/>
  </r>
  <r>
    <n v="653"/>
    <m/>
    <m/>
    <d v="2015-07-15T01:50:58"/>
    <d v="2015-07-14T21:50:59"/>
    <n v="1"/>
    <n v="2"/>
    <n v="2"/>
    <n v="2"/>
    <n v="1"/>
    <n v="2"/>
    <n v="97.28"/>
    <x v="2"/>
    <x v="622"/>
    <n v="14"/>
    <x v="5"/>
    <x v="2"/>
  </r>
  <r>
    <n v="654"/>
    <s v="California"/>
    <s v="90025"/>
    <d v="2015-05-21T17:26:38"/>
    <d v="2015-05-21T17:26:41"/>
    <n v="1"/>
    <n v="4"/>
    <n v="4"/>
    <n v="4"/>
    <n v="1"/>
    <n v="2"/>
    <n v="14.4"/>
    <x v="4"/>
    <x v="623"/>
    <n v="21"/>
    <x v="1"/>
    <x v="8"/>
  </r>
  <r>
    <n v="655"/>
    <s v="South Carolina"/>
    <s v="29707"/>
    <d v="2015-03-12T11:58:15"/>
    <d v="2015-03-12T11:58:23"/>
    <n v="1"/>
    <n v="0"/>
    <n v="4"/>
    <n v="1"/>
    <n v="1"/>
    <n v="2"/>
    <n v="9"/>
    <x v="8"/>
    <x v="624"/>
    <n v="12"/>
    <x v="1"/>
    <x v="3"/>
  </r>
  <r>
    <n v="656"/>
    <s v="Iowa"/>
    <s v="50401"/>
    <d v="2015-01-29T20:07:23"/>
    <d v="2015-01-29T20:07:27"/>
    <n v="1"/>
    <n v="0"/>
    <n v="4"/>
    <n v="1"/>
    <n v="1"/>
    <n v="2"/>
    <n v="18"/>
    <x v="1"/>
    <x v="625"/>
    <n v="29"/>
    <x v="1"/>
    <x v="5"/>
  </r>
  <r>
    <n v="657"/>
    <s v="Michigan"/>
    <s v="49507"/>
    <d v="2015-08-14T18:04:40"/>
    <d v="2015-08-14T18:04:43"/>
    <n v="1"/>
    <n v="6"/>
    <n v="8"/>
    <n v="2"/>
    <n v="1"/>
    <n v="4"/>
    <n v="36"/>
    <x v="0"/>
    <x v="626"/>
    <n v="14"/>
    <x v="4"/>
    <x v="6"/>
  </r>
  <r>
    <n v="658"/>
    <s v="Michigan"/>
    <s v="48169"/>
    <d v="2015-08-28T17:47:56"/>
    <d v="2015-08-28T13:48:00"/>
    <n v="1"/>
    <n v="4"/>
    <n v="2"/>
    <n v="2"/>
    <n v="1"/>
    <n v="1"/>
    <n v="56.32"/>
    <x v="0"/>
    <x v="627"/>
    <n v="28"/>
    <x v="4"/>
    <x v="17"/>
  </r>
  <r>
    <n v="659"/>
    <s v="Illinois"/>
    <s v="61103"/>
    <d v="2015-03-03T12:28:25"/>
    <d v="2015-03-03T12:28:30"/>
    <n v="1"/>
    <n v="4"/>
    <n v="4"/>
    <n v="1"/>
    <n v="1"/>
    <n v="4"/>
    <n v="28.8"/>
    <x v="8"/>
    <x v="628"/>
    <n v="3"/>
    <x v="5"/>
    <x v="7"/>
  </r>
  <r>
    <n v="660"/>
    <m/>
    <m/>
    <d v="2015-07-28T01:57:37"/>
    <d v="2015-07-27T21:57:37"/>
    <n v="1"/>
    <n v="2"/>
    <n v="5"/>
    <n v="3"/>
    <n v="1"/>
    <n v="4"/>
    <n v="36.799999999999997"/>
    <x v="2"/>
    <x v="629"/>
    <n v="27"/>
    <x v="3"/>
    <x v="1"/>
  </r>
  <r>
    <n v="661"/>
    <s v="Texas"/>
    <s v="75024"/>
    <d v="2015-08-04T15:40:55"/>
    <d v="2015-08-04T11:40:56"/>
    <n v="1"/>
    <n v="4"/>
    <n v="8"/>
    <n v="8"/>
    <n v="1"/>
    <n v="2"/>
    <n v="22"/>
    <x v="0"/>
    <x v="630"/>
    <n v="4"/>
    <x v="5"/>
    <x v="3"/>
  </r>
  <r>
    <n v="662"/>
    <s v="California"/>
    <s v="92705"/>
    <d v="2015-01-17T11:27:33"/>
    <d v="2015-01-22T13:19:46"/>
    <n v="3"/>
    <n v="0"/>
    <n v="6"/>
    <n v="3"/>
    <n v="1"/>
    <n v="3"/>
    <n v="18"/>
    <x v="1"/>
    <x v="631"/>
    <n v="17"/>
    <x v="0"/>
    <x v="3"/>
  </r>
  <r>
    <n v="663"/>
    <s v="Washington"/>
    <s v="98027"/>
    <d v="2015-08-29T16:19:40"/>
    <d v="2015-08-29T12:19:45"/>
    <n v="1"/>
    <n v="2"/>
    <n v="4"/>
    <n v="4"/>
    <n v="1"/>
    <n v="2"/>
    <n v="38.72"/>
    <x v="0"/>
    <x v="632"/>
    <n v="29"/>
    <x v="0"/>
    <x v="7"/>
  </r>
  <r>
    <n v="664"/>
    <s v="Oklahoma"/>
    <s v="74501"/>
    <d v="2015-07-08T00:41:20"/>
    <d v="2015-07-07T20:41:21"/>
    <n v="1"/>
    <n v="4"/>
    <n v="8"/>
    <n v="2"/>
    <n v="1"/>
    <n v="4"/>
    <n v="28.8"/>
    <x v="2"/>
    <x v="633"/>
    <n v="7"/>
    <x v="5"/>
    <x v="5"/>
  </r>
  <r>
    <n v="665"/>
    <s v="Massachusetts"/>
    <s v="01119"/>
    <d v="2015-08-06T16:48:54"/>
    <d v="2015-08-06T12:48:58"/>
    <n v="1"/>
    <n v="6"/>
    <n v="6"/>
    <n v="2"/>
    <n v="1"/>
    <n v="4"/>
    <n v="35.200000000000003"/>
    <x v="0"/>
    <x v="634"/>
    <n v="6"/>
    <x v="1"/>
    <x v="7"/>
  </r>
  <r>
    <n v="666"/>
    <s v="California"/>
    <s v="95134"/>
    <d v="2015-04-09T17:19:57"/>
    <d v="2015-04-09T17:20:02"/>
    <n v="1"/>
    <n v="6"/>
    <n v="4"/>
    <n v="1"/>
    <n v="1"/>
    <n v="3"/>
    <n v="43.2"/>
    <x v="7"/>
    <x v="635"/>
    <n v="9"/>
    <x v="1"/>
    <x v="8"/>
  </r>
  <r>
    <n v="667"/>
    <s v="Connecticut"/>
    <s v="06853"/>
    <d v="2015-07-10T12:48:25"/>
    <d v="2015-07-10T12:48:28"/>
    <n v="1"/>
    <n v="0"/>
    <n v="2"/>
    <n v="2"/>
    <n v="1"/>
    <n v="1"/>
    <n v="48"/>
    <x v="2"/>
    <x v="636"/>
    <n v="10"/>
    <x v="4"/>
    <x v="7"/>
  </r>
  <r>
    <n v="668"/>
    <s v="Michigan"/>
    <s v="48208"/>
    <d v="2015-07-06T23:56:25"/>
    <d v="2015-07-06T19:56:29"/>
    <n v="1"/>
    <n v="2"/>
    <n v="6"/>
    <n v="2"/>
    <n v="1"/>
    <n v="4"/>
    <n v="28.8"/>
    <x v="2"/>
    <x v="637"/>
    <n v="6"/>
    <x v="3"/>
    <x v="12"/>
  </r>
  <r>
    <n v="669"/>
    <s v="New York"/>
    <s v="10027"/>
    <d v="2015-02-02T16:03:20"/>
    <d v="2015-03-17T07:16:12"/>
    <n v="4"/>
    <n v="7"/>
    <n v="18"/>
    <n v="7"/>
    <n v="3"/>
    <n v="8"/>
    <n v="14.4"/>
    <x v="3"/>
    <x v="638"/>
    <n v="2"/>
    <x v="3"/>
    <x v="4"/>
  </r>
  <r>
    <n v="670"/>
    <s v="Maryland"/>
    <s v="21740"/>
    <d v="2015-01-25T21:23:42"/>
    <d v="2015-03-02T19:16:20"/>
    <n v="2"/>
    <n v="2"/>
    <n v="22"/>
    <n v="5"/>
    <n v="2"/>
    <n v="12"/>
    <n v="28.8"/>
    <x v="1"/>
    <x v="639"/>
    <n v="25"/>
    <x v="2"/>
    <x v="2"/>
  </r>
  <r>
    <n v="671"/>
    <s v="Washington"/>
    <s v="98029"/>
    <d v="2015-02-19T16:52:00"/>
    <d v="2015-02-26T11:58:54"/>
    <n v="6"/>
    <n v="1"/>
    <n v="14"/>
    <n v="3"/>
    <n v="1"/>
    <n v="7"/>
    <n v="50.4"/>
    <x v="3"/>
    <x v="640"/>
    <n v="19"/>
    <x v="1"/>
    <x v="4"/>
  </r>
  <r>
    <n v="672"/>
    <m/>
    <m/>
    <d v="2015-04-12T17:56:59"/>
    <d v="2015-04-12T17:57:04"/>
    <n v="1"/>
    <n v="2"/>
    <n v="10"/>
    <n v="2"/>
    <n v="1"/>
    <n v="6"/>
    <n v="54"/>
    <x v="7"/>
    <x v="641"/>
    <n v="12"/>
    <x v="2"/>
    <x v="6"/>
  </r>
  <r>
    <n v="673"/>
    <s v="Massachusetts"/>
    <s v="01085"/>
    <d v="2015-04-03T12:08:08"/>
    <d v="2015-04-03T12:08:13"/>
    <n v="1"/>
    <n v="0"/>
    <n v="2"/>
    <n v="1"/>
    <n v="1"/>
    <n v="1"/>
    <n v="28.8"/>
    <x v="7"/>
    <x v="642"/>
    <n v="3"/>
    <x v="4"/>
    <x v="7"/>
  </r>
  <r>
    <n v="674"/>
    <s v="Michigan"/>
    <s v="48611"/>
    <d v="2015-07-08T09:40:03"/>
    <d v="2015-07-08T09:40:07"/>
    <n v="1"/>
    <n v="6"/>
    <n v="4"/>
    <n v="2"/>
    <n v="1"/>
    <n v="6"/>
    <n v="43.2"/>
    <x v="2"/>
    <x v="643"/>
    <n v="8"/>
    <x v="6"/>
    <x v="15"/>
  </r>
  <r>
    <n v="676"/>
    <s v="Connecticut"/>
    <s v="06470"/>
    <d v="2015-01-21T12:23:18"/>
    <d v="2015-03-09T15:45:01"/>
    <n v="2"/>
    <n v="4"/>
    <n v="18"/>
    <n v="5"/>
    <n v="2"/>
    <n v="12"/>
    <n v="34.4"/>
    <x v="1"/>
    <x v="644"/>
    <n v="21"/>
    <x v="6"/>
    <x v="7"/>
  </r>
  <r>
    <n v="677"/>
    <s v="Florida"/>
    <s v="33315"/>
    <d v="2015-08-20T18:00:10"/>
    <d v="2015-08-20T18:00:13"/>
    <n v="1"/>
    <n v="6"/>
    <n v="2"/>
    <n v="2"/>
    <n v="1"/>
    <n v="1"/>
    <n v="56.32"/>
    <x v="0"/>
    <x v="645"/>
    <n v="20"/>
    <x v="1"/>
    <x v="6"/>
  </r>
  <r>
    <n v="678"/>
    <s v="Pennsylvania"/>
    <s v="17960"/>
    <d v="2015-06-22T18:34:41"/>
    <d v="2015-06-22T18:34:45"/>
    <n v="1"/>
    <n v="2"/>
    <n v="2"/>
    <n v="3"/>
    <n v="1"/>
    <n v="1"/>
    <n v="72"/>
    <x v="6"/>
    <x v="646"/>
    <n v="22"/>
    <x v="3"/>
    <x v="6"/>
  </r>
  <r>
    <n v="679"/>
    <m/>
    <m/>
    <d v="2015-06-30T03:49:55"/>
    <d v="2015-06-30T09:55:09"/>
    <n v="2"/>
    <n v="0"/>
    <n v="2"/>
    <n v="2"/>
    <n v="1"/>
    <n v="2"/>
    <n v="18"/>
    <x v="6"/>
    <x v="647"/>
    <n v="29"/>
    <x v="3"/>
    <x v="0"/>
  </r>
  <r>
    <n v="680"/>
    <s v="Connecticut"/>
    <s v="06074"/>
    <d v="2015-06-04T11:55:30"/>
    <d v="2015-06-04T07:55:34"/>
    <n v="1"/>
    <n v="4"/>
    <n v="4"/>
    <n v="2"/>
    <n v="1"/>
    <n v="2"/>
    <n v="18"/>
    <x v="6"/>
    <x v="648"/>
    <n v="4"/>
    <x v="1"/>
    <x v="16"/>
  </r>
  <r>
    <n v="681"/>
    <s v="Washington"/>
    <s v="98019"/>
    <d v="2015-01-24T21:10:56"/>
    <d v="2015-01-24T21:11:00"/>
    <n v="1"/>
    <n v="0"/>
    <n v="12"/>
    <n v="5"/>
    <n v="1"/>
    <n v="2"/>
    <n v="9"/>
    <x v="1"/>
    <x v="649"/>
    <n v="24"/>
    <x v="0"/>
    <x v="2"/>
  </r>
  <r>
    <n v="682"/>
    <m/>
    <m/>
    <d v="2015-07-26T21:26:59"/>
    <d v="2015-07-26T17:27:03"/>
    <n v="1"/>
    <n v="4"/>
    <n v="8"/>
    <n v="5"/>
    <n v="1"/>
    <n v="6"/>
    <n v="267.3"/>
    <x v="2"/>
    <x v="650"/>
    <n v="26"/>
    <x v="2"/>
    <x v="8"/>
  </r>
  <r>
    <n v="683"/>
    <s v="California"/>
    <s v="95993"/>
    <d v="2015-01-26T21:08:41"/>
    <d v="2015-01-26T21:08:46"/>
    <n v="1"/>
    <n v="6"/>
    <n v="8"/>
    <n v="7"/>
    <n v="1"/>
    <n v="4"/>
    <n v="28.8"/>
    <x v="1"/>
    <x v="651"/>
    <n v="26"/>
    <x v="3"/>
    <x v="2"/>
  </r>
  <r>
    <n v="684"/>
    <s v="Maryland"/>
    <s v="21117"/>
    <d v="2015-08-20T09:08:57"/>
    <d v="2015-08-20T09:09:01"/>
    <n v="1"/>
    <n v="2"/>
    <n v="2"/>
    <n v="2"/>
    <n v="1"/>
    <n v="1"/>
    <n v="29.92"/>
    <x v="0"/>
    <x v="652"/>
    <n v="20"/>
    <x v="1"/>
    <x v="15"/>
  </r>
  <r>
    <n v="685"/>
    <s v="North Carolina"/>
    <s v="28560"/>
    <d v="2015-02-03T10:26:16"/>
    <d v="2015-02-03T10:26:21"/>
    <n v="1"/>
    <n v="0"/>
    <n v="12"/>
    <n v="2"/>
    <n v="1"/>
    <n v="4"/>
    <n v="30.6"/>
    <x v="3"/>
    <x v="653"/>
    <n v="3"/>
    <x v="5"/>
    <x v="13"/>
  </r>
  <r>
    <n v="686"/>
    <s v="Missouri"/>
    <s v="65203"/>
    <d v="2015-08-31T00:41:57"/>
    <d v="2015-08-30T20:42:01"/>
    <n v="1"/>
    <n v="6"/>
    <n v="10"/>
    <n v="2"/>
    <n v="1"/>
    <n v="4"/>
    <n v="35.200000000000003"/>
    <x v="0"/>
    <x v="654"/>
    <n v="30"/>
    <x v="2"/>
    <x v="5"/>
  </r>
  <r>
    <n v="687"/>
    <s v="Florida"/>
    <s v="32162"/>
    <d v="2015-02-08T19:12:26"/>
    <d v="2015-02-08T19:12:31"/>
    <n v="1"/>
    <n v="0"/>
    <n v="4"/>
    <n v="1"/>
    <n v="1"/>
    <n v="2"/>
    <n v="18"/>
    <x v="3"/>
    <x v="655"/>
    <n v="8"/>
    <x v="2"/>
    <x v="12"/>
  </r>
  <r>
    <n v="688"/>
    <m/>
    <m/>
    <d v="2015-07-04T02:26:38"/>
    <d v="2015-07-03T22:26:39"/>
    <n v="1"/>
    <n v="6"/>
    <n v="6"/>
    <n v="4"/>
    <n v="1"/>
    <n v="4"/>
    <n v="28.8"/>
    <x v="2"/>
    <x v="656"/>
    <n v="3"/>
    <x v="4"/>
    <x v="1"/>
  </r>
  <r>
    <n v="689"/>
    <s v="Iowa"/>
    <s v="52245"/>
    <d v="2015-04-19T23:17:05"/>
    <d v="2015-04-19T23:17:12"/>
    <n v="1"/>
    <n v="4"/>
    <n v="18"/>
    <n v="1"/>
    <n v="1"/>
    <n v="8"/>
    <n v="56"/>
    <x v="7"/>
    <x v="657"/>
    <n v="19"/>
    <x v="2"/>
    <x v="0"/>
  </r>
  <r>
    <n v="690"/>
    <s v="Connecticut"/>
    <s v="06824"/>
    <d v="2015-04-04T15:20:07"/>
    <d v="2015-04-04T15:20:11"/>
    <n v="1"/>
    <n v="4"/>
    <n v="2"/>
    <n v="1"/>
    <n v="1"/>
    <n v="1"/>
    <n v="57.6"/>
    <x v="7"/>
    <x v="658"/>
    <n v="4"/>
    <x v="0"/>
    <x v="10"/>
  </r>
  <r>
    <n v="691"/>
    <m/>
    <m/>
    <d v="2015-01-28T12:35:23"/>
    <d v="2015-03-05T12:22:18"/>
    <n v="2"/>
    <n v="4"/>
    <n v="43"/>
    <n v="6"/>
    <n v="1"/>
    <n v="8"/>
    <n v="57.6"/>
    <x v="1"/>
    <x v="659"/>
    <n v="28"/>
    <x v="6"/>
    <x v="7"/>
  </r>
  <r>
    <n v="692"/>
    <s v="Florida"/>
    <s v="33614"/>
    <d v="2015-07-17T18:06:23"/>
    <d v="2015-07-17T18:06:28"/>
    <n v="1"/>
    <n v="10"/>
    <n v="12"/>
    <n v="8"/>
    <n v="1"/>
    <n v="2"/>
    <n v="38.72"/>
    <x v="2"/>
    <x v="660"/>
    <n v="17"/>
    <x v="4"/>
    <x v="6"/>
  </r>
  <r>
    <n v="693"/>
    <s v="New Jersey"/>
    <s v="08520"/>
    <d v="2015-01-27T22:29:04"/>
    <d v="2015-01-27T22:29:07"/>
    <n v="1"/>
    <n v="0"/>
    <n v="4"/>
    <n v="3"/>
    <n v="1"/>
    <n v="1"/>
    <n v="28.8"/>
    <x v="1"/>
    <x v="661"/>
    <n v="27"/>
    <x v="5"/>
    <x v="1"/>
  </r>
  <r>
    <n v="695"/>
    <s v="California"/>
    <s v="92240"/>
    <d v="2015-02-13T04:07:36"/>
    <d v="2015-03-07T04:39:18"/>
    <n v="4"/>
    <n v="3"/>
    <n v="8"/>
    <n v="10"/>
    <n v="1"/>
    <n v="4"/>
    <n v="28.8"/>
    <x v="3"/>
    <x v="662"/>
    <n v="14"/>
    <x v="0"/>
    <x v="23"/>
  </r>
  <r>
    <n v="696"/>
    <s v="Michigan"/>
    <s v="49085"/>
    <d v="2015-01-17T21:03:28"/>
    <d v="2015-01-17T21:03:32"/>
    <n v="1"/>
    <n v="0"/>
    <n v="4"/>
    <n v="3"/>
    <n v="1"/>
    <n v="5"/>
    <n v="45"/>
    <x v="1"/>
    <x v="663"/>
    <n v="17"/>
    <x v="0"/>
    <x v="2"/>
  </r>
  <r>
    <n v="697"/>
    <s v="Minnesota"/>
    <s v="55427"/>
    <d v="2015-01-21T17:01:28"/>
    <d v="2015-01-21T17:01:32"/>
    <n v="1"/>
    <n v="4"/>
    <n v="10"/>
    <n v="2"/>
    <n v="1"/>
    <n v="5"/>
    <n v="57.6"/>
    <x v="1"/>
    <x v="664"/>
    <n v="21"/>
    <x v="6"/>
    <x v="8"/>
  </r>
  <r>
    <n v="698"/>
    <s v="Texas"/>
    <s v="78729"/>
    <d v="2015-03-28T17:43:12"/>
    <d v="2015-03-28T17:43:18"/>
    <n v="1"/>
    <n v="6"/>
    <n v="10"/>
    <n v="2"/>
    <n v="1"/>
    <n v="5"/>
    <n v="36"/>
    <x v="8"/>
    <x v="665"/>
    <n v="28"/>
    <x v="0"/>
    <x v="8"/>
  </r>
  <r>
    <n v="699"/>
    <m/>
    <m/>
    <d v="2015-07-11T19:53:53"/>
    <d v="2015-07-11T15:53:54"/>
    <n v="1"/>
    <n v="2"/>
    <n v="5"/>
    <n v="3"/>
    <n v="1"/>
    <n v="4"/>
    <n v="28.8"/>
    <x v="2"/>
    <x v="666"/>
    <n v="11"/>
    <x v="0"/>
    <x v="10"/>
  </r>
  <r>
    <n v="700"/>
    <s v="Washington"/>
    <s v="98122"/>
    <d v="2015-03-01T23:53:36"/>
    <d v="2015-03-01T23:53:41"/>
    <n v="1"/>
    <n v="2"/>
    <n v="2"/>
    <n v="1"/>
    <n v="1"/>
    <n v="1"/>
    <n v="28.8"/>
    <x v="8"/>
    <x v="667"/>
    <n v="1"/>
    <x v="2"/>
    <x v="0"/>
  </r>
  <r>
    <n v="701"/>
    <s v="Ohio"/>
    <s v="45430"/>
    <d v="2015-04-16T11:50:26"/>
    <d v="2015-04-16T11:50:30"/>
    <n v="1"/>
    <n v="4"/>
    <n v="4"/>
    <n v="1"/>
    <n v="1"/>
    <n v="2"/>
    <n v="14.4"/>
    <x v="7"/>
    <x v="668"/>
    <n v="16"/>
    <x v="1"/>
    <x v="3"/>
  </r>
  <r>
    <n v="702"/>
    <s v="Oregon"/>
    <s v="97231"/>
    <d v="2015-07-13T15:51:47"/>
    <d v="2015-07-13T11:51:51"/>
    <n v="1"/>
    <n v="6"/>
    <n v="8"/>
    <n v="4"/>
    <n v="1"/>
    <n v="4"/>
    <n v="28.8"/>
    <x v="2"/>
    <x v="669"/>
    <n v="13"/>
    <x v="3"/>
    <x v="3"/>
  </r>
  <r>
    <n v="703"/>
    <s v="New York"/>
    <s v="10065"/>
    <d v="2015-02-18T10:36:23"/>
    <d v="2015-02-18T10:36:27"/>
    <n v="1"/>
    <n v="0"/>
    <n v="10"/>
    <n v="2"/>
    <n v="1"/>
    <n v="4"/>
    <n v="27"/>
    <x v="3"/>
    <x v="670"/>
    <n v="18"/>
    <x v="6"/>
    <x v="13"/>
  </r>
  <r>
    <n v="704"/>
    <s v="California"/>
    <s v="94041"/>
    <d v="2015-01-21T21:12:40"/>
    <d v="2015-01-21T21:12:44"/>
    <n v="1"/>
    <n v="2"/>
    <n v="10"/>
    <n v="2"/>
    <n v="1"/>
    <n v="5"/>
    <n v="36"/>
    <x v="1"/>
    <x v="671"/>
    <n v="21"/>
    <x v="6"/>
    <x v="2"/>
  </r>
  <r>
    <n v="705"/>
    <s v="Colorado"/>
    <s v="80424"/>
    <d v="2015-03-10T21:50:53"/>
    <d v="2015-03-10T21:50:58"/>
    <n v="1"/>
    <n v="0"/>
    <n v="2"/>
    <n v="1"/>
    <n v="1"/>
    <n v="1"/>
    <n v="28.8"/>
    <x v="8"/>
    <x v="672"/>
    <n v="10"/>
    <x v="5"/>
    <x v="2"/>
  </r>
  <r>
    <n v="706"/>
    <s v="Iowa"/>
    <s v="50658"/>
    <d v="2015-06-25T19:57:29"/>
    <d v="2015-06-25T19:57:34"/>
    <n v="1"/>
    <n v="0"/>
    <n v="6"/>
    <n v="2"/>
    <n v="1"/>
    <n v="3"/>
    <n v="86.4"/>
    <x v="6"/>
    <x v="673"/>
    <n v="25"/>
    <x v="1"/>
    <x v="12"/>
  </r>
  <r>
    <n v="707"/>
    <s v="California"/>
    <s v="94114"/>
    <d v="2015-03-24T13:12:51"/>
    <d v="2015-03-24T13:12:55"/>
    <n v="1"/>
    <n v="2"/>
    <n v="6"/>
    <n v="1"/>
    <n v="1"/>
    <n v="4"/>
    <n v="28.8"/>
    <x v="8"/>
    <x v="674"/>
    <n v="24"/>
    <x v="5"/>
    <x v="17"/>
  </r>
  <r>
    <n v="708"/>
    <s v="California"/>
    <s v="95123"/>
    <d v="2015-03-24T15:01:03"/>
    <d v="2015-03-24T15:01:09"/>
    <n v="1"/>
    <n v="0"/>
    <n v="10"/>
    <n v="1"/>
    <n v="1"/>
    <n v="4"/>
    <n v="28.8"/>
    <x v="8"/>
    <x v="675"/>
    <n v="24"/>
    <x v="5"/>
    <x v="10"/>
  </r>
  <r>
    <n v="709"/>
    <m/>
    <m/>
    <d v="2015-03-01T10:29:04"/>
    <d v="2015-03-01T10:29:07"/>
    <n v="1"/>
    <n v="2"/>
    <n v="2"/>
    <n v="2"/>
    <n v="1"/>
    <n v="1"/>
    <n v="27"/>
    <x v="8"/>
    <x v="676"/>
    <n v="1"/>
    <x v="2"/>
    <x v="13"/>
  </r>
  <r>
    <n v="710"/>
    <m/>
    <m/>
    <d v="2015-09-06T03:05:28"/>
    <d v="2015-09-06T03:05:29"/>
    <n v="1"/>
    <n v="9"/>
    <n v="9"/>
    <n v="12"/>
    <n v="2"/>
    <n v="4"/>
    <n v="13"/>
    <x v="5"/>
    <x v="677"/>
    <n v="6"/>
    <x v="2"/>
    <x v="19"/>
  </r>
  <r>
    <n v="711"/>
    <s v="California"/>
    <s v="91320"/>
    <d v="2015-01-19T14:15:15"/>
    <d v="2015-01-20T12:54:03"/>
    <n v="3"/>
    <n v="0"/>
    <n v="2"/>
    <n v="3"/>
    <n v="1"/>
    <n v="1"/>
    <n v="28.8"/>
    <x v="1"/>
    <x v="678"/>
    <n v="19"/>
    <x v="3"/>
    <x v="9"/>
  </r>
  <r>
    <n v="712"/>
    <m/>
    <m/>
    <d v="2015-06-30T04:44:55"/>
    <d v="2015-06-30T00:44:56"/>
    <n v="1"/>
    <n v="9"/>
    <n v="9"/>
    <n v="4"/>
    <n v="1"/>
    <n v="2"/>
    <n v="12"/>
    <x v="6"/>
    <x v="679"/>
    <n v="30"/>
    <x v="5"/>
    <x v="14"/>
  </r>
  <r>
    <n v="713"/>
    <m/>
    <m/>
    <d v="2015-03-04T13:19:24"/>
    <d v="2015-03-04T13:19:32"/>
    <n v="1"/>
    <n v="4"/>
    <n v="10"/>
    <n v="4"/>
    <n v="1"/>
    <n v="4"/>
    <n v="28.8"/>
    <x v="8"/>
    <x v="680"/>
    <n v="4"/>
    <x v="6"/>
    <x v="17"/>
  </r>
  <r>
    <n v="714"/>
    <m/>
    <m/>
    <d v="2015-03-21T14:15:09"/>
    <d v="2015-03-21T14:15:14"/>
    <n v="1"/>
    <n v="0"/>
    <n v="4"/>
    <n v="3"/>
    <n v="1"/>
    <n v="2"/>
    <n v="14.4"/>
    <x v="8"/>
    <x v="681"/>
    <n v="21"/>
    <x v="0"/>
    <x v="9"/>
  </r>
  <r>
    <n v="715"/>
    <s v="California"/>
    <s v="90746"/>
    <d v="2015-02-22T11:43:06"/>
    <d v="2015-02-22T11:43:12"/>
    <n v="1"/>
    <n v="0"/>
    <n v="12"/>
    <n v="1"/>
    <n v="1"/>
    <n v="6"/>
    <n v="43.2"/>
    <x v="3"/>
    <x v="682"/>
    <n v="22"/>
    <x v="2"/>
    <x v="3"/>
  </r>
  <r>
    <n v="716"/>
    <m/>
    <m/>
    <d v="2015-07-09T23:02:37"/>
    <d v="2015-07-09T19:02:39"/>
    <n v="1"/>
    <n v="2"/>
    <n v="6"/>
    <n v="5"/>
    <n v="1"/>
    <n v="2"/>
    <n v="57.6"/>
    <x v="2"/>
    <x v="683"/>
    <n v="9"/>
    <x v="1"/>
    <x v="12"/>
  </r>
  <r>
    <n v="717"/>
    <s v="Illinois"/>
    <s v="60613"/>
    <d v="2015-05-21T17:26:13"/>
    <d v="2015-05-21T17:26:16"/>
    <n v="1"/>
    <n v="4"/>
    <n v="2"/>
    <n v="2"/>
    <n v="1"/>
    <n v="1"/>
    <n v="57.6"/>
    <x v="4"/>
    <x v="684"/>
    <n v="21"/>
    <x v="1"/>
    <x v="8"/>
  </r>
  <r>
    <n v="718"/>
    <s v="New York"/>
    <s v="11901"/>
    <d v="2015-06-23T22:14:52"/>
    <d v="2015-06-24T10:46:45"/>
    <n v="2"/>
    <n v="2"/>
    <n v="2"/>
    <n v="4"/>
    <n v="1"/>
    <n v="1"/>
    <n v="38.4"/>
    <x v="6"/>
    <x v="685"/>
    <n v="23"/>
    <x v="5"/>
    <x v="6"/>
  </r>
  <r>
    <n v="719"/>
    <s v="Texas"/>
    <s v="79705"/>
    <d v="2015-05-07T20:53:45"/>
    <d v="2015-05-07T20:53:49"/>
    <n v="1"/>
    <n v="0"/>
    <n v="4"/>
    <n v="2"/>
    <n v="1"/>
    <n v="2"/>
    <n v="14.4"/>
    <x v="4"/>
    <x v="686"/>
    <n v="7"/>
    <x v="1"/>
    <x v="5"/>
  </r>
  <r>
    <n v="720"/>
    <s v="Georgia"/>
    <s v="31411"/>
    <d v="2015-03-04T07:13:53"/>
    <d v="2015-03-10T18:02:43"/>
    <n v="3"/>
    <n v="1"/>
    <n v="1"/>
    <n v="2"/>
    <n v="1"/>
    <n v="1"/>
    <n v="36"/>
    <x v="8"/>
    <x v="687"/>
    <n v="4"/>
    <x v="6"/>
    <x v="16"/>
  </r>
  <r>
    <n v="721"/>
    <s v="Iowa"/>
    <s v="50201"/>
    <d v="2015-08-01T13:54:06"/>
    <d v="2015-08-03T13:31:33"/>
    <n v="6"/>
    <n v="6"/>
    <n v="2"/>
    <n v="3"/>
    <n v="1"/>
    <n v="1"/>
    <n v="37.4"/>
    <x v="0"/>
    <x v="688"/>
    <n v="1"/>
    <x v="0"/>
    <x v="17"/>
  </r>
  <r>
    <n v="722"/>
    <s v="New York"/>
    <s v="11204"/>
    <d v="2015-07-07T02:21:45"/>
    <d v="2015-07-06T22:21:50"/>
    <n v="1"/>
    <n v="2"/>
    <n v="2"/>
    <n v="2"/>
    <n v="1"/>
    <n v="1"/>
    <n v="72"/>
    <x v="2"/>
    <x v="689"/>
    <n v="6"/>
    <x v="3"/>
    <x v="1"/>
  </r>
  <r>
    <n v="723"/>
    <m/>
    <m/>
    <d v="2015-04-04T10:49:18"/>
    <d v="2015-04-04T10:49:20"/>
    <n v="1"/>
    <n v="1"/>
    <n v="11"/>
    <n v="3"/>
    <n v="1"/>
    <n v="7"/>
    <n v="59"/>
    <x v="7"/>
    <x v="690"/>
    <n v="4"/>
    <x v="0"/>
    <x v="3"/>
  </r>
  <r>
    <n v="724"/>
    <m/>
    <m/>
    <d v="2015-04-26T01:25:45"/>
    <d v="2015-04-30T08:13:50"/>
    <n v="3"/>
    <n v="5"/>
    <n v="12"/>
    <n v="8"/>
    <n v="1"/>
    <n v="11"/>
    <n v="79.2"/>
    <x v="7"/>
    <x v="691"/>
    <n v="30"/>
    <x v="1"/>
    <x v="15"/>
  </r>
  <r>
    <n v="725"/>
    <s v="California"/>
    <s v="93712"/>
    <d v="2015-01-03T03:08:37"/>
    <d v="2015-01-03T03:08:43"/>
    <n v="1"/>
    <n v="6"/>
    <n v="4"/>
    <n v="3"/>
    <n v="1"/>
    <n v="4"/>
    <n v="28.8"/>
    <x v="1"/>
    <x v="692"/>
    <n v="3"/>
    <x v="0"/>
    <x v="19"/>
  </r>
  <r>
    <n v="726"/>
    <s v="California"/>
    <s v="94556"/>
    <d v="2015-08-08T21:42:01"/>
    <d v="2015-08-08T17:42:06"/>
    <n v="1"/>
    <n v="2"/>
    <n v="4"/>
    <n v="2"/>
    <n v="1"/>
    <n v="1"/>
    <n v="37.4"/>
    <x v="0"/>
    <x v="693"/>
    <n v="8"/>
    <x v="0"/>
    <x v="8"/>
  </r>
  <r>
    <n v="727"/>
    <s v="South Carolina"/>
    <s v="29649"/>
    <d v="2015-03-22T21:06:04"/>
    <d v="2015-03-22T21:06:12"/>
    <n v="1"/>
    <n v="2"/>
    <n v="8"/>
    <n v="1"/>
    <n v="1"/>
    <n v="4"/>
    <n v="36"/>
    <x v="8"/>
    <x v="694"/>
    <n v="22"/>
    <x v="2"/>
    <x v="2"/>
  </r>
  <r>
    <n v="728"/>
    <s v="Pennsylvania"/>
    <s v="15068"/>
    <d v="2015-01-19T09:59:37"/>
    <d v="2015-01-19T09:59:41"/>
    <n v="1"/>
    <n v="2"/>
    <n v="4"/>
    <n v="6"/>
    <n v="1"/>
    <n v="2"/>
    <n v="9"/>
    <x v="1"/>
    <x v="695"/>
    <n v="19"/>
    <x v="3"/>
    <x v="15"/>
  </r>
  <r>
    <n v="729"/>
    <s v="California"/>
    <s v="90022"/>
    <d v="2015-07-25T02:53:11"/>
    <d v="2015-07-25T02:53:14"/>
    <n v="1"/>
    <n v="5"/>
    <n v="3"/>
    <n v="3"/>
    <n v="1"/>
    <n v="1"/>
    <n v="11"/>
    <x v="2"/>
    <x v="696"/>
    <n v="25"/>
    <x v="0"/>
    <x v="21"/>
  </r>
  <r>
    <n v="730"/>
    <s v="Ohio"/>
    <s v="45249"/>
    <d v="2015-05-13T14:19:59"/>
    <d v="2015-05-13T14:20:03"/>
    <n v="1"/>
    <n v="2"/>
    <n v="6"/>
    <n v="2"/>
    <n v="1"/>
    <n v="3"/>
    <n v="18"/>
    <x v="4"/>
    <x v="697"/>
    <n v="13"/>
    <x v="6"/>
    <x v="9"/>
  </r>
  <r>
    <n v="731"/>
    <s v="Michigan"/>
    <s v="49321"/>
    <d v="2015-06-16T18:14:59"/>
    <d v="2015-06-16T14:15:12"/>
    <n v="1"/>
    <n v="0"/>
    <n v="10"/>
    <n v="7"/>
    <n v="1"/>
    <n v="5"/>
    <n v="36"/>
    <x v="6"/>
    <x v="698"/>
    <n v="16"/>
    <x v="5"/>
    <x v="9"/>
  </r>
  <r>
    <n v="732"/>
    <s v="California"/>
    <s v="94306"/>
    <d v="2015-07-06T00:54:25"/>
    <d v="2015-07-06T00:54:30"/>
    <n v="1"/>
    <n v="10"/>
    <n v="14"/>
    <n v="3"/>
    <n v="1"/>
    <n v="7"/>
    <n v="74.400000000000006"/>
    <x v="2"/>
    <x v="699"/>
    <n v="6"/>
    <x v="3"/>
    <x v="14"/>
  </r>
  <r>
    <n v="733"/>
    <s v="California"/>
    <s v="92124"/>
    <d v="2015-03-28T12:55:22"/>
    <d v="2015-03-28T12:55:25"/>
    <n v="1"/>
    <n v="0"/>
    <n v="2"/>
    <n v="3"/>
    <n v="1"/>
    <n v="1"/>
    <n v="9"/>
    <x v="8"/>
    <x v="700"/>
    <n v="28"/>
    <x v="0"/>
    <x v="7"/>
  </r>
  <r>
    <n v="734"/>
    <s v="Washington"/>
    <s v="98029"/>
    <d v="2015-03-04T00:09:52"/>
    <d v="2015-03-04T00:09:56"/>
    <n v="1"/>
    <n v="2"/>
    <n v="6"/>
    <n v="1"/>
    <n v="1"/>
    <n v="2"/>
    <n v="72"/>
    <x v="8"/>
    <x v="701"/>
    <n v="4"/>
    <x v="6"/>
    <x v="14"/>
  </r>
  <r>
    <n v="735"/>
    <s v="Texas"/>
    <s v="76903"/>
    <d v="2015-06-05T14:44:28"/>
    <d v="2015-06-05T10:44:30"/>
    <n v="1"/>
    <n v="0"/>
    <n v="2"/>
    <n v="1"/>
    <n v="1"/>
    <n v="1"/>
    <n v="28.8"/>
    <x v="6"/>
    <x v="702"/>
    <n v="5"/>
    <x v="4"/>
    <x v="13"/>
  </r>
  <r>
    <n v="736"/>
    <s v="Texas"/>
    <s v="77450"/>
    <d v="2015-09-12T15:51:28"/>
    <d v="2015-09-12T11:51:33"/>
    <n v="1"/>
    <n v="2"/>
    <n v="4"/>
    <n v="2"/>
    <n v="1"/>
    <n v="2"/>
    <n v="38.72"/>
    <x v="5"/>
    <x v="703"/>
    <n v="12"/>
    <x v="0"/>
    <x v="3"/>
  </r>
  <r>
    <n v="737"/>
    <s v="California"/>
    <s v="90027"/>
    <d v="2015-05-09T00:01:41"/>
    <d v="2015-05-09T00:01:45"/>
    <n v="1"/>
    <n v="0"/>
    <n v="4"/>
    <n v="2"/>
    <n v="1"/>
    <n v="2"/>
    <n v="57.6"/>
    <x v="4"/>
    <x v="704"/>
    <n v="9"/>
    <x v="0"/>
    <x v="14"/>
  </r>
  <r>
    <n v="738"/>
    <s v="California"/>
    <s v="94541"/>
    <d v="2015-07-22T16:09:02"/>
    <d v="2015-07-22T16:09:06"/>
    <n v="1"/>
    <n v="0"/>
    <n v="2"/>
    <n v="3"/>
    <n v="1"/>
    <n v="2"/>
    <n v="19.2"/>
    <x v="2"/>
    <x v="705"/>
    <n v="22"/>
    <x v="6"/>
    <x v="4"/>
  </r>
  <r>
    <n v="740"/>
    <s v="New York"/>
    <s v="10022"/>
    <d v="2015-08-18T19:06:45"/>
    <d v="2015-08-18T15:06:49"/>
    <n v="1"/>
    <n v="0"/>
    <n v="8"/>
    <n v="2"/>
    <n v="1"/>
    <n v="4"/>
    <n v="44"/>
    <x v="0"/>
    <x v="706"/>
    <n v="18"/>
    <x v="5"/>
    <x v="10"/>
  </r>
  <r>
    <n v="741"/>
    <s v="Massachusetts"/>
    <s v="02476"/>
    <d v="2015-07-16T14:04:20"/>
    <d v="2015-07-16T14:04:24"/>
    <n v="1"/>
    <n v="0"/>
    <n v="2"/>
    <n v="2"/>
    <n v="1"/>
    <n v="1"/>
    <n v="29.92"/>
    <x v="2"/>
    <x v="707"/>
    <n v="16"/>
    <x v="1"/>
    <x v="9"/>
  </r>
  <r>
    <n v="742"/>
    <s v="Pennsylvania"/>
    <s v="18914"/>
    <d v="2015-06-09T15:29:52"/>
    <d v="2015-06-09T15:30:04"/>
    <n v="1"/>
    <n v="4"/>
    <n v="8"/>
    <n v="9"/>
    <n v="1"/>
    <n v="4"/>
    <n v="24.75"/>
    <x v="6"/>
    <x v="708"/>
    <n v="9"/>
    <x v="5"/>
    <x v="10"/>
  </r>
  <r>
    <n v="743"/>
    <s v="Tennessee"/>
    <s v="37877"/>
    <d v="2015-01-05T20:03:13"/>
    <d v="2015-02-10T16:12:51"/>
    <n v="3"/>
    <n v="2"/>
    <n v="14"/>
    <n v="7"/>
    <n v="2"/>
    <n v="6"/>
    <n v="28.8"/>
    <x v="1"/>
    <x v="709"/>
    <n v="5"/>
    <x v="3"/>
    <x v="5"/>
  </r>
  <r>
    <n v="744"/>
    <s v="Hawaii"/>
    <s v="96789"/>
    <d v="2015-06-17T17:29:05"/>
    <d v="2015-06-17T13:29:06"/>
    <n v="1"/>
    <n v="0"/>
    <n v="1"/>
    <n v="1"/>
    <n v="1"/>
    <n v="1"/>
    <n v="38.4"/>
    <x v="6"/>
    <x v="710"/>
    <n v="17"/>
    <x v="6"/>
    <x v="17"/>
  </r>
  <r>
    <n v="745"/>
    <m/>
    <m/>
    <d v="2014-11-28T23:27:10"/>
    <d v="2015-01-16T18:55:03"/>
    <n v="3"/>
    <n v="1"/>
    <n v="18"/>
    <n v="5"/>
    <n v="1"/>
    <n v="6"/>
    <n v="43.2"/>
    <x v="1"/>
    <x v="711"/>
    <n v="8"/>
    <x v="1"/>
    <x v="1"/>
  </r>
  <r>
    <n v="746"/>
    <s v="Ohio"/>
    <s v="45069"/>
    <d v="2015-06-26T20:42:39"/>
    <d v="2015-06-26T16:42:47"/>
    <n v="1"/>
    <n v="14"/>
    <n v="6"/>
    <n v="3"/>
    <n v="1"/>
    <n v="3"/>
    <n v="138"/>
    <x v="6"/>
    <x v="712"/>
    <n v="26"/>
    <x v="4"/>
    <x v="4"/>
  </r>
  <r>
    <n v="747"/>
    <m/>
    <m/>
    <d v="2015-07-13T15:34:47"/>
    <d v="2015-07-13T11:34:48"/>
    <n v="1"/>
    <n v="2"/>
    <n v="2"/>
    <n v="4"/>
    <n v="1"/>
    <n v="4"/>
    <n v="28.8"/>
    <x v="2"/>
    <x v="713"/>
    <n v="13"/>
    <x v="3"/>
    <x v="3"/>
  </r>
  <r>
    <n v="748"/>
    <s v="Indiana"/>
    <s v="46755"/>
    <d v="2015-02-24T21:45:21"/>
    <d v="2015-02-24T21:45:26"/>
    <n v="1"/>
    <n v="0"/>
    <n v="8"/>
    <n v="1"/>
    <n v="1"/>
    <n v="4"/>
    <n v="28.8"/>
    <x v="3"/>
    <x v="714"/>
    <n v="24"/>
    <x v="5"/>
    <x v="2"/>
  </r>
  <r>
    <n v="749"/>
    <s v="Rhode Island"/>
    <s v="02889"/>
    <d v="2015-08-28T19:29:09"/>
    <d v="2015-08-28T19:29:11"/>
    <n v="1"/>
    <n v="4"/>
    <n v="4"/>
    <n v="6"/>
    <n v="1"/>
    <n v="1"/>
    <n v="52.8"/>
    <x v="0"/>
    <x v="715"/>
    <n v="28"/>
    <x v="4"/>
    <x v="12"/>
  </r>
  <r>
    <n v="750"/>
    <m/>
    <m/>
    <d v="2015-03-03T19:15:28"/>
    <d v="2015-03-03T19:15:33"/>
    <n v="1"/>
    <n v="0"/>
    <n v="2"/>
    <n v="1"/>
    <n v="1"/>
    <n v="3"/>
    <n v="27"/>
    <x v="8"/>
    <x v="716"/>
    <n v="3"/>
    <x v="5"/>
    <x v="12"/>
  </r>
  <r>
    <n v="751"/>
    <s v="New York"/>
    <s v="13066"/>
    <d v="2015-08-31T16:21:38"/>
    <d v="2015-08-31T12:21:43"/>
    <n v="1"/>
    <n v="4"/>
    <n v="4"/>
    <n v="2"/>
    <n v="1"/>
    <n v="2"/>
    <n v="56.1"/>
    <x v="0"/>
    <x v="717"/>
    <n v="31"/>
    <x v="3"/>
    <x v="7"/>
  </r>
  <r>
    <n v="752"/>
    <s v="Pennsylvania"/>
    <s v="19061"/>
    <d v="2015-08-08T23:25:51"/>
    <d v="2015-08-10T20:34:16"/>
    <n v="7"/>
    <n v="5"/>
    <n v="5"/>
    <n v="7"/>
    <n v="1"/>
    <n v="2"/>
    <n v="17.600000000000001"/>
    <x v="0"/>
    <x v="718"/>
    <n v="8"/>
    <x v="0"/>
    <x v="0"/>
  </r>
  <r>
    <n v="753"/>
    <s v="Illinois"/>
    <s v="60073"/>
    <d v="2015-08-01T04:25:14"/>
    <d v="2015-08-01T00:25:20"/>
    <n v="1"/>
    <n v="6"/>
    <n v="6"/>
    <n v="2"/>
    <n v="1"/>
    <n v="4"/>
    <n v="35.200000000000003"/>
    <x v="0"/>
    <x v="719"/>
    <n v="1"/>
    <x v="0"/>
    <x v="14"/>
  </r>
  <r>
    <n v="754"/>
    <s v="Indiana"/>
    <s v="47459"/>
    <d v="2015-03-05T16:54:48"/>
    <d v="2015-03-05T16:54:54"/>
    <n v="1"/>
    <n v="0"/>
    <n v="10"/>
    <n v="1"/>
    <n v="1"/>
    <n v="5"/>
    <n v="36"/>
    <x v="8"/>
    <x v="720"/>
    <n v="5"/>
    <x v="1"/>
    <x v="4"/>
  </r>
  <r>
    <n v="755"/>
    <s v="Illinois"/>
    <s v="60013"/>
    <d v="2015-02-24T23:11:18"/>
    <d v="2015-03-16T20:57:43"/>
    <n v="5"/>
    <n v="4"/>
    <n v="6"/>
    <n v="4"/>
    <n v="1"/>
    <n v="3"/>
    <n v="21.6"/>
    <x v="3"/>
    <x v="721"/>
    <n v="24"/>
    <x v="5"/>
    <x v="0"/>
  </r>
  <r>
    <n v="756"/>
    <s v="California"/>
    <s v="94025"/>
    <d v="2015-06-14T23:38:10"/>
    <d v="2015-06-14T23:38:14"/>
    <n v="1"/>
    <n v="0"/>
    <n v="8"/>
    <n v="2"/>
    <n v="1"/>
    <n v="4"/>
    <n v="28.8"/>
    <x v="6"/>
    <x v="722"/>
    <n v="14"/>
    <x v="2"/>
    <x v="0"/>
  </r>
  <r>
    <n v="757"/>
    <s v="Virginia"/>
    <s v="22204"/>
    <d v="2015-02-09T21:08:06"/>
    <d v="2015-02-10T06:20:06"/>
    <n v="3"/>
    <n v="0"/>
    <n v="8"/>
    <n v="3"/>
    <n v="1"/>
    <n v="3"/>
    <n v="18"/>
    <x v="3"/>
    <x v="723"/>
    <n v="9"/>
    <x v="3"/>
    <x v="2"/>
  </r>
  <r>
    <n v="758"/>
    <m/>
    <s v="9030"/>
    <d v="2013-09-20T19:29:40"/>
    <d v="2015-03-25T03:43:45"/>
    <n v="1"/>
    <n v="3"/>
    <n v="8"/>
    <n v="1"/>
    <n v="1"/>
    <n v="4"/>
    <n v="36"/>
    <x v="8"/>
    <x v="724"/>
    <n v="25"/>
    <x v="6"/>
    <x v="19"/>
  </r>
  <r>
    <n v="759"/>
    <m/>
    <m/>
    <d v="2015-05-20T12:10:55"/>
    <d v="2015-05-20T12:10:59"/>
    <n v="1"/>
    <n v="2"/>
    <n v="4"/>
    <n v="2"/>
    <n v="1"/>
    <n v="2"/>
    <n v="18"/>
    <x v="4"/>
    <x v="725"/>
    <n v="20"/>
    <x v="6"/>
    <x v="7"/>
  </r>
  <r>
    <n v="761"/>
    <s v="Massachusetts"/>
    <s v="01844"/>
    <d v="2015-04-23T23:16:58"/>
    <d v="2015-04-23T23:17:04"/>
    <n v="1"/>
    <n v="2"/>
    <n v="2"/>
    <n v="1"/>
    <n v="1"/>
    <n v="1"/>
    <n v="36"/>
    <x v="7"/>
    <x v="726"/>
    <n v="23"/>
    <x v="1"/>
    <x v="0"/>
  </r>
  <r>
    <n v="762"/>
    <s v="Massachusetts"/>
    <s v="02468"/>
    <d v="2015-01-15T15:23:07"/>
    <d v="2015-02-09T14:10:05"/>
    <n v="2"/>
    <n v="0"/>
    <n v="4"/>
    <n v="4"/>
    <n v="2"/>
    <n v="15"/>
    <n v="27"/>
    <x v="1"/>
    <x v="727"/>
    <n v="15"/>
    <x v="1"/>
    <x v="10"/>
  </r>
  <r>
    <n v="763"/>
    <s v="Ohio"/>
    <s v="44094"/>
    <d v="2015-09-05T23:09:35"/>
    <d v="2015-09-05T23:09:39"/>
    <n v="1"/>
    <n v="2"/>
    <n v="2"/>
    <n v="2"/>
    <n v="1"/>
    <n v="1"/>
    <n v="56.32"/>
    <x v="5"/>
    <x v="728"/>
    <n v="5"/>
    <x v="0"/>
    <x v="0"/>
  </r>
  <r>
    <n v="765"/>
    <s v="North Carolina"/>
    <s v="28092"/>
    <d v="2015-09-11T00:03:10"/>
    <d v="2015-09-11T00:03:12"/>
    <n v="1"/>
    <n v="6"/>
    <n v="5"/>
    <n v="4"/>
    <n v="1"/>
    <n v="3"/>
    <n v="47.52"/>
    <x v="5"/>
    <x v="729"/>
    <n v="11"/>
    <x v="4"/>
    <x v="14"/>
  </r>
  <r>
    <n v="766"/>
    <s v="Tennessee"/>
    <s v="38018"/>
    <d v="2015-04-05T07:45:32"/>
    <d v="2015-04-05T07:45:39"/>
    <n v="1"/>
    <n v="0"/>
    <n v="4"/>
    <n v="1"/>
    <n v="1"/>
    <n v="4"/>
    <n v="28.8"/>
    <x v="7"/>
    <x v="730"/>
    <n v="5"/>
    <x v="2"/>
    <x v="16"/>
  </r>
  <r>
    <n v="767"/>
    <s v="West Virginia"/>
    <s v="25413"/>
    <d v="2015-06-11T15:10:18"/>
    <d v="2015-06-11T11:10:23"/>
    <n v="1"/>
    <n v="4"/>
    <n v="4"/>
    <n v="2"/>
    <n v="1"/>
    <n v="2"/>
    <n v="57.6"/>
    <x v="6"/>
    <x v="731"/>
    <n v="11"/>
    <x v="1"/>
    <x v="3"/>
  </r>
  <r>
    <n v="768"/>
    <s v="Georgia"/>
    <s v="30045"/>
    <d v="2015-01-03T17:18:53"/>
    <d v="2015-01-04T13:07:06"/>
    <n v="3"/>
    <n v="0"/>
    <n v="12"/>
    <n v="2"/>
    <n v="1"/>
    <n v="4"/>
    <n v="36"/>
    <x v="1"/>
    <x v="732"/>
    <n v="3"/>
    <x v="0"/>
    <x v="8"/>
  </r>
  <r>
    <n v="769"/>
    <s v="Florida"/>
    <s v="34608"/>
    <d v="2015-03-07T23:11:35"/>
    <d v="2015-03-07T23:11:39"/>
    <n v="1"/>
    <n v="0"/>
    <n v="8"/>
    <n v="3"/>
    <n v="1"/>
    <n v="2"/>
    <n v="18"/>
    <x v="8"/>
    <x v="733"/>
    <n v="7"/>
    <x v="0"/>
    <x v="0"/>
  </r>
  <r>
    <n v="771"/>
    <s v="Illinois"/>
    <s v="60618"/>
    <d v="2015-01-12T12:40:54"/>
    <d v="2015-02-10T12:25:02"/>
    <n v="6"/>
    <n v="0"/>
    <n v="11"/>
    <n v="8"/>
    <n v="2"/>
    <n v="8"/>
    <n v="9"/>
    <x v="1"/>
    <x v="734"/>
    <n v="12"/>
    <x v="3"/>
    <x v="7"/>
  </r>
  <r>
    <n v="772"/>
    <s v="Florida"/>
    <s v="33432"/>
    <d v="2015-03-13T20:00:20"/>
    <d v="2015-03-13T20:00:27"/>
    <n v="1"/>
    <n v="0"/>
    <n v="8"/>
    <n v="1"/>
    <n v="1"/>
    <n v="4"/>
    <n v="28.8"/>
    <x v="8"/>
    <x v="735"/>
    <n v="13"/>
    <x v="4"/>
    <x v="5"/>
  </r>
  <r>
    <n v="773"/>
    <m/>
    <m/>
    <d v="2015-02-06T21:59:27"/>
    <d v="2015-02-06T21:59:32"/>
    <n v="1"/>
    <n v="0"/>
    <n v="4"/>
    <n v="2"/>
    <n v="1"/>
    <n v="2"/>
    <n v="52.7"/>
    <x v="3"/>
    <x v="736"/>
    <n v="6"/>
    <x v="4"/>
    <x v="2"/>
  </r>
  <r>
    <n v="774"/>
    <s v="California"/>
    <s v="92648"/>
    <d v="2015-07-13T19:23:55"/>
    <d v="2015-07-13T17:43:39"/>
    <n v="3"/>
    <n v="4"/>
    <n v="4"/>
    <n v="2"/>
    <n v="1"/>
    <n v="2"/>
    <n v="72"/>
    <x v="2"/>
    <x v="737"/>
    <n v="13"/>
    <x v="3"/>
    <x v="10"/>
  </r>
  <r>
    <n v="775"/>
    <s v="Connecticut"/>
    <s v="06437"/>
    <d v="2015-09-25T00:37:14"/>
    <d v="2015-09-24T20:37:18"/>
    <n v="1"/>
    <n v="2"/>
    <n v="2"/>
    <n v="2"/>
    <n v="1"/>
    <n v="1"/>
    <n v="29.92"/>
    <x v="5"/>
    <x v="738"/>
    <n v="24"/>
    <x v="1"/>
    <x v="5"/>
  </r>
  <r>
    <n v="777"/>
    <s v="California"/>
    <s v="94110"/>
    <d v="2015-06-01T15:09:41"/>
    <d v="2015-06-01T15:09:46"/>
    <n v="1"/>
    <n v="18"/>
    <n v="10"/>
    <n v="7"/>
    <n v="1"/>
    <n v="6"/>
    <n v="60.75"/>
    <x v="6"/>
    <x v="739"/>
    <n v="1"/>
    <x v="3"/>
    <x v="10"/>
  </r>
  <r>
    <n v="778"/>
    <s v="California"/>
    <s v="94501"/>
    <d v="2015-03-18T21:24:56"/>
    <d v="2015-03-18T21:25:00"/>
    <n v="1"/>
    <n v="2"/>
    <n v="4"/>
    <n v="1"/>
    <n v="1"/>
    <n v="4"/>
    <n v="28.8"/>
    <x v="8"/>
    <x v="740"/>
    <n v="18"/>
    <x v="6"/>
    <x v="2"/>
  </r>
  <r>
    <n v="779"/>
    <s v="California"/>
    <s v="95835"/>
    <d v="2015-03-24T19:42:27"/>
    <d v="2015-03-24T19:42:30"/>
    <n v="1"/>
    <n v="0"/>
    <n v="2"/>
    <n v="2"/>
    <n v="1"/>
    <n v="1"/>
    <n v="72"/>
    <x v="8"/>
    <x v="741"/>
    <n v="24"/>
    <x v="5"/>
    <x v="12"/>
  </r>
  <r>
    <n v="780"/>
    <s v="Missouri"/>
    <s v="63025"/>
    <d v="2015-02-20T11:55:20"/>
    <d v="2015-02-20T11:55:24"/>
    <n v="1"/>
    <n v="0"/>
    <n v="2"/>
    <n v="1"/>
    <n v="1"/>
    <n v="4"/>
    <n v="28.8"/>
    <x v="3"/>
    <x v="742"/>
    <n v="20"/>
    <x v="4"/>
    <x v="3"/>
  </r>
  <r>
    <n v="781"/>
    <s v="Texas"/>
    <s v="76633"/>
    <d v="2015-02-06T23:39:35"/>
    <d v="2015-02-07T13:37:29"/>
    <n v="2"/>
    <n v="1"/>
    <n v="2"/>
    <n v="2"/>
    <n v="1"/>
    <n v="1"/>
    <n v="30.6"/>
    <x v="3"/>
    <x v="743"/>
    <n v="6"/>
    <x v="4"/>
    <x v="0"/>
  </r>
  <r>
    <n v="782"/>
    <m/>
    <m/>
    <d v="2015-06-08T22:31:07"/>
    <d v="2015-06-08T18:31:09"/>
    <n v="1"/>
    <n v="4"/>
    <n v="4"/>
    <n v="2"/>
    <n v="1"/>
    <n v="2"/>
    <n v="38.4"/>
    <x v="6"/>
    <x v="744"/>
    <n v="8"/>
    <x v="3"/>
    <x v="6"/>
  </r>
  <r>
    <n v="783"/>
    <s v="District of Columbia"/>
    <s v="20036"/>
    <d v="2015-01-10T15:48:39"/>
    <d v="2015-03-06T21:58:55"/>
    <n v="2"/>
    <n v="5"/>
    <n v="3"/>
    <n v="6"/>
    <n v="2"/>
    <n v="2"/>
    <n v="72"/>
    <x v="1"/>
    <x v="745"/>
    <n v="10"/>
    <x v="0"/>
    <x v="10"/>
  </r>
  <r>
    <n v="784"/>
    <m/>
    <m/>
    <d v="2015-06-03T18:01:06"/>
    <d v="2015-06-03T14:01:15"/>
    <n v="1"/>
    <n v="2"/>
    <n v="10"/>
    <n v="7"/>
    <n v="1"/>
    <n v="3"/>
    <n v="81.599999999999994"/>
    <x v="6"/>
    <x v="746"/>
    <n v="3"/>
    <x v="6"/>
    <x v="9"/>
  </r>
  <r>
    <n v="785"/>
    <s v="Colorado"/>
    <s v="80917"/>
    <d v="2015-02-17T15:31:13"/>
    <d v="2015-02-17T15:31:18"/>
    <n v="1"/>
    <n v="0"/>
    <n v="4"/>
    <n v="1"/>
    <n v="1"/>
    <n v="2"/>
    <n v="9"/>
    <x v="3"/>
    <x v="747"/>
    <n v="17"/>
    <x v="5"/>
    <x v="10"/>
  </r>
  <r>
    <n v="786"/>
    <s v="Texas"/>
    <s v="78665"/>
    <d v="2015-07-29T19:44:10"/>
    <d v="2015-07-29T19:44:14"/>
    <n v="1"/>
    <n v="4"/>
    <n v="10"/>
    <n v="5"/>
    <n v="1"/>
    <n v="5"/>
    <n v="187"/>
    <x v="2"/>
    <x v="748"/>
    <n v="29"/>
    <x v="6"/>
    <x v="12"/>
  </r>
  <r>
    <n v="787"/>
    <m/>
    <m/>
    <d v="2015-02-04T12:11:31"/>
    <d v="2015-02-04T17:32:11"/>
    <n v="2"/>
    <n v="0"/>
    <n v="9"/>
    <n v="17"/>
    <n v="1"/>
    <n v="4"/>
    <n v="30.6"/>
    <x v="3"/>
    <x v="749"/>
    <n v="4"/>
    <x v="6"/>
    <x v="8"/>
  </r>
  <r>
    <n v="788"/>
    <s v="Illinois"/>
    <s v="60559"/>
    <d v="2015-03-02T22:58:26"/>
    <d v="2015-03-02T22:58:28"/>
    <n v="1"/>
    <n v="1"/>
    <n v="2"/>
    <n v="1"/>
    <n v="1"/>
    <n v="2"/>
    <n v="36"/>
    <x v="8"/>
    <x v="750"/>
    <n v="2"/>
    <x v="3"/>
    <x v="0"/>
  </r>
  <r>
    <n v="789"/>
    <s v="Arkansas"/>
    <s v="72205"/>
    <d v="2015-06-27T19:49:51"/>
    <d v="2015-06-27T19:49:58"/>
    <n v="1"/>
    <n v="10"/>
    <n v="4"/>
    <n v="2"/>
    <n v="1"/>
    <n v="2"/>
    <n v="38.4"/>
    <x v="6"/>
    <x v="751"/>
    <n v="27"/>
    <x v="0"/>
    <x v="12"/>
  </r>
  <r>
    <n v="791"/>
    <s v="California"/>
    <s v="95926"/>
    <d v="2015-03-02T21:38:17"/>
    <d v="2015-03-02T21:38:24"/>
    <n v="1"/>
    <n v="0"/>
    <n v="12"/>
    <n v="1"/>
    <n v="1"/>
    <n v="15"/>
    <n v="108"/>
    <x v="8"/>
    <x v="752"/>
    <n v="2"/>
    <x v="3"/>
    <x v="2"/>
  </r>
  <r>
    <n v="792"/>
    <m/>
    <m/>
    <d v="2015-05-17T18:05:37"/>
    <d v="2015-05-17T14:05:39"/>
    <n v="1"/>
    <n v="3"/>
    <n v="5"/>
    <n v="3"/>
    <n v="1"/>
    <n v="2"/>
    <n v="18"/>
    <x v="4"/>
    <x v="753"/>
    <n v="17"/>
    <x v="2"/>
    <x v="9"/>
  </r>
  <r>
    <n v="793"/>
    <s v="Virginia"/>
    <s v="23669"/>
    <d v="2014-09-27T22:02:24"/>
    <d v="2015-03-08T00:22:57"/>
    <n v="6"/>
    <n v="7"/>
    <n v="3"/>
    <n v="8"/>
    <n v="2"/>
    <n v="2"/>
    <n v="36"/>
    <x v="3"/>
    <x v="754"/>
    <n v="9"/>
    <x v="3"/>
    <x v="3"/>
  </r>
  <r>
    <n v="794"/>
    <s v="Tennessee"/>
    <s v="37067"/>
    <d v="2015-07-02T13:39:49"/>
    <d v="2015-07-02T09:39:53"/>
    <n v="1"/>
    <n v="0"/>
    <n v="2"/>
    <n v="2"/>
    <n v="1"/>
    <n v="1"/>
    <n v="38.4"/>
    <x v="2"/>
    <x v="755"/>
    <n v="2"/>
    <x v="1"/>
    <x v="15"/>
  </r>
  <r>
    <n v="795"/>
    <s v="Illinois"/>
    <s v="60014"/>
    <d v="2015-05-21T21:08:05"/>
    <d v="2015-05-21T21:08:08"/>
    <n v="1"/>
    <n v="0"/>
    <n v="4"/>
    <n v="5"/>
    <n v="1"/>
    <n v="1"/>
    <n v="28.8"/>
    <x v="4"/>
    <x v="756"/>
    <n v="21"/>
    <x v="1"/>
    <x v="2"/>
  </r>
  <r>
    <n v="796"/>
    <s v="Arizona"/>
    <s v="85248"/>
    <d v="2015-03-11T22:51:56"/>
    <d v="2015-03-11T22:52:03"/>
    <n v="1"/>
    <n v="0"/>
    <n v="10"/>
    <n v="1"/>
    <n v="1"/>
    <n v="5"/>
    <n v="36"/>
    <x v="8"/>
    <x v="757"/>
    <n v="11"/>
    <x v="6"/>
    <x v="1"/>
  </r>
  <r>
    <n v="797"/>
    <s v="Nevada"/>
    <s v="89130"/>
    <d v="2015-01-23T12:26:44"/>
    <d v="2015-01-23T12:26:52"/>
    <n v="1"/>
    <n v="0"/>
    <n v="2"/>
    <n v="2"/>
    <n v="1"/>
    <n v="1"/>
    <n v="115.2"/>
    <x v="1"/>
    <x v="758"/>
    <n v="23"/>
    <x v="4"/>
    <x v="7"/>
  </r>
  <r>
    <n v="798"/>
    <s v="Pennsylvania"/>
    <s v="18974"/>
    <d v="2015-07-15T14:16:49"/>
    <d v="2015-07-15T14:16:52"/>
    <n v="1"/>
    <n v="2"/>
    <n v="6"/>
    <n v="2"/>
    <n v="1"/>
    <n v="4"/>
    <n v="46"/>
    <x v="2"/>
    <x v="759"/>
    <n v="15"/>
    <x v="6"/>
    <x v="9"/>
  </r>
  <r>
    <n v="799"/>
    <s v="Wisconsin"/>
    <s v="54944"/>
    <d v="2015-09-11T08:21:06"/>
    <d v="2015-09-11T08:21:10"/>
    <n v="1"/>
    <n v="2"/>
    <n v="2"/>
    <n v="2"/>
    <n v="1"/>
    <n v="1"/>
    <n v="28.05"/>
    <x v="5"/>
    <x v="760"/>
    <n v="11"/>
    <x v="4"/>
    <x v="18"/>
  </r>
  <r>
    <n v="800"/>
    <s v="Connecticut"/>
    <s v="06611"/>
    <d v="2015-03-24T20:53:18"/>
    <d v="2015-03-24T20:53:24"/>
    <n v="1"/>
    <n v="0"/>
    <n v="2"/>
    <n v="1"/>
    <n v="1"/>
    <n v="1"/>
    <n v="57.6"/>
    <x v="8"/>
    <x v="761"/>
    <n v="24"/>
    <x v="5"/>
    <x v="5"/>
  </r>
  <r>
    <n v="801"/>
    <s v="Utah"/>
    <s v="84103"/>
    <d v="2015-07-02T09:53:40"/>
    <d v="2015-07-02T09:53:44"/>
    <n v="1"/>
    <n v="0"/>
    <n v="8"/>
    <n v="2"/>
    <n v="1"/>
    <n v="4"/>
    <n v="36"/>
    <x v="2"/>
    <x v="762"/>
    <n v="2"/>
    <x v="1"/>
    <x v="15"/>
  </r>
  <r>
    <n v="802"/>
    <s v="New Hampshire"/>
    <s v="03301"/>
    <d v="2015-03-04T14:47:26"/>
    <d v="2015-03-04T14:47:31"/>
    <n v="1"/>
    <n v="0"/>
    <n v="16"/>
    <n v="1"/>
    <n v="1"/>
    <n v="4"/>
    <n v="28.8"/>
    <x v="8"/>
    <x v="763"/>
    <n v="4"/>
    <x v="6"/>
    <x v="9"/>
  </r>
  <r>
    <n v="803"/>
    <s v="Texas"/>
    <s v="77351"/>
    <d v="2015-01-22T16:01:21"/>
    <d v="2015-01-22T16:01:25"/>
    <n v="1"/>
    <n v="0"/>
    <n v="4"/>
    <n v="3"/>
    <n v="1"/>
    <n v="2"/>
    <n v="9"/>
    <x v="1"/>
    <x v="764"/>
    <n v="22"/>
    <x v="1"/>
    <x v="4"/>
  </r>
  <r>
    <n v="804"/>
    <s v="Georgia"/>
    <s v="30291"/>
    <d v="2015-08-21T17:44:46"/>
    <d v="2015-08-21T13:44:50"/>
    <n v="1"/>
    <n v="4"/>
    <n v="2"/>
    <n v="2"/>
    <n v="1"/>
    <n v="1"/>
    <n v="29.92"/>
    <x v="0"/>
    <x v="765"/>
    <n v="21"/>
    <x v="4"/>
    <x v="17"/>
  </r>
  <r>
    <n v="805"/>
    <s v="Missouri"/>
    <s v="63368"/>
    <d v="2015-02-04T19:23:15"/>
    <d v="2015-02-18T23:14:32"/>
    <n v="5"/>
    <n v="0"/>
    <n v="9"/>
    <n v="6"/>
    <n v="2"/>
    <n v="4"/>
    <n v="9"/>
    <x v="3"/>
    <x v="766"/>
    <n v="4"/>
    <x v="6"/>
    <x v="12"/>
  </r>
  <r>
    <n v="806"/>
    <s v="California"/>
    <s v="94941"/>
    <d v="2015-03-11T00:40:30"/>
    <d v="2015-03-11T00:40:35"/>
    <n v="1"/>
    <n v="2"/>
    <n v="2"/>
    <n v="1"/>
    <n v="1"/>
    <n v="1"/>
    <n v="115.2"/>
    <x v="8"/>
    <x v="767"/>
    <n v="11"/>
    <x v="6"/>
    <x v="14"/>
  </r>
  <r>
    <n v="807"/>
    <s v="Iowa"/>
    <s v="50322"/>
    <d v="2015-01-17T12:24:29"/>
    <d v="2015-01-17T12:24:33"/>
    <n v="1"/>
    <n v="0"/>
    <n v="6"/>
    <n v="2"/>
    <n v="1"/>
    <n v="2"/>
    <n v="9"/>
    <x v="1"/>
    <x v="768"/>
    <n v="17"/>
    <x v="0"/>
    <x v="7"/>
  </r>
  <r>
    <n v="808"/>
    <s v="Illinois"/>
    <s v="60030"/>
    <d v="2015-06-01T18:09:42"/>
    <d v="2015-06-03T14:53:43"/>
    <n v="5"/>
    <n v="0"/>
    <n v="6"/>
    <n v="8"/>
    <n v="1"/>
    <n v="3"/>
    <n v="21.6"/>
    <x v="6"/>
    <x v="769"/>
    <n v="1"/>
    <x v="3"/>
    <x v="9"/>
  </r>
  <r>
    <n v="809"/>
    <s v="Nebraska"/>
    <s v="68059"/>
    <d v="2015-05-25T11:34:44"/>
    <d v="2015-05-25T11:34:48"/>
    <n v="1"/>
    <n v="2"/>
    <n v="2"/>
    <n v="2"/>
    <n v="1"/>
    <n v="1"/>
    <n v="28.8"/>
    <x v="4"/>
    <x v="770"/>
    <n v="25"/>
    <x v="3"/>
    <x v="3"/>
  </r>
  <r>
    <n v="810"/>
    <s v="Michigan"/>
    <s v="48307"/>
    <d v="2015-01-18T16:30:29"/>
    <d v="2015-01-19T08:38:16"/>
    <n v="2"/>
    <n v="0"/>
    <n v="2"/>
    <n v="3"/>
    <n v="1"/>
    <n v="4"/>
    <n v="28.8"/>
    <x v="1"/>
    <x v="771"/>
    <n v="18"/>
    <x v="2"/>
    <x v="4"/>
  </r>
  <r>
    <n v="811"/>
    <s v="Kentucky"/>
    <s v="41018"/>
    <d v="2015-07-08T12:27:45"/>
    <d v="2015-07-08T08:27:49"/>
    <n v="1"/>
    <n v="4"/>
    <n v="4"/>
    <n v="2"/>
    <n v="1"/>
    <n v="2"/>
    <n v="86.4"/>
    <x v="2"/>
    <x v="772"/>
    <n v="8"/>
    <x v="6"/>
    <x v="18"/>
  </r>
  <r>
    <n v="812"/>
    <s v="New York"/>
    <s v="10010"/>
    <d v="2015-07-13T16:01:03"/>
    <d v="2015-07-13T16:01:06"/>
    <n v="1"/>
    <n v="2"/>
    <n v="2"/>
    <n v="2"/>
    <n v="1"/>
    <n v="8"/>
    <n v="72"/>
    <x v="2"/>
    <x v="773"/>
    <n v="13"/>
    <x v="3"/>
    <x v="4"/>
  </r>
  <r>
    <n v="813"/>
    <m/>
    <m/>
    <d v="2015-07-06T17:44:20"/>
    <d v="2015-07-06T13:44:21"/>
    <n v="1"/>
    <n v="2"/>
    <n v="4"/>
    <n v="4"/>
    <n v="1"/>
    <n v="1"/>
    <n v="28.8"/>
    <x v="2"/>
    <x v="774"/>
    <n v="6"/>
    <x v="3"/>
    <x v="17"/>
  </r>
  <r>
    <n v="814"/>
    <s v="Illinois"/>
    <s v="62062"/>
    <d v="2015-01-22T11:53:21"/>
    <d v="2015-01-22T11:53:25"/>
    <n v="1"/>
    <n v="0"/>
    <n v="2"/>
    <n v="2"/>
    <n v="1"/>
    <n v="2"/>
    <n v="9"/>
    <x v="1"/>
    <x v="775"/>
    <n v="22"/>
    <x v="1"/>
    <x v="3"/>
  </r>
  <r>
    <n v="815"/>
    <m/>
    <m/>
    <d v="2015-09-08T19:53:36"/>
    <d v="2015-09-08T19:53:37"/>
    <n v="1"/>
    <n v="2"/>
    <n v="2"/>
    <n v="2"/>
    <n v="1"/>
    <n v="1"/>
    <n v="29.92"/>
    <x v="5"/>
    <x v="776"/>
    <n v="8"/>
    <x v="5"/>
    <x v="12"/>
  </r>
  <r>
    <n v="816"/>
    <s v="Iowa"/>
    <s v="50131"/>
    <d v="2015-07-03T14:22:37"/>
    <d v="2015-07-03T14:22:41"/>
    <n v="1"/>
    <n v="6"/>
    <n v="10"/>
    <n v="2"/>
    <n v="1"/>
    <n v="5"/>
    <n v="36"/>
    <x v="2"/>
    <x v="777"/>
    <n v="3"/>
    <x v="4"/>
    <x v="9"/>
  </r>
  <r>
    <n v="817"/>
    <s v="Texas"/>
    <s v="75019"/>
    <d v="2015-06-25T06:06:48"/>
    <d v="2015-06-25T06:06:52"/>
    <n v="1"/>
    <n v="2"/>
    <n v="2"/>
    <n v="3"/>
    <n v="1"/>
    <n v="4"/>
    <n v="28.8"/>
    <x v="6"/>
    <x v="778"/>
    <n v="25"/>
    <x v="1"/>
    <x v="11"/>
  </r>
  <r>
    <n v="818"/>
    <s v="Washington"/>
    <s v="98550"/>
    <d v="2015-04-08T13:26:01"/>
    <d v="2015-04-08T13:26:03"/>
    <n v="1"/>
    <n v="0"/>
    <n v="2"/>
    <n v="1"/>
    <n v="1"/>
    <n v="1"/>
    <n v="28.8"/>
    <x v="7"/>
    <x v="779"/>
    <n v="8"/>
    <x v="6"/>
    <x v="17"/>
  </r>
  <r>
    <n v="819"/>
    <m/>
    <m/>
    <d v="2015-03-07T16:05:26"/>
    <d v="2015-03-07T16:05:31"/>
    <n v="1"/>
    <n v="2"/>
    <n v="2"/>
    <n v="3"/>
    <n v="1"/>
    <n v="1"/>
    <n v="57.6"/>
    <x v="8"/>
    <x v="780"/>
    <n v="7"/>
    <x v="0"/>
    <x v="4"/>
  </r>
  <r>
    <n v="820"/>
    <s v="New York"/>
    <s v="14534"/>
    <d v="2015-09-15T21:19:41"/>
    <d v="2015-09-15T21:19:44"/>
    <n v="1"/>
    <n v="4"/>
    <n v="2"/>
    <n v="3"/>
    <n v="1"/>
    <n v="1"/>
    <n v="29.92"/>
    <x v="5"/>
    <x v="781"/>
    <n v="15"/>
    <x v="5"/>
    <x v="2"/>
  </r>
  <r>
    <n v="821"/>
    <s v="Connecticut"/>
    <s v="06457"/>
    <d v="2015-01-19T19:04:21"/>
    <d v="2015-01-19T19:04:26"/>
    <n v="1"/>
    <n v="0"/>
    <n v="2"/>
    <n v="2"/>
    <n v="1"/>
    <n v="1"/>
    <n v="57.6"/>
    <x v="1"/>
    <x v="782"/>
    <n v="19"/>
    <x v="3"/>
    <x v="12"/>
  </r>
  <r>
    <n v="822"/>
    <s v="Alabama"/>
    <s v="35079"/>
    <d v="2015-02-13T09:56:16"/>
    <d v="2015-02-13T09:56:20"/>
    <n v="1"/>
    <n v="0"/>
    <n v="4"/>
    <n v="3"/>
    <n v="1"/>
    <n v="2"/>
    <n v="14.4"/>
    <x v="3"/>
    <x v="783"/>
    <n v="13"/>
    <x v="4"/>
    <x v="15"/>
  </r>
  <r>
    <n v="823"/>
    <s v="North Dakota"/>
    <s v="58701"/>
    <d v="2015-01-30T05:39:04"/>
    <d v="2015-02-04T13:40:47"/>
    <n v="6"/>
    <n v="2"/>
    <n v="2"/>
    <n v="2"/>
    <n v="1"/>
    <n v="1"/>
    <n v="57.6"/>
    <x v="1"/>
    <x v="784"/>
    <n v="30"/>
    <x v="4"/>
    <x v="22"/>
  </r>
  <r>
    <n v="824"/>
    <s v="New York"/>
    <s v="10011"/>
    <d v="2015-06-15T12:34:10"/>
    <d v="2015-06-15T17:01:14"/>
    <n v="3"/>
    <n v="2"/>
    <n v="4"/>
    <n v="3"/>
    <n v="1"/>
    <n v="1"/>
    <n v="28.8"/>
    <x v="6"/>
    <x v="785"/>
    <n v="15"/>
    <x v="3"/>
    <x v="7"/>
  </r>
  <r>
    <n v="825"/>
    <s v="New York"/>
    <s v="10021"/>
    <d v="2015-04-21T19:31:36"/>
    <d v="2015-04-22T22:51:05"/>
    <n v="3"/>
    <n v="4"/>
    <n v="12"/>
    <n v="3"/>
    <n v="1"/>
    <n v="4"/>
    <n v="28.8"/>
    <x v="7"/>
    <x v="786"/>
    <n v="21"/>
    <x v="5"/>
    <x v="12"/>
  </r>
  <r>
    <n v="826"/>
    <s v="Virginia"/>
    <s v="20111"/>
    <d v="2015-08-29T10:45:04"/>
    <d v="2015-08-29T10:45:08"/>
    <n v="1"/>
    <n v="12"/>
    <n v="8"/>
    <n v="2"/>
    <n v="1"/>
    <n v="4"/>
    <n v="71.400000000000006"/>
    <x v="0"/>
    <x v="787"/>
    <n v="29"/>
    <x v="0"/>
    <x v="13"/>
  </r>
  <r>
    <n v="827"/>
    <s v="California"/>
    <s v="90211"/>
    <d v="2015-06-06T17:42:57"/>
    <d v="2015-06-06T17:43:01"/>
    <n v="1"/>
    <n v="0"/>
    <n v="2"/>
    <n v="2"/>
    <n v="1"/>
    <n v="1"/>
    <n v="28.8"/>
    <x v="6"/>
    <x v="788"/>
    <n v="6"/>
    <x v="0"/>
    <x v="8"/>
  </r>
  <r>
    <n v="828"/>
    <m/>
    <m/>
    <d v="2015-04-17T20:42:22"/>
    <d v="2015-04-17T20:42:27"/>
    <n v="1"/>
    <n v="2"/>
    <n v="20"/>
    <n v="4"/>
    <n v="1"/>
    <n v="5"/>
    <n v="36"/>
    <x v="7"/>
    <x v="789"/>
    <n v="17"/>
    <x v="4"/>
    <x v="5"/>
  </r>
  <r>
    <n v="829"/>
    <s v="Texas"/>
    <s v="78723"/>
    <d v="2015-08-18T01:25:22"/>
    <d v="2015-08-18T01:25:25"/>
    <n v="1"/>
    <n v="8"/>
    <n v="2"/>
    <n v="2"/>
    <n v="1"/>
    <n v="1"/>
    <n v="29.92"/>
    <x v="0"/>
    <x v="790"/>
    <n v="18"/>
    <x v="5"/>
    <x v="20"/>
  </r>
  <r>
    <n v="830"/>
    <s v="Virginia"/>
    <s v="22308"/>
    <d v="2015-07-25T18:06:32"/>
    <d v="2015-07-26T12:44:01"/>
    <n v="4"/>
    <n v="14"/>
    <n v="6"/>
    <n v="5"/>
    <n v="1"/>
    <n v="3"/>
    <n v="162.80000000000001"/>
    <x v="2"/>
    <x v="791"/>
    <n v="25"/>
    <x v="0"/>
    <x v="6"/>
  </r>
  <r>
    <n v="831"/>
    <s v="Massachusetts"/>
    <s v="02184"/>
    <d v="2015-01-17T20:53:40"/>
    <d v="2015-01-30T08:43:44"/>
    <n v="5"/>
    <n v="0"/>
    <n v="14"/>
    <n v="8"/>
    <n v="1"/>
    <n v="7"/>
    <n v="50.4"/>
    <x v="1"/>
    <x v="792"/>
    <n v="17"/>
    <x v="0"/>
    <x v="5"/>
  </r>
  <r>
    <n v="832"/>
    <s v="Pennsylvania"/>
    <s v="16229"/>
    <d v="2015-09-05T08:57:01"/>
    <d v="2015-09-05T08:57:02"/>
    <n v="1"/>
    <n v="5"/>
    <n v="7"/>
    <n v="5"/>
    <n v="1"/>
    <n v="1"/>
    <n v="29.92"/>
    <x v="5"/>
    <x v="793"/>
    <n v="5"/>
    <x v="0"/>
    <x v="15"/>
  </r>
  <r>
    <n v="833"/>
    <s v="Colorado"/>
    <s v="81621"/>
    <d v="2015-01-18T23:47:31"/>
    <d v="2015-01-18T23:47:36"/>
    <n v="1"/>
    <n v="0"/>
    <n v="8"/>
    <n v="2"/>
    <n v="1"/>
    <n v="4"/>
    <n v="28.8"/>
    <x v="1"/>
    <x v="794"/>
    <n v="18"/>
    <x v="2"/>
    <x v="0"/>
  </r>
  <r>
    <n v="834"/>
    <s v="Ohio"/>
    <s v="44118"/>
    <d v="2015-02-07T07:54:29"/>
    <d v="2015-02-08T08:21:35"/>
    <n v="3"/>
    <n v="2"/>
    <n v="10"/>
    <n v="3"/>
    <n v="1"/>
    <n v="4"/>
    <n v="27.2"/>
    <x v="3"/>
    <x v="795"/>
    <n v="7"/>
    <x v="0"/>
    <x v="16"/>
  </r>
  <r>
    <n v="835"/>
    <s v="Minnesota"/>
    <s v="55317"/>
    <d v="2015-09-05T16:26:58"/>
    <d v="2015-09-05T16:27:09"/>
    <n v="1"/>
    <n v="2"/>
    <n v="2"/>
    <n v="2"/>
    <n v="1"/>
    <n v="1"/>
    <n v="32.64"/>
    <x v="5"/>
    <x v="796"/>
    <n v="5"/>
    <x v="0"/>
    <x v="4"/>
  </r>
  <r>
    <n v="836"/>
    <s v="Ohio"/>
    <s v="44120"/>
    <d v="2015-06-12T12:56:18"/>
    <d v="2015-06-12T12:56:27"/>
    <n v="1"/>
    <n v="0"/>
    <n v="10"/>
    <n v="3"/>
    <n v="1"/>
    <n v="4"/>
    <n v="27"/>
    <x v="6"/>
    <x v="797"/>
    <n v="12"/>
    <x v="4"/>
    <x v="7"/>
  </r>
  <r>
    <n v="837"/>
    <s v="Minnesota"/>
    <s v="55106"/>
    <d v="2015-03-07T10:38:12"/>
    <d v="2015-03-07T10:38:16"/>
    <n v="1"/>
    <n v="0"/>
    <n v="6"/>
    <n v="1"/>
    <n v="1"/>
    <n v="2"/>
    <n v="9"/>
    <x v="8"/>
    <x v="798"/>
    <n v="7"/>
    <x v="0"/>
    <x v="13"/>
  </r>
  <r>
    <n v="838"/>
    <m/>
    <m/>
    <d v="2015-03-15T21:27:41"/>
    <d v="2015-05-13T18:32:33"/>
    <n v="2"/>
    <n v="1"/>
    <n v="2"/>
    <n v="2"/>
    <n v="1"/>
    <n v="2"/>
    <n v="18"/>
    <x v="4"/>
    <x v="799"/>
    <n v="13"/>
    <x v="6"/>
    <x v="6"/>
  </r>
  <r>
    <n v="839"/>
    <s v="Florida"/>
    <s v="32955"/>
    <d v="2015-07-15T01:14:53"/>
    <d v="2015-07-14T21:14:54"/>
    <n v="1"/>
    <n v="0"/>
    <n v="4"/>
    <n v="6"/>
    <n v="1"/>
    <n v="2"/>
    <n v="22"/>
    <x v="2"/>
    <x v="800"/>
    <n v="14"/>
    <x v="5"/>
    <x v="2"/>
  </r>
  <r>
    <n v="840"/>
    <s v="North Carolina"/>
    <s v="28540"/>
    <d v="2015-03-18T13:28:24"/>
    <d v="2015-03-18T15:38:51"/>
    <n v="3"/>
    <n v="0"/>
    <n v="4"/>
    <n v="2"/>
    <n v="1"/>
    <n v="4"/>
    <n v="28.8"/>
    <x v="8"/>
    <x v="801"/>
    <n v="18"/>
    <x v="6"/>
    <x v="17"/>
  </r>
  <r>
    <n v="841"/>
    <s v="Massachusetts"/>
    <s v="02766"/>
    <d v="2015-07-01T13:27:02"/>
    <d v="2015-07-01T13:27:05"/>
    <n v="1"/>
    <n v="0"/>
    <n v="2"/>
    <n v="2"/>
    <n v="1"/>
    <n v="1"/>
    <n v="28.8"/>
    <x v="2"/>
    <x v="802"/>
    <n v="1"/>
    <x v="6"/>
    <x v="17"/>
  </r>
  <r>
    <n v="842"/>
    <s v="Colorado"/>
    <s v="81521"/>
    <d v="2015-05-29T13:53:28"/>
    <d v="2015-05-29T13:53:32"/>
    <n v="1"/>
    <n v="0"/>
    <n v="2"/>
    <n v="2"/>
    <n v="1"/>
    <n v="1"/>
    <n v="28.8"/>
    <x v="4"/>
    <x v="803"/>
    <n v="29"/>
    <x v="4"/>
    <x v="17"/>
  </r>
  <r>
    <n v="843"/>
    <m/>
    <m/>
    <d v="2015-04-16T18:53:48"/>
    <d v="2015-04-16T18:53:52"/>
    <n v="1"/>
    <n v="0"/>
    <n v="8"/>
    <n v="3"/>
    <n v="1"/>
    <n v="4"/>
    <n v="28.8"/>
    <x v="7"/>
    <x v="804"/>
    <n v="16"/>
    <x v="1"/>
    <x v="6"/>
  </r>
  <r>
    <n v="844"/>
    <s v="New York"/>
    <s v="11226"/>
    <d v="2015-01-18T01:06:04"/>
    <d v="2015-01-18T01:06:09"/>
    <n v="1"/>
    <n v="0"/>
    <n v="4"/>
    <n v="2"/>
    <n v="1"/>
    <n v="2"/>
    <n v="9"/>
    <x v="1"/>
    <x v="805"/>
    <n v="18"/>
    <x v="2"/>
    <x v="20"/>
  </r>
  <r>
    <n v="845"/>
    <m/>
    <m/>
    <d v="2015-01-19T19:16:05"/>
    <d v="2015-01-19T19:16:10"/>
    <n v="1"/>
    <n v="0"/>
    <n v="6"/>
    <n v="5"/>
    <n v="1"/>
    <n v="2"/>
    <n v="14.4"/>
    <x v="1"/>
    <x v="806"/>
    <n v="19"/>
    <x v="3"/>
    <x v="12"/>
  </r>
  <r>
    <n v="846"/>
    <s v="Washington"/>
    <s v="98444"/>
    <d v="2015-04-01T18:05:51"/>
    <d v="2015-04-01T18:05:55"/>
    <n v="1"/>
    <n v="0"/>
    <n v="7"/>
    <n v="7"/>
    <n v="1"/>
    <n v="4"/>
    <n v="28.8"/>
    <x v="7"/>
    <x v="807"/>
    <n v="1"/>
    <x v="6"/>
    <x v="6"/>
  </r>
  <r>
    <n v="848"/>
    <s v="Wisconsin"/>
    <s v="53114"/>
    <d v="2015-06-03T22:03:06"/>
    <d v="2015-06-03T22:03:09"/>
    <n v="1"/>
    <n v="0"/>
    <n v="2"/>
    <n v="2"/>
    <n v="1"/>
    <n v="4"/>
    <n v="36"/>
    <x v="6"/>
    <x v="808"/>
    <n v="3"/>
    <x v="6"/>
    <x v="1"/>
  </r>
  <r>
    <n v="849"/>
    <s v="Ohio"/>
    <s v="44805"/>
    <d v="2015-06-15T10:16:24"/>
    <d v="2015-06-15T10:16:29"/>
    <n v="1"/>
    <n v="2"/>
    <n v="8"/>
    <n v="2"/>
    <n v="1"/>
    <n v="7"/>
    <n v="72"/>
    <x v="6"/>
    <x v="809"/>
    <n v="15"/>
    <x v="3"/>
    <x v="13"/>
  </r>
  <r>
    <n v="850"/>
    <m/>
    <m/>
    <d v="2015-09-11T12:24:41"/>
    <d v="2015-09-11T12:24:41"/>
    <n v="1"/>
    <n v="3"/>
    <n v="2"/>
    <n v="1"/>
    <n v="1"/>
    <n v="4"/>
    <n v="44"/>
    <x v="5"/>
    <x v="810"/>
    <n v="11"/>
    <x v="4"/>
    <x v="7"/>
  </r>
  <r>
    <n v="851"/>
    <s v="Ohio"/>
    <s v="43206"/>
    <d v="2015-04-06T13:43:58"/>
    <d v="2015-04-06T13:44:04"/>
    <n v="1"/>
    <n v="0"/>
    <n v="14"/>
    <n v="1"/>
    <n v="1"/>
    <n v="4"/>
    <n v="27"/>
    <x v="7"/>
    <x v="811"/>
    <n v="6"/>
    <x v="3"/>
    <x v="17"/>
  </r>
  <r>
    <n v="852"/>
    <s v="California"/>
    <s v="95683"/>
    <d v="2015-07-20T19:11:34"/>
    <d v="2015-07-20T15:11:41"/>
    <n v="1"/>
    <n v="2"/>
    <n v="2"/>
    <n v="2"/>
    <n v="1"/>
    <n v="2"/>
    <n v="22"/>
    <x v="2"/>
    <x v="812"/>
    <n v="20"/>
    <x v="3"/>
    <x v="10"/>
  </r>
  <r>
    <n v="854"/>
    <m/>
    <m/>
    <d v="2015-09-13T18:06:37"/>
    <d v="2015-09-13T18:06:38"/>
    <n v="1"/>
    <n v="10"/>
    <n v="4"/>
    <n v="2"/>
    <n v="1"/>
    <n v="2"/>
    <n v="59.84"/>
    <x v="5"/>
    <x v="813"/>
    <n v="13"/>
    <x v="2"/>
    <x v="6"/>
  </r>
  <r>
    <n v="855"/>
    <s v="Maryland"/>
    <s v="21771"/>
    <d v="2015-07-08T02:27:41"/>
    <d v="2015-07-07T22:27:47"/>
    <n v="1"/>
    <n v="2"/>
    <n v="2"/>
    <n v="2"/>
    <n v="1"/>
    <n v="1"/>
    <n v="54"/>
    <x v="2"/>
    <x v="814"/>
    <n v="7"/>
    <x v="5"/>
    <x v="1"/>
  </r>
  <r>
    <n v="856"/>
    <s v="Wisconsin"/>
    <s v="53095"/>
    <d v="2015-08-24T19:55:00"/>
    <d v="2015-08-24T15:55:05"/>
    <n v="1"/>
    <n v="4"/>
    <n v="8"/>
    <n v="2"/>
    <n v="1"/>
    <n v="4"/>
    <n v="35.200000000000003"/>
    <x v="0"/>
    <x v="815"/>
    <n v="24"/>
    <x v="3"/>
    <x v="10"/>
  </r>
  <r>
    <n v="857"/>
    <s v="New York"/>
    <s v="10509"/>
    <d v="2015-05-09T10:03:09"/>
    <d v="2015-05-09T10:03:13"/>
    <n v="1"/>
    <n v="8"/>
    <n v="8"/>
    <n v="2"/>
    <n v="1"/>
    <n v="4"/>
    <n v="28.8"/>
    <x v="4"/>
    <x v="816"/>
    <n v="9"/>
    <x v="0"/>
    <x v="13"/>
  </r>
  <r>
    <n v="858"/>
    <s v="Texas"/>
    <s v="76227"/>
    <d v="2015-02-28T11:50:43"/>
    <d v="2015-02-28T11:50:48"/>
    <n v="1"/>
    <n v="0"/>
    <n v="2"/>
    <n v="1"/>
    <n v="1"/>
    <n v="1"/>
    <n v="57.6"/>
    <x v="3"/>
    <x v="817"/>
    <n v="28"/>
    <x v="0"/>
    <x v="3"/>
  </r>
  <r>
    <n v="860"/>
    <s v="New York"/>
    <s v="10028"/>
    <d v="2015-01-21T11:41:19"/>
    <d v="2015-01-21T11:41:22"/>
    <n v="1"/>
    <n v="0"/>
    <n v="4"/>
    <n v="2"/>
    <n v="1"/>
    <n v="2"/>
    <n v="18"/>
    <x v="1"/>
    <x v="818"/>
    <n v="21"/>
    <x v="6"/>
    <x v="3"/>
  </r>
  <r>
    <n v="861"/>
    <s v="Utah"/>
    <s v="84098"/>
    <d v="2015-07-19T23:50:22"/>
    <d v="2015-07-19T19:50:28"/>
    <n v="1"/>
    <n v="8"/>
    <n v="8"/>
    <n v="3"/>
    <n v="1"/>
    <n v="2"/>
    <n v="38.72"/>
    <x v="2"/>
    <x v="819"/>
    <n v="19"/>
    <x v="2"/>
    <x v="12"/>
  </r>
  <r>
    <n v="862"/>
    <s v="Virginia"/>
    <s v="22314"/>
    <d v="2015-07-23T11:24:52"/>
    <d v="2015-07-23T11:24:55"/>
    <n v="1"/>
    <n v="4"/>
    <n v="8"/>
    <n v="4"/>
    <n v="1"/>
    <n v="3"/>
    <n v="33"/>
    <x v="2"/>
    <x v="820"/>
    <n v="23"/>
    <x v="1"/>
    <x v="3"/>
  </r>
  <r>
    <n v="863"/>
    <s v="Michigan"/>
    <s v="48144"/>
    <d v="2015-04-24T23:40:43"/>
    <d v="2015-04-24T23:40:48"/>
    <n v="1"/>
    <n v="2"/>
    <n v="8"/>
    <n v="1"/>
    <n v="1"/>
    <n v="3"/>
    <n v="27"/>
    <x v="7"/>
    <x v="821"/>
    <n v="24"/>
    <x v="4"/>
    <x v="0"/>
  </r>
  <r>
    <n v="864"/>
    <s v="Indiana"/>
    <s v="47802"/>
    <d v="2015-04-21T10:02:57"/>
    <d v="2015-04-21T10:03:02"/>
    <n v="1"/>
    <n v="6"/>
    <n v="10"/>
    <n v="1"/>
    <n v="1"/>
    <n v="4"/>
    <n v="27.2"/>
    <x v="7"/>
    <x v="822"/>
    <n v="21"/>
    <x v="5"/>
    <x v="13"/>
  </r>
  <r>
    <n v="865"/>
    <s v="New Jersey"/>
    <s v="08051"/>
    <d v="2015-06-04T01:35:16"/>
    <d v="2015-06-03T21:35:19"/>
    <n v="1"/>
    <n v="8"/>
    <n v="22"/>
    <n v="2"/>
    <n v="1"/>
    <n v="12"/>
    <n v="108"/>
    <x v="6"/>
    <x v="823"/>
    <n v="3"/>
    <x v="6"/>
    <x v="2"/>
  </r>
  <r>
    <n v="866"/>
    <s v="New Jersey"/>
    <s v="08857"/>
    <d v="2015-05-09T11:02:19"/>
    <d v="2015-05-09T11:02:23"/>
    <n v="1"/>
    <n v="0"/>
    <n v="2"/>
    <n v="2"/>
    <n v="1"/>
    <n v="1"/>
    <n v="28.8"/>
    <x v="4"/>
    <x v="824"/>
    <n v="9"/>
    <x v="0"/>
    <x v="3"/>
  </r>
  <r>
    <n v="867"/>
    <s v="Idaho"/>
    <s v="83672"/>
    <d v="2015-09-07T11:27:03"/>
    <d v="2015-09-07T22:28:08"/>
    <n v="2"/>
    <n v="8"/>
    <n v="14"/>
    <n v="7"/>
    <n v="1"/>
    <n v="4"/>
    <n v="119.68"/>
    <x v="5"/>
    <x v="825"/>
    <n v="7"/>
    <x v="3"/>
    <x v="3"/>
  </r>
  <r>
    <n v="868"/>
    <s v="Texas"/>
    <s v="76107"/>
    <d v="2015-09-24T19:39:51"/>
    <d v="2015-09-24T19:39:54"/>
    <n v="1"/>
    <n v="1"/>
    <n v="4"/>
    <n v="4"/>
    <n v="1"/>
    <n v="2"/>
    <n v="22"/>
    <x v="5"/>
    <x v="826"/>
    <n v="24"/>
    <x v="1"/>
    <x v="12"/>
  </r>
  <r>
    <n v="869"/>
    <s v="Pennsylvania"/>
    <s v="17109"/>
    <d v="2015-01-15T14:07:32"/>
    <d v="2015-01-15T17:11:40"/>
    <n v="3"/>
    <n v="2"/>
    <n v="4"/>
    <n v="2"/>
    <n v="1"/>
    <n v="2"/>
    <n v="18"/>
    <x v="1"/>
    <x v="827"/>
    <n v="15"/>
    <x v="1"/>
    <x v="9"/>
  </r>
  <r>
    <n v="870"/>
    <s v="Florida"/>
    <s v="32812"/>
    <d v="2015-09-03T14:23:55"/>
    <d v="2015-09-03T14:23:59"/>
    <n v="1"/>
    <n v="8"/>
    <n v="4"/>
    <n v="2"/>
    <n v="1"/>
    <n v="2"/>
    <n v="51.68"/>
    <x v="5"/>
    <x v="828"/>
    <n v="3"/>
    <x v="1"/>
    <x v="9"/>
  </r>
  <r>
    <n v="871"/>
    <s v="Colorado"/>
    <s v="80525"/>
    <d v="2015-03-17T19:56:06"/>
    <d v="2015-03-17T19:56:11"/>
    <n v="1"/>
    <n v="1"/>
    <n v="8"/>
    <n v="1"/>
    <n v="1"/>
    <n v="4"/>
    <n v="28.8"/>
    <x v="8"/>
    <x v="829"/>
    <n v="17"/>
    <x v="5"/>
    <x v="12"/>
  </r>
  <r>
    <n v="872"/>
    <s v="California"/>
    <s v="94521"/>
    <d v="2015-06-05T16:34:37"/>
    <d v="2015-06-05T16:34:40"/>
    <n v="1"/>
    <n v="6"/>
    <n v="4"/>
    <n v="2"/>
    <n v="1"/>
    <n v="3"/>
    <n v="21.6"/>
    <x v="6"/>
    <x v="830"/>
    <n v="5"/>
    <x v="4"/>
    <x v="4"/>
  </r>
  <r>
    <n v="873"/>
    <s v="New Mexico"/>
    <s v="88201"/>
    <d v="2015-02-25T20:27:13"/>
    <d v="2015-02-25T20:27:20"/>
    <n v="1"/>
    <n v="0"/>
    <n v="2"/>
    <n v="1"/>
    <n v="1"/>
    <n v="1"/>
    <n v="28.8"/>
    <x v="3"/>
    <x v="831"/>
    <n v="25"/>
    <x v="6"/>
    <x v="5"/>
  </r>
  <r>
    <n v="874"/>
    <s v="Louisiana"/>
    <s v="70447"/>
    <d v="2015-09-15T19:01:16"/>
    <d v="2015-09-15T19:01:20"/>
    <n v="1"/>
    <n v="2"/>
    <n v="4"/>
    <n v="4"/>
    <n v="1"/>
    <n v="2"/>
    <n v="59.84"/>
    <x v="5"/>
    <x v="832"/>
    <n v="15"/>
    <x v="5"/>
    <x v="12"/>
  </r>
  <r>
    <n v="875"/>
    <s v="Ohio"/>
    <s v="44514"/>
    <d v="2015-02-08T11:11:10"/>
    <d v="2015-02-08T11:11:16"/>
    <n v="1"/>
    <n v="0"/>
    <n v="2"/>
    <n v="1"/>
    <n v="1"/>
    <n v="1"/>
    <n v="36"/>
    <x v="3"/>
    <x v="833"/>
    <n v="8"/>
    <x v="2"/>
    <x v="3"/>
  </r>
  <r>
    <n v="876"/>
    <s v="Rhode Island"/>
    <s v="02904"/>
    <d v="2015-03-09T11:16:45"/>
    <d v="2015-03-09T11:16:50"/>
    <n v="1"/>
    <n v="2"/>
    <n v="8"/>
    <n v="2"/>
    <n v="1"/>
    <n v="4"/>
    <n v="28.8"/>
    <x v="8"/>
    <x v="834"/>
    <n v="9"/>
    <x v="3"/>
    <x v="3"/>
  </r>
  <r>
    <n v="877"/>
    <s v="Texas"/>
    <s v="78656"/>
    <d v="2015-05-22T21:48:36"/>
    <d v="2015-05-22T21:48:40"/>
    <n v="1"/>
    <n v="2"/>
    <n v="2"/>
    <n v="2"/>
    <n v="1"/>
    <n v="1"/>
    <n v="28.8"/>
    <x v="4"/>
    <x v="835"/>
    <n v="22"/>
    <x v="4"/>
    <x v="2"/>
  </r>
  <r>
    <n v="878"/>
    <s v="Washington"/>
    <s v="98166"/>
    <d v="2015-02-03T15:49:34"/>
    <d v="2015-02-03T15:49:39"/>
    <n v="1"/>
    <n v="0"/>
    <n v="2"/>
    <n v="1"/>
    <n v="1"/>
    <n v="2"/>
    <n v="18"/>
    <x v="3"/>
    <x v="836"/>
    <n v="3"/>
    <x v="5"/>
    <x v="10"/>
  </r>
  <r>
    <n v="879"/>
    <s v="New York"/>
    <s v="10023"/>
    <d v="2015-01-16T23:27:00"/>
    <d v="2015-01-16T23:27:09"/>
    <n v="1"/>
    <n v="0"/>
    <n v="8"/>
    <n v="2"/>
    <n v="1"/>
    <n v="3"/>
    <n v="24"/>
    <x v="1"/>
    <x v="837"/>
    <n v="16"/>
    <x v="4"/>
    <x v="0"/>
  </r>
  <r>
    <n v="880"/>
    <s v="Florida"/>
    <s v="33496"/>
    <d v="2015-06-25T08:43:28"/>
    <d v="2015-06-25T08:43:32"/>
    <n v="1"/>
    <n v="4"/>
    <n v="6"/>
    <n v="2"/>
    <n v="1"/>
    <n v="1"/>
    <n v="28.8"/>
    <x v="6"/>
    <x v="838"/>
    <n v="25"/>
    <x v="1"/>
    <x v="18"/>
  </r>
  <r>
    <n v="881"/>
    <s v="Texas"/>
    <s v="75007"/>
    <d v="2015-03-17T08:00:39"/>
    <d v="2015-03-17T08:00:45"/>
    <n v="1"/>
    <n v="2"/>
    <n v="6"/>
    <n v="1"/>
    <n v="1"/>
    <n v="5"/>
    <n v="36"/>
    <x v="8"/>
    <x v="839"/>
    <n v="17"/>
    <x v="5"/>
    <x v="18"/>
  </r>
  <r>
    <n v="882"/>
    <m/>
    <m/>
    <d v="2015-09-22T11:25:46"/>
    <d v="2015-09-22T11:25:47"/>
    <n v="1"/>
    <n v="4"/>
    <n v="4"/>
    <n v="5"/>
    <n v="1"/>
    <n v="1"/>
    <n v="37.4"/>
    <x v="5"/>
    <x v="840"/>
    <n v="22"/>
    <x v="5"/>
    <x v="3"/>
  </r>
  <r>
    <n v="883"/>
    <s v="Florida"/>
    <s v="32134"/>
    <d v="2015-06-03T13:54:09"/>
    <d v="2015-06-03T13:54:12"/>
    <n v="1"/>
    <n v="0"/>
    <n v="2"/>
    <n v="2"/>
    <n v="1"/>
    <n v="1"/>
    <n v="28.8"/>
    <x v="6"/>
    <x v="841"/>
    <n v="3"/>
    <x v="6"/>
    <x v="17"/>
  </r>
  <r>
    <n v="884"/>
    <m/>
    <m/>
    <d v="2015-05-19T18:23:43"/>
    <d v="2015-05-19T14:23:45"/>
    <n v="1"/>
    <n v="2"/>
    <n v="2"/>
    <n v="2"/>
    <n v="1"/>
    <n v="2"/>
    <n v="18"/>
    <x v="4"/>
    <x v="842"/>
    <n v="19"/>
    <x v="5"/>
    <x v="9"/>
  </r>
  <r>
    <n v="885"/>
    <s v="Massachusetts"/>
    <s v="02421"/>
    <d v="2015-04-13T23:40:45"/>
    <d v="2015-04-13T23:40:52"/>
    <n v="1"/>
    <n v="4"/>
    <n v="10"/>
    <n v="1"/>
    <n v="1"/>
    <n v="4"/>
    <n v="28.8"/>
    <x v="7"/>
    <x v="843"/>
    <n v="13"/>
    <x v="3"/>
    <x v="0"/>
  </r>
  <r>
    <n v="887"/>
    <s v="New York"/>
    <s v="11743"/>
    <d v="2015-08-09T15:06:30"/>
    <d v="2015-08-09T11:06:34"/>
    <n v="1"/>
    <n v="2"/>
    <n v="2"/>
    <n v="2"/>
    <n v="1"/>
    <n v="1"/>
    <n v="11"/>
    <x v="0"/>
    <x v="844"/>
    <n v="9"/>
    <x v="2"/>
    <x v="3"/>
  </r>
  <r>
    <n v="888"/>
    <s v="Michigan"/>
    <s v="49093"/>
    <d v="2015-04-13T09:07:50"/>
    <d v="2015-04-13T09:07:55"/>
    <n v="1"/>
    <n v="0"/>
    <n v="4"/>
    <n v="1"/>
    <n v="1"/>
    <n v="2"/>
    <n v="18"/>
    <x v="7"/>
    <x v="845"/>
    <n v="13"/>
    <x v="3"/>
    <x v="15"/>
  </r>
  <r>
    <n v="889"/>
    <s v="Texas"/>
    <s v="78731"/>
    <d v="2015-09-01T22:41:05"/>
    <d v="2015-09-01T22:41:09"/>
    <n v="1"/>
    <n v="2"/>
    <n v="2"/>
    <n v="2"/>
    <n v="1"/>
    <n v="2"/>
    <n v="59.84"/>
    <x v="5"/>
    <x v="846"/>
    <n v="1"/>
    <x v="5"/>
    <x v="1"/>
  </r>
  <r>
    <n v="890"/>
    <s v="California"/>
    <s v="92679"/>
    <d v="2015-08-10T20:16:14"/>
    <d v="2015-08-10T16:16:15"/>
    <n v="1"/>
    <n v="2"/>
    <n v="2"/>
    <n v="1"/>
    <n v="1"/>
    <n v="1"/>
    <n v="32.64"/>
    <x v="0"/>
    <x v="847"/>
    <n v="10"/>
    <x v="3"/>
    <x v="4"/>
  </r>
  <r>
    <n v="891"/>
    <s v="Connecticut"/>
    <s v="06905"/>
    <d v="2015-03-28T19:12:31"/>
    <d v="2015-03-28T19:12:36"/>
    <n v="1"/>
    <n v="4"/>
    <n v="22"/>
    <n v="6"/>
    <n v="1"/>
    <n v="9"/>
    <n v="64.8"/>
    <x v="8"/>
    <x v="848"/>
    <n v="28"/>
    <x v="0"/>
    <x v="12"/>
  </r>
  <r>
    <n v="893"/>
    <s v="Tennessee"/>
    <s v="37343"/>
    <d v="2015-07-15T12:47:36"/>
    <d v="2015-07-15T12:47:43"/>
    <n v="1"/>
    <n v="2"/>
    <n v="4"/>
    <n v="3"/>
    <n v="1"/>
    <n v="2"/>
    <n v="65.28"/>
    <x v="2"/>
    <x v="849"/>
    <n v="15"/>
    <x v="6"/>
    <x v="7"/>
  </r>
  <r>
    <n v="894"/>
    <m/>
    <m/>
    <d v="2015-07-26T15:13:13"/>
    <d v="2015-07-27T09:53:35"/>
    <n v="2"/>
    <n v="5"/>
    <n v="6"/>
    <n v="4"/>
    <n v="1"/>
    <n v="2"/>
    <n v="22"/>
    <x v="2"/>
    <x v="850"/>
    <n v="26"/>
    <x v="2"/>
    <x v="3"/>
  </r>
  <r>
    <n v="895"/>
    <s v="California"/>
    <s v="90025"/>
    <d v="2015-02-23T00:09:58"/>
    <d v="2015-02-23T00:10:03"/>
    <n v="1"/>
    <n v="4"/>
    <n v="2"/>
    <n v="1"/>
    <n v="1"/>
    <n v="1"/>
    <n v="115.2"/>
    <x v="3"/>
    <x v="851"/>
    <n v="23"/>
    <x v="3"/>
    <x v="14"/>
  </r>
  <r>
    <n v="896"/>
    <s v="New Jersey"/>
    <s v="08016"/>
    <d v="2015-05-15T00:47:52"/>
    <d v="2015-05-15T00:48:03"/>
    <n v="1"/>
    <n v="6"/>
    <n v="8"/>
    <n v="4"/>
    <n v="1"/>
    <n v="2"/>
    <n v="36"/>
    <x v="4"/>
    <x v="852"/>
    <n v="15"/>
    <x v="4"/>
    <x v="14"/>
  </r>
  <r>
    <n v="897"/>
    <s v="North Carolina"/>
    <s v="27804"/>
    <d v="2015-07-07T21:31:57"/>
    <d v="2015-07-07T17:32:01"/>
    <n v="1"/>
    <n v="2"/>
    <n v="2"/>
    <n v="3"/>
    <n v="1"/>
    <n v="1"/>
    <n v="6.75"/>
    <x v="2"/>
    <x v="853"/>
    <n v="7"/>
    <x v="5"/>
    <x v="8"/>
  </r>
  <r>
    <n v="898"/>
    <s v="California"/>
    <s v="90630"/>
    <d v="2015-08-22T11:12:37"/>
    <d v="2015-08-27T11:23:32"/>
    <n v="3"/>
    <n v="0"/>
    <n v="2"/>
    <n v="4"/>
    <n v="1"/>
    <n v="1"/>
    <n v="29.92"/>
    <x v="0"/>
    <x v="854"/>
    <n v="22"/>
    <x v="0"/>
    <x v="3"/>
  </r>
  <r>
    <n v="900"/>
    <s v="New Jersey"/>
    <s v="07030"/>
    <d v="2015-09-01T14:38:39"/>
    <d v="2015-09-01T14:38:43"/>
    <n v="1"/>
    <n v="6"/>
    <n v="8"/>
    <n v="2"/>
    <n v="1"/>
    <n v="4"/>
    <n v="35.200000000000003"/>
    <x v="5"/>
    <x v="855"/>
    <n v="1"/>
    <x v="5"/>
    <x v="9"/>
  </r>
  <r>
    <n v="901"/>
    <s v="Michigan"/>
    <s v="48103"/>
    <d v="2015-07-29T17:28:57"/>
    <d v="2015-07-29T17:29:01"/>
    <n v="1"/>
    <n v="2"/>
    <n v="6"/>
    <n v="2"/>
    <n v="1"/>
    <n v="3"/>
    <n v="89.76"/>
    <x v="2"/>
    <x v="856"/>
    <n v="29"/>
    <x v="6"/>
    <x v="8"/>
  </r>
  <r>
    <n v="902"/>
    <s v="New York"/>
    <s v="10022"/>
    <d v="2015-06-24T23:36:45"/>
    <d v="2015-06-24T23:36:53"/>
    <n v="1"/>
    <n v="2"/>
    <n v="4"/>
    <n v="2"/>
    <n v="1"/>
    <n v="1"/>
    <n v="36"/>
    <x v="6"/>
    <x v="857"/>
    <n v="24"/>
    <x v="6"/>
    <x v="0"/>
  </r>
  <r>
    <n v="903"/>
    <s v="California"/>
    <s v="90732"/>
    <d v="2015-08-21T05:43:25"/>
    <d v="2015-08-21T01:43:26"/>
    <n v="1"/>
    <n v="1"/>
    <n v="3"/>
    <n v="1"/>
    <n v="1"/>
    <n v="3"/>
    <n v="168.96"/>
    <x v="0"/>
    <x v="858"/>
    <n v="21"/>
    <x v="4"/>
    <x v="21"/>
  </r>
  <r>
    <n v="904"/>
    <s v="New York"/>
    <s v="10528"/>
    <d v="2015-07-22T15:15:33"/>
    <d v="2015-07-23T08:52:51"/>
    <n v="2"/>
    <n v="5"/>
    <n v="13"/>
    <n v="8"/>
    <n v="2"/>
    <n v="12"/>
    <n v="79"/>
    <x v="2"/>
    <x v="859"/>
    <n v="22"/>
    <x v="6"/>
    <x v="3"/>
  </r>
  <r>
    <n v="905"/>
    <s v="Texas"/>
    <s v="78744"/>
    <d v="2015-05-09T22:40:15"/>
    <d v="2015-05-09T22:40:19"/>
    <n v="1"/>
    <n v="4"/>
    <n v="8"/>
    <n v="5"/>
    <n v="1"/>
    <n v="5"/>
    <n v="144"/>
    <x v="4"/>
    <x v="860"/>
    <n v="9"/>
    <x v="0"/>
    <x v="1"/>
  </r>
  <r>
    <n v="906"/>
    <s v="California"/>
    <s v="90404"/>
    <d v="2015-01-07T03:03:41"/>
    <d v="2015-01-07T03:04:17"/>
    <n v="2"/>
    <n v="2"/>
    <n v="14"/>
    <n v="3"/>
    <n v="1"/>
    <n v="6"/>
    <n v="43.2"/>
    <x v="1"/>
    <x v="861"/>
    <n v="7"/>
    <x v="6"/>
    <x v="19"/>
  </r>
  <r>
    <n v="907"/>
    <s v="Georgia"/>
    <s v="30461"/>
    <d v="2015-04-28T11:47:22"/>
    <d v="2015-04-28T11:47:26"/>
    <n v="1"/>
    <n v="4"/>
    <n v="8"/>
    <n v="1"/>
    <n v="1"/>
    <n v="4"/>
    <n v="28.8"/>
    <x v="7"/>
    <x v="862"/>
    <n v="28"/>
    <x v="5"/>
    <x v="3"/>
  </r>
  <r>
    <n v="908"/>
    <s v="Minnesota"/>
    <s v="55360"/>
    <d v="2015-09-06T12:26:20"/>
    <d v="2015-09-06T12:26:23"/>
    <n v="1"/>
    <n v="4"/>
    <n v="2"/>
    <n v="2"/>
    <n v="1"/>
    <n v="2"/>
    <n v="22"/>
    <x v="5"/>
    <x v="863"/>
    <n v="6"/>
    <x v="2"/>
    <x v="7"/>
  </r>
  <r>
    <n v="909"/>
    <m/>
    <m/>
    <d v="2015-04-01T14:04:41"/>
    <d v="2015-04-01T14:04:45"/>
    <n v="1"/>
    <n v="2"/>
    <n v="4"/>
    <n v="2"/>
    <n v="1"/>
    <n v="2"/>
    <n v="45"/>
    <x v="7"/>
    <x v="864"/>
    <n v="1"/>
    <x v="6"/>
    <x v="9"/>
  </r>
  <r>
    <n v="910"/>
    <s v="California"/>
    <s v="92122"/>
    <d v="2015-03-30T22:15:33"/>
    <d v="2015-03-30T22:15:37"/>
    <n v="1"/>
    <n v="2"/>
    <n v="2"/>
    <n v="1"/>
    <n v="1"/>
    <n v="1"/>
    <n v="115.2"/>
    <x v="8"/>
    <x v="865"/>
    <n v="30"/>
    <x v="3"/>
    <x v="1"/>
  </r>
  <r>
    <n v="911"/>
    <s v="New Hampshire"/>
    <s v="03303"/>
    <d v="2015-09-05T15:28:25"/>
    <d v="2015-09-05T11:28:30"/>
    <n v="1"/>
    <n v="0"/>
    <n v="2"/>
    <n v="2"/>
    <n v="1"/>
    <n v="1"/>
    <n v="28.05"/>
    <x v="5"/>
    <x v="866"/>
    <n v="5"/>
    <x v="0"/>
    <x v="3"/>
  </r>
  <r>
    <n v="912"/>
    <s v="New York"/>
    <s v="13104"/>
    <d v="2015-09-19T15:18:06"/>
    <d v="2015-09-19T15:18:16"/>
    <n v="1"/>
    <n v="2"/>
    <n v="4"/>
    <n v="2"/>
    <n v="1"/>
    <n v="1"/>
    <n v="70.400000000000006"/>
    <x v="5"/>
    <x v="867"/>
    <n v="19"/>
    <x v="0"/>
    <x v="10"/>
  </r>
  <r>
    <n v="913"/>
    <s v="Georgia"/>
    <s v="30338"/>
    <d v="2015-09-08T22:56:56"/>
    <d v="2015-09-09T15:52:13"/>
    <n v="5"/>
    <n v="6"/>
    <n v="4"/>
    <n v="2"/>
    <n v="1"/>
    <n v="6"/>
    <n v="52.8"/>
    <x v="5"/>
    <x v="868"/>
    <n v="8"/>
    <x v="5"/>
    <x v="1"/>
  </r>
  <r>
    <n v="914"/>
    <s v="Pennsylvania"/>
    <s v="19146"/>
    <d v="2015-06-12T13:47:11"/>
    <d v="2015-06-14T23:05:13"/>
    <n v="3"/>
    <n v="4"/>
    <n v="4"/>
    <n v="3"/>
    <n v="1"/>
    <n v="2"/>
    <n v="21"/>
    <x v="6"/>
    <x v="869"/>
    <n v="12"/>
    <x v="4"/>
    <x v="17"/>
  </r>
  <r>
    <n v="915"/>
    <s v="Tennessee"/>
    <s v="37932"/>
    <d v="2015-06-10T18:36:05"/>
    <d v="2015-06-10T14:36:11"/>
    <n v="1"/>
    <n v="6"/>
    <n v="8"/>
    <n v="4"/>
    <n v="1"/>
    <n v="4"/>
    <n v="28.8"/>
    <x v="6"/>
    <x v="870"/>
    <n v="10"/>
    <x v="6"/>
    <x v="9"/>
  </r>
  <r>
    <n v="916"/>
    <s v="Ohio"/>
    <s v="45213"/>
    <d v="2015-02-04T16:57:27"/>
    <d v="2015-02-04T16:57:34"/>
    <n v="1"/>
    <n v="2"/>
    <n v="2"/>
    <n v="1"/>
    <n v="1"/>
    <n v="1"/>
    <n v="28.8"/>
    <x v="3"/>
    <x v="871"/>
    <n v="4"/>
    <x v="6"/>
    <x v="4"/>
  </r>
  <r>
    <n v="917"/>
    <s v="Arizona"/>
    <s v="85226"/>
    <d v="2015-04-12T22:46:52"/>
    <d v="2015-04-12T22:46:58"/>
    <n v="1"/>
    <n v="2"/>
    <n v="4"/>
    <n v="1"/>
    <n v="1"/>
    <n v="4"/>
    <n v="28.8"/>
    <x v="7"/>
    <x v="872"/>
    <n v="12"/>
    <x v="2"/>
    <x v="1"/>
  </r>
  <r>
    <n v="918"/>
    <s v="Kentucky"/>
    <s v="42431"/>
    <d v="2015-06-09T12:19:24"/>
    <d v="2015-06-09T12:19:28"/>
    <n v="1"/>
    <n v="0"/>
    <n v="8"/>
    <n v="2"/>
    <n v="1"/>
    <n v="4"/>
    <n v="36"/>
    <x v="6"/>
    <x v="873"/>
    <n v="9"/>
    <x v="5"/>
    <x v="7"/>
  </r>
  <r>
    <n v="919"/>
    <s v="Iowa"/>
    <s v="51248"/>
    <d v="2015-02-10T01:47:39"/>
    <d v="2015-02-10T01:47:46"/>
    <n v="1"/>
    <n v="2"/>
    <n v="4"/>
    <n v="2"/>
    <n v="1"/>
    <n v="2"/>
    <n v="36"/>
    <x v="3"/>
    <x v="874"/>
    <n v="10"/>
    <x v="5"/>
    <x v="20"/>
  </r>
  <r>
    <n v="920"/>
    <s v="California"/>
    <s v="94523"/>
    <d v="2015-06-24T12:02:01"/>
    <d v="2015-06-24T12:02:04"/>
    <n v="1"/>
    <n v="0"/>
    <n v="2"/>
    <n v="2"/>
    <n v="1"/>
    <n v="2"/>
    <n v="14.4"/>
    <x v="6"/>
    <x v="875"/>
    <n v="24"/>
    <x v="6"/>
    <x v="7"/>
  </r>
  <r>
    <n v="921"/>
    <m/>
    <m/>
    <d v="2015-03-13T11:45:22"/>
    <d v="2015-03-13T11:45:30"/>
    <n v="1"/>
    <n v="2"/>
    <n v="6"/>
    <n v="2"/>
    <n v="1"/>
    <n v="2"/>
    <n v="115.2"/>
    <x v="8"/>
    <x v="876"/>
    <n v="13"/>
    <x v="4"/>
    <x v="3"/>
  </r>
  <r>
    <n v="922"/>
    <s v="Washington"/>
    <s v="98264"/>
    <d v="2015-08-09T15:25:53"/>
    <d v="2015-08-10T21:34:33"/>
    <n v="2"/>
    <n v="4"/>
    <n v="3"/>
    <n v="4"/>
    <n v="1"/>
    <n v="1"/>
    <n v="50.4"/>
    <x v="0"/>
    <x v="877"/>
    <n v="9"/>
    <x v="2"/>
    <x v="10"/>
  </r>
  <r>
    <n v="923"/>
    <s v="New York"/>
    <s v="10023"/>
    <d v="2015-02-15T13:47:47"/>
    <d v="2015-02-15T13:47:54"/>
    <n v="1"/>
    <n v="0"/>
    <n v="10"/>
    <n v="1"/>
    <n v="1"/>
    <n v="6"/>
    <n v="45.9"/>
    <x v="3"/>
    <x v="878"/>
    <n v="15"/>
    <x v="2"/>
    <x v="17"/>
  </r>
  <r>
    <n v="924"/>
    <s v="Wisconsin"/>
    <s v="53048"/>
    <d v="2015-07-20T16:11:40"/>
    <d v="2015-07-20T16:11:45"/>
    <n v="1"/>
    <n v="0"/>
    <n v="2"/>
    <n v="2"/>
    <n v="1"/>
    <n v="1"/>
    <n v="29.92"/>
    <x v="2"/>
    <x v="879"/>
    <n v="20"/>
    <x v="3"/>
    <x v="4"/>
  </r>
  <r>
    <n v="926"/>
    <s v="Washington"/>
    <s v="98372"/>
    <d v="2015-07-22T23:36:47"/>
    <d v="2015-07-22T19:36:50"/>
    <n v="1"/>
    <n v="2"/>
    <n v="2"/>
    <n v="2"/>
    <n v="1"/>
    <n v="1"/>
    <n v="29.92"/>
    <x v="2"/>
    <x v="880"/>
    <n v="22"/>
    <x v="6"/>
    <x v="12"/>
  </r>
  <r>
    <n v="927"/>
    <s v="Washington"/>
    <s v="98012"/>
    <d v="2015-05-22T11:01:59"/>
    <d v="2015-05-22T11:02:02"/>
    <n v="1"/>
    <n v="0"/>
    <n v="2"/>
    <n v="2"/>
    <n v="1"/>
    <n v="1"/>
    <n v="28.8"/>
    <x v="4"/>
    <x v="881"/>
    <n v="22"/>
    <x v="4"/>
    <x v="3"/>
  </r>
  <r>
    <n v="928"/>
    <s v="New Hampshire"/>
    <s v="03054"/>
    <d v="2015-08-31T22:23:13"/>
    <d v="2015-08-31T18:23:17"/>
    <n v="1"/>
    <n v="4"/>
    <n v="2"/>
    <n v="2"/>
    <n v="1"/>
    <n v="2"/>
    <n v="59.84"/>
    <x v="0"/>
    <x v="882"/>
    <n v="31"/>
    <x v="3"/>
    <x v="6"/>
  </r>
  <r>
    <n v="929"/>
    <s v="Michigan"/>
    <s v="48073"/>
    <d v="2015-05-29T09:06:47"/>
    <d v="2015-05-29T09:06:51"/>
    <n v="1"/>
    <n v="0"/>
    <n v="8"/>
    <n v="2"/>
    <n v="1"/>
    <n v="4"/>
    <n v="28.8"/>
    <x v="4"/>
    <x v="883"/>
    <n v="29"/>
    <x v="4"/>
    <x v="15"/>
  </r>
  <r>
    <n v="930"/>
    <m/>
    <m/>
    <d v="2015-01-13T03:57:13"/>
    <d v="2015-01-13T03:57:24"/>
    <n v="1"/>
    <n v="6"/>
    <n v="6"/>
    <n v="3"/>
    <n v="1"/>
    <n v="4"/>
    <n v="28.8"/>
    <x v="1"/>
    <x v="884"/>
    <n v="13"/>
    <x v="5"/>
    <x v="23"/>
  </r>
  <r>
    <n v="931"/>
    <s v="Minnesota"/>
    <s v="55127"/>
    <d v="2015-04-28T14:12:09"/>
    <d v="2015-04-28T14:12:18"/>
    <n v="1"/>
    <n v="3"/>
    <n v="4"/>
    <n v="1"/>
    <n v="1"/>
    <n v="2"/>
    <n v="72"/>
    <x v="7"/>
    <x v="885"/>
    <n v="28"/>
    <x v="5"/>
    <x v="9"/>
  </r>
  <r>
    <n v="932"/>
    <s v="Texas"/>
    <s v="76426"/>
    <d v="2015-05-26T03:39:10"/>
    <d v="2015-05-27T22:13:21"/>
    <n v="5"/>
    <n v="8"/>
    <n v="6"/>
    <n v="3"/>
    <n v="1"/>
    <n v="2"/>
    <n v="14.4"/>
    <x v="4"/>
    <x v="886"/>
    <n v="26"/>
    <x v="5"/>
    <x v="19"/>
  </r>
  <r>
    <n v="933"/>
    <s v="California"/>
    <s v="94107"/>
    <d v="2015-06-21T17:35:39"/>
    <d v="2015-06-21T13:35:44"/>
    <n v="1"/>
    <n v="2"/>
    <n v="4"/>
    <n v="2"/>
    <n v="1"/>
    <n v="2"/>
    <n v="67.2"/>
    <x v="6"/>
    <x v="887"/>
    <n v="21"/>
    <x v="2"/>
    <x v="17"/>
  </r>
  <r>
    <n v="934"/>
    <s v="Florida"/>
    <s v="32619"/>
    <d v="2015-06-04T17:56:29"/>
    <d v="2015-06-04T13:56:36"/>
    <n v="1"/>
    <n v="2"/>
    <n v="2"/>
    <n v="2"/>
    <n v="1"/>
    <n v="2"/>
    <n v="18"/>
    <x v="6"/>
    <x v="888"/>
    <n v="4"/>
    <x v="1"/>
    <x v="17"/>
  </r>
  <r>
    <n v="936"/>
    <m/>
    <m/>
    <d v="2015-03-05T08:19:25"/>
    <d v="2015-03-05T08:19:28"/>
    <n v="1"/>
    <n v="0"/>
    <n v="4"/>
    <n v="2"/>
    <n v="1"/>
    <n v="4"/>
    <n v="28.8"/>
    <x v="8"/>
    <x v="889"/>
    <n v="5"/>
    <x v="1"/>
    <x v="18"/>
  </r>
  <r>
    <n v="937"/>
    <s v="Texas"/>
    <s v="77539"/>
    <d v="2015-06-01T21:05:23"/>
    <d v="2015-06-01T21:05:27"/>
    <n v="1"/>
    <n v="2"/>
    <n v="10"/>
    <n v="2"/>
    <n v="1"/>
    <n v="5"/>
    <n v="72"/>
    <x v="6"/>
    <x v="890"/>
    <n v="1"/>
    <x v="3"/>
    <x v="2"/>
  </r>
  <r>
    <n v="938"/>
    <s v="Virginia"/>
    <s v="24073"/>
    <d v="2015-08-23T11:47:27"/>
    <d v="2015-08-27T05:49:18"/>
    <n v="5"/>
    <n v="8"/>
    <n v="2"/>
    <n v="7"/>
    <n v="1"/>
    <n v="1"/>
    <n v="29.92"/>
    <x v="0"/>
    <x v="891"/>
    <n v="23"/>
    <x v="2"/>
    <x v="3"/>
  </r>
  <r>
    <n v="939"/>
    <s v="Ohio"/>
    <s v="44221"/>
    <d v="2015-03-15T12:36:32"/>
    <d v="2015-03-15T12:36:39"/>
    <n v="1"/>
    <n v="0"/>
    <n v="2"/>
    <n v="1"/>
    <n v="1"/>
    <n v="1"/>
    <n v="36"/>
    <x v="8"/>
    <x v="892"/>
    <n v="15"/>
    <x v="2"/>
    <x v="7"/>
  </r>
  <r>
    <n v="940"/>
    <m/>
    <m/>
    <d v="2015-08-12T17:02:55"/>
    <d v="2015-08-12T13:02:57"/>
    <n v="1"/>
    <n v="2"/>
    <n v="4"/>
    <n v="4"/>
    <n v="1"/>
    <n v="2"/>
    <n v="86.24"/>
    <x v="0"/>
    <x v="893"/>
    <n v="12"/>
    <x v="6"/>
    <x v="17"/>
  </r>
  <r>
    <n v="941"/>
    <s v="Massachusetts"/>
    <s v="02129"/>
    <d v="2015-01-27T09:48:32"/>
    <d v="2015-01-27T09:48:36"/>
    <n v="1"/>
    <n v="2"/>
    <n v="12"/>
    <n v="2"/>
    <n v="1"/>
    <n v="6"/>
    <n v="40.799999999999997"/>
    <x v="1"/>
    <x v="894"/>
    <n v="27"/>
    <x v="5"/>
    <x v="15"/>
  </r>
  <r>
    <n v="942"/>
    <s v="Pennsylvania"/>
    <s v="16046"/>
    <d v="2015-05-21T07:57:08"/>
    <d v="2015-05-21T07:57:11"/>
    <n v="1"/>
    <n v="2"/>
    <n v="4"/>
    <n v="3"/>
    <n v="1"/>
    <n v="2"/>
    <n v="14.4"/>
    <x v="4"/>
    <x v="895"/>
    <n v="21"/>
    <x v="1"/>
    <x v="16"/>
  </r>
  <r>
    <n v="943"/>
    <s v="Illinois"/>
    <s v="60645"/>
    <d v="2015-01-02T17:09:53"/>
    <d v="2015-01-03T00:17:56"/>
    <n v="3"/>
    <n v="2"/>
    <n v="8"/>
    <n v="2"/>
    <n v="1"/>
    <n v="4"/>
    <n v="28.8"/>
    <x v="1"/>
    <x v="896"/>
    <n v="2"/>
    <x v="4"/>
    <x v="8"/>
  </r>
  <r>
    <n v="944"/>
    <s v="Wyoming"/>
    <s v="82072"/>
    <d v="2015-05-25T10:03:50"/>
    <d v="2015-05-25T10:03:55"/>
    <n v="1"/>
    <n v="2"/>
    <n v="4"/>
    <n v="2"/>
    <n v="1"/>
    <n v="2"/>
    <n v="57.6"/>
    <x v="4"/>
    <x v="897"/>
    <n v="25"/>
    <x v="3"/>
    <x v="13"/>
  </r>
  <r>
    <n v="945"/>
    <s v="California"/>
    <s v="94618"/>
    <d v="2015-03-23T00:24:53"/>
    <d v="2015-03-23T00:25:02"/>
    <n v="1"/>
    <n v="0"/>
    <n v="6"/>
    <n v="1"/>
    <n v="1"/>
    <n v="4"/>
    <n v="88"/>
    <x v="8"/>
    <x v="898"/>
    <n v="23"/>
    <x v="3"/>
    <x v="14"/>
  </r>
  <r>
    <n v="946"/>
    <m/>
    <m/>
    <d v="2015-01-30T20:19:30"/>
    <d v="2015-01-30T20:19:35"/>
    <n v="1"/>
    <n v="2"/>
    <n v="6"/>
    <n v="3"/>
    <n v="1"/>
    <n v="3"/>
    <n v="42.4"/>
    <x v="1"/>
    <x v="899"/>
    <n v="30"/>
    <x v="4"/>
    <x v="5"/>
  </r>
  <r>
    <n v="947"/>
    <s v="Iowa"/>
    <s v="52544"/>
    <d v="2015-02-22T22:11:07"/>
    <d v="2015-02-22T22:11:11"/>
    <n v="1"/>
    <n v="2"/>
    <n v="2"/>
    <n v="4"/>
    <n v="1"/>
    <n v="1"/>
    <n v="57.6"/>
    <x v="3"/>
    <x v="900"/>
    <n v="22"/>
    <x v="2"/>
    <x v="1"/>
  </r>
  <r>
    <n v="948"/>
    <m/>
    <m/>
    <d v="2015-05-02T16:47:08"/>
    <d v="2015-05-02T16:47:12"/>
    <n v="1"/>
    <n v="0"/>
    <n v="1"/>
    <n v="2"/>
    <n v="1"/>
    <n v="2"/>
    <n v="14.4"/>
    <x v="4"/>
    <x v="901"/>
    <n v="2"/>
    <x v="0"/>
    <x v="4"/>
  </r>
  <r>
    <n v="949"/>
    <s v="California"/>
    <s v="94118"/>
    <d v="2015-02-01T19:21:41"/>
    <d v="2015-02-01T19:21:45"/>
    <n v="1"/>
    <n v="2"/>
    <n v="16"/>
    <n v="1"/>
    <n v="1"/>
    <n v="8"/>
    <n v="57.6"/>
    <x v="3"/>
    <x v="902"/>
    <n v="1"/>
    <x v="2"/>
    <x v="12"/>
  </r>
  <r>
    <n v="950"/>
    <s v="Wisconsin"/>
    <s v="54021"/>
    <d v="2015-07-12T08:51:25"/>
    <d v="2015-07-12T08:51:29"/>
    <n v="1"/>
    <n v="4"/>
    <n v="2"/>
    <n v="2"/>
    <n v="1"/>
    <n v="1"/>
    <n v="28.8"/>
    <x v="2"/>
    <x v="903"/>
    <n v="12"/>
    <x v="2"/>
    <x v="18"/>
  </r>
  <r>
    <n v="951"/>
    <s v="North Carolina"/>
    <s v="27948"/>
    <d v="2015-07-13T14:32:39"/>
    <d v="2015-07-13T14:32:42"/>
    <n v="1"/>
    <n v="6"/>
    <n v="4"/>
    <n v="4"/>
    <n v="1"/>
    <n v="2"/>
    <n v="18"/>
    <x v="2"/>
    <x v="904"/>
    <n v="13"/>
    <x v="3"/>
    <x v="9"/>
  </r>
  <r>
    <n v="952"/>
    <s v="Florida"/>
    <s v="33618"/>
    <d v="2015-05-30T11:29:37"/>
    <d v="2015-05-31T22:47:00"/>
    <n v="3"/>
    <n v="2"/>
    <n v="2"/>
    <n v="3"/>
    <n v="1"/>
    <n v="1"/>
    <n v="36"/>
    <x v="4"/>
    <x v="905"/>
    <n v="30"/>
    <x v="0"/>
    <x v="3"/>
  </r>
  <r>
    <n v="953"/>
    <s v="New Jersey"/>
    <s v="08844"/>
    <d v="2015-05-23T10:43:57"/>
    <d v="2015-05-23T10:44:02"/>
    <n v="1"/>
    <n v="4"/>
    <n v="10"/>
    <n v="2"/>
    <n v="1"/>
    <n v="4"/>
    <n v="115.2"/>
    <x v="4"/>
    <x v="906"/>
    <n v="23"/>
    <x v="0"/>
    <x v="13"/>
  </r>
  <r>
    <n v="954"/>
    <s v="California"/>
    <s v="93238"/>
    <d v="2015-06-16T10:07:42"/>
    <d v="2015-06-16T10:08:18"/>
    <n v="1"/>
    <n v="2"/>
    <n v="2"/>
    <n v="2"/>
    <n v="1"/>
    <n v="1"/>
    <n v="28.8"/>
    <x v="6"/>
    <x v="907"/>
    <n v="16"/>
    <x v="5"/>
    <x v="13"/>
  </r>
  <r>
    <n v="955"/>
    <s v="Michigan"/>
    <s v="48128"/>
    <d v="2015-09-13T20:19:59"/>
    <d v="2015-09-14T08:52:25"/>
    <n v="2"/>
    <n v="9"/>
    <n v="8"/>
    <n v="14"/>
    <n v="2"/>
    <n v="3"/>
    <n v="29.92"/>
    <x v="5"/>
    <x v="908"/>
    <n v="13"/>
    <x v="2"/>
    <x v="5"/>
  </r>
  <r>
    <n v="956"/>
    <m/>
    <m/>
    <d v="2015-06-16T14:17:51"/>
    <d v="2015-06-16T15:19:52"/>
    <n v="3"/>
    <n v="2"/>
    <n v="8"/>
    <n v="9"/>
    <n v="1"/>
    <n v="2"/>
    <n v="14.4"/>
    <x v="6"/>
    <x v="909"/>
    <n v="16"/>
    <x v="5"/>
    <x v="7"/>
  </r>
  <r>
    <n v="957"/>
    <s v="Texas"/>
    <s v="77082"/>
    <d v="2015-01-16T10:03:21"/>
    <d v="2015-01-21T13:08:23"/>
    <n v="2"/>
    <n v="0"/>
    <n v="4"/>
    <n v="3"/>
    <n v="1"/>
    <n v="4"/>
    <n v="28.8"/>
    <x v="1"/>
    <x v="910"/>
    <n v="16"/>
    <x v="4"/>
    <x v="13"/>
  </r>
  <r>
    <n v="958"/>
    <s v="New York"/>
    <s v="12901"/>
    <d v="2015-07-07T02:11:08"/>
    <d v="2015-07-06T22:11:10"/>
    <n v="1"/>
    <n v="6"/>
    <n v="8"/>
    <n v="4"/>
    <n v="2"/>
    <n v="4"/>
    <n v="18"/>
    <x v="2"/>
    <x v="911"/>
    <n v="6"/>
    <x v="3"/>
    <x v="1"/>
  </r>
  <r>
    <n v="959"/>
    <m/>
    <m/>
    <d v="2015-01-22T23:39:57"/>
    <d v="2015-01-22T23:41:11"/>
    <n v="1"/>
    <n v="0"/>
    <n v="8"/>
    <n v="34"/>
    <n v="1"/>
    <n v="3"/>
    <n v="18"/>
    <x v="1"/>
    <x v="912"/>
    <n v="22"/>
    <x v="1"/>
    <x v="0"/>
  </r>
  <r>
    <n v="960"/>
    <s v="California"/>
    <s v="93725"/>
    <d v="2015-01-03T18:17:21"/>
    <d v="2015-01-04T17:54:47"/>
    <n v="2"/>
    <n v="4"/>
    <n v="4"/>
    <n v="2"/>
    <n v="1"/>
    <n v="2"/>
    <n v="9"/>
    <x v="1"/>
    <x v="913"/>
    <n v="3"/>
    <x v="0"/>
    <x v="6"/>
  </r>
  <r>
    <n v="961"/>
    <s v="Illinois"/>
    <s v="60045"/>
    <d v="2015-07-05T14:49:56"/>
    <d v="2015-07-05T14:49:59"/>
    <n v="1"/>
    <n v="4"/>
    <n v="2"/>
    <n v="2"/>
    <n v="1"/>
    <n v="4"/>
    <n v="28.8"/>
    <x v="2"/>
    <x v="914"/>
    <n v="5"/>
    <x v="2"/>
    <x v="9"/>
  </r>
  <r>
    <n v="962"/>
    <s v="New York"/>
    <s v="10003"/>
    <d v="2015-06-19T11:16:10"/>
    <d v="2015-06-19T11:16:14"/>
    <n v="1"/>
    <n v="2"/>
    <n v="2"/>
    <n v="2"/>
    <n v="1"/>
    <n v="1"/>
    <n v="39.6"/>
    <x v="6"/>
    <x v="915"/>
    <n v="19"/>
    <x v="4"/>
    <x v="3"/>
  </r>
  <r>
    <n v="963"/>
    <s v="Colorado"/>
    <s v="81303"/>
    <d v="2015-03-08T14:14:41"/>
    <d v="2015-03-08T14:14:48"/>
    <n v="1"/>
    <n v="4"/>
    <n v="2"/>
    <n v="1"/>
    <n v="1"/>
    <n v="1"/>
    <n v="28.8"/>
    <x v="8"/>
    <x v="916"/>
    <n v="8"/>
    <x v="2"/>
    <x v="9"/>
  </r>
  <r>
    <n v="964"/>
    <s v="Louisiana"/>
    <s v="70808"/>
    <d v="2015-02-05T11:54:48"/>
    <d v="2015-02-05T11:54:53"/>
    <n v="1"/>
    <n v="2"/>
    <n v="18"/>
    <n v="2"/>
    <n v="1"/>
    <n v="4"/>
    <n v="28.8"/>
    <x v="3"/>
    <x v="917"/>
    <n v="5"/>
    <x v="1"/>
    <x v="3"/>
  </r>
  <r>
    <n v="966"/>
    <s v="Texas"/>
    <s v="76021"/>
    <d v="2015-05-26T22:47:29"/>
    <d v="2015-05-26T22:47:33"/>
    <n v="1"/>
    <n v="0"/>
    <n v="2"/>
    <n v="2"/>
    <n v="1"/>
    <n v="1"/>
    <n v="28.8"/>
    <x v="4"/>
    <x v="918"/>
    <n v="26"/>
    <x v="5"/>
    <x v="1"/>
  </r>
  <r>
    <n v="967"/>
    <m/>
    <m/>
    <d v="2015-06-03T13:08:28"/>
    <d v="2015-06-03T09:08:31"/>
    <n v="1"/>
    <n v="8"/>
    <n v="16"/>
    <n v="6"/>
    <n v="1"/>
    <n v="6"/>
    <n v="43.2"/>
    <x v="6"/>
    <x v="919"/>
    <n v="3"/>
    <x v="6"/>
    <x v="15"/>
  </r>
  <r>
    <n v="968"/>
    <s v="California"/>
    <s v="94806"/>
    <d v="2015-06-02T22:47:27"/>
    <d v="2015-06-02T22:47:32"/>
    <n v="1"/>
    <n v="2"/>
    <n v="2"/>
    <n v="2"/>
    <n v="1"/>
    <n v="1"/>
    <n v="28.8"/>
    <x v="6"/>
    <x v="920"/>
    <n v="2"/>
    <x v="5"/>
    <x v="1"/>
  </r>
  <r>
    <n v="969"/>
    <s v="Texas"/>
    <s v="77845"/>
    <d v="2015-03-09T16:18:43"/>
    <d v="2015-03-09T16:18:49"/>
    <n v="1"/>
    <n v="0"/>
    <n v="10"/>
    <n v="1"/>
    <n v="1"/>
    <n v="4"/>
    <n v="28.8"/>
    <x v="8"/>
    <x v="921"/>
    <n v="9"/>
    <x v="3"/>
    <x v="4"/>
  </r>
  <r>
    <n v="970"/>
    <s v="Colorado"/>
    <s v="80134"/>
    <d v="2015-06-16T15:26:31"/>
    <d v="2015-06-17T15:40:03"/>
    <n v="2"/>
    <n v="10"/>
    <n v="3"/>
    <n v="7"/>
    <n v="1"/>
    <n v="1"/>
    <n v="23.04"/>
    <x v="6"/>
    <x v="922"/>
    <n v="17"/>
    <x v="6"/>
    <x v="10"/>
  </r>
  <r>
    <n v="971"/>
    <s v="Texas"/>
    <s v="78729"/>
    <d v="2015-03-10T21:54:12"/>
    <d v="2015-03-10T21:54:17"/>
    <n v="1"/>
    <n v="4"/>
    <n v="6"/>
    <n v="2"/>
    <n v="1"/>
    <n v="3"/>
    <n v="20.8"/>
    <x v="8"/>
    <x v="923"/>
    <n v="10"/>
    <x v="5"/>
    <x v="2"/>
  </r>
  <r>
    <n v="972"/>
    <s v="New York"/>
    <s v="13760"/>
    <d v="2015-06-06T16:29:55"/>
    <d v="2015-06-06T12:30:00"/>
    <n v="1"/>
    <n v="0"/>
    <n v="2"/>
    <n v="2"/>
    <n v="1"/>
    <n v="1"/>
    <n v="28.8"/>
    <x v="6"/>
    <x v="924"/>
    <n v="6"/>
    <x v="0"/>
    <x v="7"/>
  </r>
  <r>
    <n v="973"/>
    <s v="Texas"/>
    <s v="78681"/>
    <d v="2015-03-01T14:08:33"/>
    <d v="2015-03-01T14:08:38"/>
    <n v="1"/>
    <n v="2"/>
    <n v="2"/>
    <n v="1"/>
    <n v="1"/>
    <n v="4"/>
    <n v="28.8"/>
    <x v="8"/>
    <x v="925"/>
    <n v="1"/>
    <x v="2"/>
    <x v="9"/>
  </r>
  <r>
    <n v="974"/>
    <s v="Alabama"/>
    <s v="36301"/>
    <d v="2015-08-09T21:31:13"/>
    <d v="2015-08-10T09:11:39"/>
    <n v="3"/>
    <n v="2"/>
    <n v="2"/>
    <n v="2"/>
    <n v="1"/>
    <n v="1"/>
    <n v="28.05"/>
    <x v="0"/>
    <x v="926"/>
    <n v="9"/>
    <x v="2"/>
    <x v="2"/>
  </r>
  <r>
    <n v="975"/>
    <s v="Iowa"/>
    <s v="50035"/>
    <d v="2015-08-23T21:43:07"/>
    <d v="2015-08-23T17:43:08"/>
    <n v="1"/>
    <n v="12"/>
    <n v="2"/>
    <n v="4"/>
    <n v="1"/>
    <n v="1"/>
    <n v="56.32"/>
    <x v="0"/>
    <x v="927"/>
    <n v="23"/>
    <x v="2"/>
    <x v="8"/>
  </r>
  <r>
    <n v="976"/>
    <s v="Michigan"/>
    <s v="48890"/>
    <d v="2015-02-10T10:30:32"/>
    <d v="2015-02-10T10:30:37"/>
    <n v="1"/>
    <n v="0"/>
    <n v="8"/>
    <n v="1"/>
    <n v="1"/>
    <n v="4"/>
    <n v="30.6"/>
    <x v="3"/>
    <x v="928"/>
    <n v="10"/>
    <x v="5"/>
    <x v="13"/>
  </r>
  <r>
    <n v="977"/>
    <s v="Wisconsin"/>
    <s v="53217"/>
    <d v="2015-03-04T10:18:37"/>
    <d v="2015-03-05T22:19:40"/>
    <n v="5"/>
    <n v="1"/>
    <n v="4"/>
    <n v="5"/>
    <n v="1"/>
    <n v="2"/>
    <n v="9"/>
    <x v="8"/>
    <x v="929"/>
    <n v="4"/>
    <x v="6"/>
    <x v="13"/>
  </r>
  <r>
    <n v="978"/>
    <s v="California"/>
    <s v="90720"/>
    <d v="2015-01-23T13:42:27"/>
    <d v="2015-01-27T14:39:02"/>
    <n v="6"/>
    <n v="0"/>
    <n v="6"/>
    <n v="6"/>
    <n v="2"/>
    <n v="3"/>
    <n v="28.8"/>
    <x v="1"/>
    <x v="930"/>
    <n v="23"/>
    <x v="4"/>
    <x v="17"/>
  </r>
  <r>
    <n v="979"/>
    <s v="Florida"/>
    <s v="32608"/>
    <d v="2015-01-18T09:24:59"/>
    <d v="2015-01-18T09:25:03"/>
    <n v="1"/>
    <n v="0"/>
    <n v="2"/>
    <n v="2"/>
    <n v="1"/>
    <n v="2"/>
    <n v="18"/>
    <x v="1"/>
    <x v="931"/>
    <n v="18"/>
    <x v="2"/>
    <x v="15"/>
  </r>
  <r>
    <n v="980"/>
    <s v="California"/>
    <s v="92101"/>
    <d v="2015-06-13T00:47:39"/>
    <d v="2015-06-13T00:47:42"/>
    <n v="1"/>
    <n v="6"/>
    <n v="2"/>
    <n v="2"/>
    <n v="1"/>
    <n v="1"/>
    <n v="28.8"/>
    <x v="6"/>
    <x v="932"/>
    <n v="13"/>
    <x v="0"/>
    <x v="14"/>
  </r>
  <r>
    <n v="981"/>
    <s v="Texas"/>
    <s v="79407"/>
    <d v="2015-06-30T15:48:58"/>
    <d v="2015-06-30T11:49:04"/>
    <n v="1"/>
    <n v="4"/>
    <n v="4"/>
    <n v="2"/>
    <n v="1"/>
    <n v="2"/>
    <n v="72"/>
    <x v="6"/>
    <x v="933"/>
    <n v="30"/>
    <x v="5"/>
    <x v="3"/>
  </r>
  <r>
    <n v="982"/>
    <s v="Texas"/>
    <s v="75229"/>
    <d v="2015-07-23T23:24:07"/>
    <d v="2015-07-23T23:24:11"/>
    <n v="1"/>
    <n v="6"/>
    <n v="8"/>
    <n v="2"/>
    <n v="1"/>
    <n v="4"/>
    <n v="45"/>
    <x v="2"/>
    <x v="934"/>
    <n v="23"/>
    <x v="1"/>
    <x v="0"/>
  </r>
  <r>
    <n v="983"/>
    <s v="Tennessee"/>
    <s v="37206"/>
    <d v="2015-08-10T18:41:55"/>
    <d v="2015-08-10T14:41:57"/>
    <n v="1"/>
    <n v="8"/>
    <n v="2"/>
    <n v="2"/>
    <n v="1"/>
    <n v="1"/>
    <n v="32.64"/>
    <x v="0"/>
    <x v="935"/>
    <n v="10"/>
    <x v="3"/>
    <x v="10"/>
  </r>
  <r>
    <n v="984"/>
    <s v="New Jersey"/>
    <s v="08560"/>
    <d v="2015-07-25T20:38:43"/>
    <d v="2015-07-25T20:38:47"/>
    <n v="1"/>
    <n v="0"/>
    <n v="2"/>
    <n v="2"/>
    <n v="1"/>
    <n v="1"/>
    <n v="29.92"/>
    <x v="2"/>
    <x v="936"/>
    <n v="25"/>
    <x v="0"/>
    <x v="5"/>
  </r>
  <r>
    <n v="985"/>
    <s v="Georgia"/>
    <s v="31820"/>
    <d v="2015-02-25T19:16:04"/>
    <d v="2015-02-25T23:10:45"/>
    <n v="3"/>
    <n v="0"/>
    <n v="8"/>
    <n v="5"/>
    <n v="1"/>
    <n v="2"/>
    <n v="9"/>
    <x v="3"/>
    <x v="937"/>
    <n v="25"/>
    <x v="6"/>
    <x v="12"/>
  </r>
  <r>
    <n v="986"/>
    <s v="Kentucky"/>
    <s v="40026"/>
    <d v="2015-02-19T20:34:58"/>
    <d v="2015-03-10T19:46:26"/>
    <n v="10"/>
    <n v="0"/>
    <n v="8"/>
    <n v="8"/>
    <n v="2"/>
    <n v="6"/>
    <n v="18"/>
    <x v="3"/>
    <x v="938"/>
    <n v="19"/>
    <x v="1"/>
    <x v="5"/>
  </r>
  <r>
    <n v="987"/>
    <s v="Colorado"/>
    <s v="80504"/>
    <d v="2015-02-17T12:31:10"/>
    <d v="2015-02-23T16:22:36"/>
    <n v="6"/>
    <n v="0"/>
    <n v="1"/>
    <n v="3"/>
    <n v="1"/>
    <n v="1"/>
    <n v="28.8"/>
    <x v="3"/>
    <x v="939"/>
    <n v="18"/>
    <x v="6"/>
    <x v="3"/>
  </r>
  <r>
    <n v="988"/>
    <s v="Texas"/>
    <s v="75098"/>
    <d v="2015-08-05T18:56:58"/>
    <d v="2015-08-05T14:57:03"/>
    <n v="1"/>
    <n v="6"/>
    <n v="4"/>
    <n v="2"/>
    <n v="1"/>
    <n v="2"/>
    <n v="38.72"/>
    <x v="0"/>
    <x v="940"/>
    <n v="5"/>
    <x v="6"/>
    <x v="9"/>
  </r>
  <r>
    <n v="989"/>
    <s v="Georgia"/>
    <s v="30307"/>
    <d v="2015-09-09T16:24:30"/>
    <d v="2015-09-09T16:24:34"/>
    <n v="1"/>
    <n v="0"/>
    <n v="2"/>
    <n v="2"/>
    <n v="1"/>
    <n v="1"/>
    <n v="32.64"/>
    <x v="5"/>
    <x v="941"/>
    <n v="9"/>
    <x v="6"/>
    <x v="4"/>
  </r>
  <r>
    <n v="990"/>
    <s v="Missouri"/>
    <s v="63042"/>
    <d v="2013-09-20T19:18:53"/>
    <d v="2015-07-22T09:02:41"/>
    <n v="3"/>
    <n v="0"/>
    <n v="1"/>
    <n v="2"/>
    <n v="1"/>
    <n v="1"/>
    <n v="37.4"/>
    <x v="2"/>
    <x v="942"/>
    <n v="22"/>
    <x v="6"/>
    <x v="15"/>
  </r>
  <r>
    <n v="991"/>
    <m/>
    <m/>
    <d v="2015-01-27T12:55:15"/>
    <d v="2015-02-02T10:34:36"/>
    <n v="10"/>
    <n v="2"/>
    <n v="2"/>
    <n v="7"/>
    <n v="1"/>
    <n v="1"/>
    <n v="28.8"/>
    <x v="1"/>
    <x v="943"/>
    <n v="28"/>
    <x v="6"/>
    <x v="18"/>
  </r>
  <r>
    <n v="992"/>
    <s v="Pennsylvania"/>
    <s v="19086"/>
    <d v="2015-09-12T11:58:14"/>
    <d v="2015-09-12T11:58:18"/>
    <n v="1"/>
    <n v="2"/>
    <n v="2"/>
    <n v="4"/>
    <n v="1"/>
    <n v="1"/>
    <n v="21.76"/>
    <x v="5"/>
    <x v="944"/>
    <n v="12"/>
    <x v="0"/>
    <x v="3"/>
  </r>
  <r>
    <n v="993"/>
    <s v="Massachusetts"/>
    <s v="02184"/>
    <d v="2015-08-16T13:45:01"/>
    <d v="2015-08-16T22:17:30"/>
    <n v="2"/>
    <n v="3"/>
    <n v="3"/>
    <n v="6"/>
    <n v="1"/>
    <n v="1"/>
    <n v="29.92"/>
    <x v="0"/>
    <x v="945"/>
    <n v="16"/>
    <x v="2"/>
    <x v="17"/>
  </r>
  <r>
    <n v="994"/>
    <s v="Alaska"/>
    <s v="99901"/>
    <d v="2015-05-28T15:38:34"/>
    <d v="2015-05-28T15:38:38"/>
    <n v="1"/>
    <n v="0"/>
    <n v="2"/>
    <n v="4"/>
    <n v="1"/>
    <n v="2"/>
    <n v="18"/>
    <x v="4"/>
    <x v="946"/>
    <n v="28"/>
    <x v="1"/>
    <x v="10"/>
  </r>
  <r>
    <n v="995"/>
    <s v="Colorado"/>
    <s v="80816"/>
    <d v="2015-08-06T04:07:51"/>
    <d v="2015-08-06T11:40:52"/>
    <n v="5"/>
    <n v="8"/>
    <n v="4"/>
    <n v="2"/>
    <n v="1"/>
    <n v="2"/>
    <n v="17.600000000000001"/>
    <x v="0"/>
    <x v="947"/>
    <n v="6"/>
    <x v="1"/>
    <x v="14"/>
  </r>
  <r>
    <n v="996"/>
    <s v="Ohio"/>
    <s v="44321"/>
    <d v="2015-03-25T11:06:08"/>
    <d v="2015-03-25T11:06:13"/>
    <n v="1"/>
    <n v="0"/>
    <n v="2"/>
    <n v="1"/>
    <n v="1"/>
    <n v="4"/>
    <n v="28.8"/>
    <x v="8"/>
    <x v="948"/>
    <n v="25"/>
    <x v="6"/>
    <x v="3"/>
  </r>
  <r>
    <n v="997"/>
    <s v="Indiana"/>
    <s v="47720"/>
    <d v="2015-07-07T15:06:05"/>
    <d v="2015-07-07T11:06:10"/>
    <n v="1"/>
    <n v="6"/>
    <n v="6"/>
    <n v="2"/>
    <n v="1"/>
    <n v="1"/>
    <n v="28.8"/>
    <x v="2"/>
    <x v="949"/>
    <n v="7"/>
    <x v="5"/>
    <x v="3"/>
  </r>
  <r>
    <n v="998"/>
    <s v="Wisconsin"/>
    <s v="54115"/>
    <d v="2015-03-24T22:24:55"/>
    <d v="2015-03-24T22:24:59"/>
    <n v="1"/>
    <n v="2"/>
    <n v="2"/>
    <n v="1"/>
    <n v="1"/>
    <n v="6"/>
    <n v="43.2"/>
    <x v="8"/>
    <x v="950"/>
    <n v="24"/>
    <x v="5"/>
    <x v="1"/>
  </r>
  <r>
    <n v="999"/>
    <s v="Arizona"/>
    <s v="85253"/>
    <d v="2015-01-16T22:27:04"/>
    <d v="2015-01-16T22:27:07"/>
    <n v="1"/>
    <n v="0"/>
    <n v="4"/>
    <n v="2"/>
    <n v="1"/>
    <n v="2"/>
    <n v="72"/>
    <x v="1"/>
    <x v="951"/>
    <n v="16"/>
    <x v="4"/>
    <x v="1"/>
  </r>
  <r>
    <n v="1000"/>
    <s v="Colorado"/>
    <s v="81242"/>
    <d v="2015-07-26T16:00:46"/>
    <d v="2015-07-26T12:00:47"/>
    <n v="1"/>
    <n v="4"/>
    <n v="8"/>
    <n v="4"/>
    <n v="1"/>
    <n v="2"/>
    <n v="22"/>
    <x v="2"/>
    <x v="952"/>
    <n v="26"/>
    <x v="2"/>
    <x v="7"/>
  </r>
  <r>
    <n v="1001"/>
    <s v="Texas"/>
    <s v="77346"/>
    <d v="2015-09-04T09:41:04"/>
    <d v="2015-09-10T01:00:03"/>
    <n v="12"/>
    <n v="8"/>
    <n v="2"/>
    <n v="8"/>
    <n v="1"/>
    <n v="1"/>
    <n v="56.32"/>
    <x v="5"/>
    <x v="953"/>
    <n v="4"/>
    <x v="4"/>
    <x v="22"/>
  </r>
  <r>
    <n v="1002"/>
    <s v="Florida"/>
    <s v="32708"/>
    <d v="2015-06-16T08:25:25"/>
    <d v="2015-06-16T08:25:32"/>
    <n v="1"/>
    <n v="8"/>
    <n v="8"/>
    <n v="2"/>
    <n v="1"/>
    <n v="4"/>
    <n v="31.2"/>
    <x v="6"/>
    <x v="954"/>
    <n v="16"/>
    <x v="5"/>
    <x v="18"/>
  </r>
  <r>
    <n v="1003"/>
    <s v="Wisconsin"/>
    <s v="53562"/>
    <d v="2015-03-02T08:54:28"/>
    <d v="2015-03-02T08:54:32"/>
    <n v="1"/>
    <n v="0"/>
    <n v="2"/>
    <n v="1"/>
    <n v="1"/>
    <n v="1"/>
    <n v="57.6"/>
    <x v="8"/>
    <x v="955"/>
    <n v="2"/>
    <x v="3"/>
    <x v="18"/>
  </r>
  <r>
    <n v="1004"/>
    <s v="New York"/>
    <s v="10003"/>
    <d v="2015-03-02T12:55:15"/>
    <d v="2015-03-02T12:55:20"/>
    <n v="1"/>
    <n v="0"/>
    <n v="2"/>
    <n v="2"/>
    <n v="1"/>
    <n v="1"/>
    <n v="61.2"/>
    <x v="8"/>
    <x v="956"/>
    <n v="2"/>
    <x v="3"/>
    <x v="7"/>
  </r>
  <r>
    <n v="1005"/>
    <s v="Michigan"/>
    <s v="48642"/>
    <d v="2015-08-30T11:30:00"/>
    <d v="2015-08-30T11:30:03"/>
    <n v="1"/>
    <n v="4"/>
    <n v="4"/>
    <n v="2"/>
    <n v="1"/>
    <n v="4"/>
    <n v="35.200000000000003"/>
    <x v="0"/>
    <x v="957"/>
    <n v="30"/>
    <x v="2"/>
    <x v="3"/>
  </r>
  <r>
    <n v="1006"/>
    <s v="Tennessee"/>
    <s v="37220"/>
    <d v="2015-03-11T09:53:53"/>
    <d v="2015-03-11T09:53:57"/>
    <n v="1"/>
    <n v="0"/>
    <n v="6"/>
    <n v="1"/>
    <n v="1"/>
    <n v="5"/>
    <n v="52.8"/>
    <x v="8"/>
    <x v="958"/>
    <n v="11"/>
    <x v="6"/>
    <x v="15"/>
  </r>
  <r>
    <n v="1007"/>
    <s v="Alabama"/>
    <s v="35242"/>
    <d v="2015-05-06T13:02:51"/>
    <d v="2015-05-06T13:03:04"/>
    <n v="1"/>
    <n v="0"/>
    <n v="2"/>
    <n v="2"/>
    <n v="1"/>
    <n v="1"/>
    <n v="28.8"/>
    <x v="4"/>
    <x v="959"/>
    <n v="6"/>
    <x v="6"/>
    <x v="17"/>
  </r>
  <r>
    <n v="1008"/>
    <s v="North Dakota"/>
    <s v="58104"/>
    <d v="2015-07-11T23:34:55"/>
    <d v="2015-07-11T19:34:56"/>
    <n v="1"/>
    <n v="4"/>
    <n v="4"/>
    <n v="2"/>
    <n v="1"/>
    <n v="6"/>
    <n v="43.2"/>
    <x v="2"/>
    <x v="960"/>
    <n v="11"/>
    <x v="0"/>
    <x v="12"/>
  </r>
  <r>
    <n v="1009"/>
    <s v="Texas"/>
    <s v="78834"/>
    <d v="2015-06-13T22:11:37"/>
    <d v="2015-06-13T18:11:46"/>
    <n v="1"/>
    <n v="8"/>
    <n v="8"/>
    <n v="2"/>
    <n v="1"/>
    <n v="4"/>
    <n v="124.8"/>
    <x v="6"/>
    <x v="961"/>
    <n v="13"/>
    <x v="0"/>
    <x v="6"/>
  </r>
  <r>
    <n v="1010"/>
    <s v="Pennsylvania"/>
    <s v="19146"/>
    <d v="2015-01-22T10:00:55"/>
    <d v="2015-02-04T17:39:09"/>
    <n v="2"/>
    <n v="2"/>
    <n v="6"/>
    <n v="5"/>
    <n v="2"/>
    <n v="4"/>
    <n v="9"/>
    <x v="1"/>
    <x v="962"/>
    <n v="22"/>
    <x v="1"/>
    <x v="13"/>
  </r>
  <r>
    <n v="1011"/>
    <s v="Ohio"/>
    <s v="45230"/>
    <d v="2015-09-13T11:46:44"/>
    <d v="2015-09-13T11:46:48"/>
    <n v="1"/>
    <n v="2"/>
    <n v="2"/>
    <n v="2"/>
    <n v="1"/>
    <n v="1"/>
    <n v="56.32"/>
    <x v="5"/>
    <x v="963"/>
    <n v="13"/>
    <x v="2"/>
    <x v="3"/>
  </r>
  <r>
    <n v="1012"/>
    <s v="Ohio"/>
    <s v="45429"/>
    <d v="2015-02-08T20:07:53"/>
    <d v="2015-02-08T20:07:58"/>
    <n v="1"/>
    <n v="0"/>
    <n v="4"/>
    <n v="1"/>
    <n v="1"/>
    <n v="2"/>
    <n v="18"/>
    <x v="3"/>
    <x v="964"/>
    <n v="8"/>
    <x v="2"/>
    <x v="5"/>
  </r>
  <r>
    <n v="1013"/>
    <s v="Florida"/>
    <s v="34108"/>
    <d v="2015-06-26T16:54:52"/>
    <d v="2015-06-26T16:54:56"/>
    <n v="1"/>
    <n v="2"/>
    <n v="6"/>
    <n v="2"/>
    <n v="1"/>
    <n v="3"/>
    <n v="20.25"/>
    <x v="6"/>
    <x v="965"/>
    <n v="26"/>
    <x v="4"/>
    <x v="4"/>
  </r>
  <r>
    <n v="1014"/>
    <s v="Ohio"/>
    <s v="45208"/>
    <d v="2015-01-31T20:21:25"/>
    <d v="2015-01-31T20:21:31"/>
    <n v="1"/>
    <n v="0"/>
    <n v="4"/>
    <n v="2"/>
    <n v="1"/>
    <n v="2"/>
    <n v="18"/>
    <x v="1"/>
    <x v="966"/>
    <n v="31"/>
    <x v="0"/>
    <x v="5"/>
  </r>
  <r>
    <n v="1015"/>
    <s v="New York"/>
    <s v="10014"/>
    <d v="2015-02-25T09:34:35"/>
    <d v="2015-02-25T09:34:39"/>
    <n v="1"/>
    <n v="0"/>
    <n v="2"/>
    <n v="1"/>
    <n v="1"/>
    <n v="2"/>
    <n v="57.6"/>
    <x v="3"/>
    <x v="967"/>
    <n v="25"/>
    <x v="6"/>
    <x v="15"/>
  </r>
  <r>
    <n v="1016"/>
    <s v="Virginia"/>
    <s v="22947"/>
    <d v="2015-05-20T10:24:04"/>
    <d v="2015-05-20T10:24:07"/>
    <n v="1"/>
    <n v="0"/>
    <n v="2"/>
    <n v="2"/>
    <n v="1"/>
    <n v="1"/>
    <n v="27"/>
    <x v="4"/>
    <x v="968"/>
    <n v="20"/>
    <x v="6"/>
    <x v="13"/>
  </r>
  <r>
    <n v="1017"/>
    <s v="California"/>
    <s v="90404"/>
    <d v="2015-08-12T12:36:05"/>
    <d v="2015-08-12T12:36:08"/>
    <n v="1"/>
    <n v="2"/>
    <n v="6"/>
    <n v="2"/>
    <n v="1"/>
    <n v="2"/>
    <n v="16.5"/>
    <x v="0"/>
    <x v="969"/>
    <n v="12"/>
    <x v="6"/>
    <x v="7"/>
  </r>
  <r>
    <n v="1018"/>
    <s v="California"/>
    <s v="91711"/>
    <d v="2015-09-17T17:16:43"/>
    <d v="2015-09-17T13:16:52"/>
    <n v="1"/>
    <n v="2"/>
    <n v="4"/>
    <n v="2"/>
    <n v="1"/>
    <n v="4"/>
    <n v="56.32"/>
    <x v="5"/>
    <x v="970"/>
    <n v="17"/>
    <x v="1"/>
    <x v="17"/>
  </r>
  <r>
    <n v="1019"/>
    <s v="Oregon"/>
    <s v="97034"/>
    <d v="2015-08-02T01:47:10"/>
    <d v="2015-08-01T21:47:15"/>
    <n v="1"/>
    <n v="2"/>
    <n v="2"/>
    <n v="2"/>
    <n v="1"/>
    <n v="1"/>
    <n v="29.92"/>
    <x v="0"/>
    <x v="971"/>
    <n v="1"/>
    <x v="0"/>
    <x v="2"/>
  </r>
  <r>
    <n v="1020"/>
    <m/>
    <m/>
    <d v="2015-08-24T23:43:34"/>
    <d v="2015-08-24T19:43:37"/>
    <n v="1"/>
    <n v="20"/>
    <n v="13"/>
    <n v="5"/>
    <n v="1"/>
    <n v="3"/>
    <n v="133.65"/>
    <x v="0"/>
    <x v="972"/>
    <n v="24"/>
    <x v="3"/>
    <x v="5"/>
  </r>
  <r>
    <n v="1021"/>
    <s v="Minnesota"/>
    <s v="55904"/>
    <d v="2015-01-02T19:17:17"/>
    <d v="2015-01-22T23:57:10"/>
    <n v="8"/>
    <n v="2"/>
    <n v="10"/>
    <n v="6"/>
    <n v="1"/>
    <n v="4"/>
    <n v="28.8"/>
    <x v="1"/>
    <x v="973"/>
    <n v="2"/>
    <x v="4"/>
    <x v="12"/>
  </r>
  <r>
    <n v="1022"/>
    <s v="New York"/>
    <s v="12203"/>
    <d v="2015-01-18T11:12:33"/>
    <d v="2015-01-18T11:12:37"/>
    <n v="1"/>
    <n v="0"/>
    <n v="10"/>
    <n v="4"/>
    <n v="1"/>
    <n v="4"/>
    <n v="28.8"/>
    <x v="1"/>
    <x v="974"/>
    <n v="18"/>
    <x v="2"/>
    <x v="3"/>
  </r>
  <r>
    <n v="1023"/>
    <s v="Minnesota"/>
    <s v="55318"/>
    <d v="2015-01-30T15:02:49"/>
    <d v="2015-02-03T23:54:37"/>
    <n v="6"/>
    <n v="2"/>
    <n v="12"/>
    <n v="7"/>
    <n v="1"/>
    <n v="5"/>
    <n v="57.6"/>
    <x v="1"/>
    <x v="975"/>
    <n v="30"/>
    <x v="4"/>
    <x v="10"/>
  </r>
  <r>
    <n v="1024"/>
    <s v="California"/>
    <s v="94941"/>
    <d v="2015-06-04T15:41:27"/>
    <d v="2015-06-04T11:41:33"/>
    <n v="1"/>
    <n v="0"/>
    <n v="2"/>
    <n v="2"/>
    <n v="1"/>
    <n v="1"/>
    <n v="27"/>
    <x v="6"/>
    <x v="976"/>
    <n v="4"/>
    <x v="1"/>
    <x v="3"/>
  </r>
  <r>
    <n v="1025"/>
    <s v="California"/>
    <s v="94401"/>
    <d v="2015-08-02T19:22:48"/>
    <d v="2015-08-02T19:22:53"/>
    <n v="1"/>
    <n v="2"/>
    <n v="8"/>
    <n v="2"/>
    <n v="1"/>
    <n v="4"/>
    <n v="35.200000000000003"/>
    <x v="0"/>
    <x v="977"/>
    <n v="2"/>
    <x v="2"/>
    <x v="12"/>
  </r>
  <r>
    <n v="1026"/>
    <s v="Nevada"/>
    <s v="89149"/>
    <d v="2015-06-29T19:34:06"/>
    <d v="2015-06-29T15:34:11"/>
    <n v="1"/>
    <n v="6"/>
    <n v="12"/>
    <n v="4"/>
    <n v="1"/>
    <n v="4"/>
    <n v="28.8"/>
    <x v="6"/>
    <x v="978"/>
    <n v="29"/>
    <x v="3"/>
    <x v="10"/>
  </r>
  <r>
    <n v="1027"/>
    <s v="New York"/>
    <s v="12944"/>
    <d v="2015-06-27T12:07:04"/>
    <d v="2015-06-27T12:07:08"/>
    <n v="1"/>
    <n v="10"/>
    <n v="8"/>
    <n v="4"/>
    <n v="1"/>
    <n v="2"/>
    <n v="57.6"/>
    <x v="6"/>
    <x v="979"/>
    <n v="27"/>
    <x v="0"/>
    <x v="7"/>
  </r>
  <r>
    <n v="1028"/>
    <m/>
    <m/>
    <d v="2015-03-14T19:54:25"/>
    <d v="2015-03-14T19:54:30"/>
    <n v="1"/>
    <n v="4"/>
    <n v="6"/>
    <n v="6"/>
    <n v="1"/>
    <n v="2"/>
    <n v="18"/>
    <x v="8"/>
    <x v="980"/>
    <n v="14"/>
    <x v="0"/>
    <x v="5"/>
  </r>
  <r>
    <n v="1029"/>
    <s v="Florida"/>
    <s v="33510"/>
    <d v="2015-09-03T15:21:54"/>
    <d v="2015-09-03T11:21:58"/>
    <n v="1"/>
    <n v="16"/>
    <n v="6"/>
    <n v="2"/>
    <n v="1"/>
    <n v="1"/>
    <n v="27.2"/>
    <x v="5"/>
    <x v="981"/>
    <n v="3"/>
    <x v="1"/>
    <x v="3"/>
  </r>
  <r>
    <n v="1030"/>
    <s v="Texas"/>
    <s v="75248"/>
    <d v="2015-01-20T21:35:25"/>
    <d v="2015-01-20T21:35:28"/>
    <n v="1"/>
    <n v="0"/>
    <n v="8"/>
    <n v="2"/>
    <n v="1"/>
    <n v="4"/>
    <n v="28.8"/>
    <x v="1"/>
    <x v="982"/>
    <n v="20"/>
    <x v="5"/>
    <x v="2"/>
  </r>
  <r>
    <n v="1031"/>
    <s v="Virginia"/>
    <s v="23322"/>
    <d v="2015-06-23T08:56:31"/>
    <d v="2015-06-23T08:56:34"/>
    <n v="1"/>
    <n v="4"/>
    <n v="2"/>
    <n v="2"/>
    <n v="1"/>
    <n v="1"/>
    <n v="28.8"/>
    <x v="6"/>
    <x v="983"/>
    <n v="23"/>
    <x v="5"/>
    <x v="18"/>
  </r>
  <r>
    <n v="1032"/>
    <s v="North Carolina"/>
    <s v="27713"/>
    <d v="2015-06-06T13:29:08"/>
    <d v="2015-06-06T09:29:14"/>
    <n v="1"/>
    <n v="0"/>
    <n v="2"/>
    <n v="2"/>
    <n v="1"/>
    <n v="1"/>
    <n v="28.8"/>
    <x v="6"/>
    <x v="984"/>
    <n v="6"/>
    <x v="0"/>
    <x v="15"/>
  </r>
  <r>
    <n v="1033"/>
    <s v="Michigan"/>
    <s v="49417"/>
    <d v="2015-08-26T13:22:20"/>
    <d v="2015-08-26T13:22:23"/>
    <n v="1"/>
    <n v="2"/>
    <n v="2"/>
    <n v="4"/>
    <n v="1"/>
    <n v="1"/>
    <n v="29.92"/>
    <x v="0"/>
    <x v="985"/>
    <n v="26"/>
    <x v="6"/>
    <x v="17"/>
  </r>
  <r>
    <n v="1035"/>
    <s v="California"/>
    <s v="92625"/>
    <d v="2015-05-23T19:31:48"/>
    <d v="2015-05-23T19:31:51"/>
    <n v="1"/>
    <n v="2"/>
    <n v="2"/>
    <n v="2"/>
    <n v="1"/>
    <n v="2"/>
    <n v="18"/>
    <x v="4"/>
    <x v="986"/>
    <n v="23"/>
    <x v="0"/>
    <x v="12"/>
  </r>
  <r>
    <n v="1036"/>
    <s v="Pennsylvania"/>
    <s v="15905"/>
    <d v="2015-02-18T11:11:45"/>
    <d v="2015-02-18T11:11:50"/>
    <n v="1"/>
    <n v="2"/>
    <n v="10"/>
    <n v="1"/>
    <n v="1"/>
    <n v="4"/>
    <n v="28.8"/>
    <x v="3"/>
    <x v="987"/>
    <n v="18"/>
    <x v="6"/>
    <x v="3"/>
  </r>
  <r>
    <n v="1037"/>
    <s v="Washington"/>
    <s v="98802"/>
    <d v="2015-03-25T17:45:36"/>
    <d v="2015-03-25T17:45:40"/>
    <n v="1"/>
    <n v="2"/>
    <n v="20"/>
    <n v="3"/>
    <n v="1"/>
    <n v="6"/>
    <n v="43.2"/>
    <x v="8"/>
    <x v="988"/>
    <n v="25"/>
    <x v="6"/>
    <x v="8"/>
  </r>
  <r>
    <n v="1038"/>
    <s v="Alaska"/>
    <s v="99518"/>
    <d v="2015-01-20T11:34:08"/>
    <d v="2015-01-20T11:34:14"/>
    <n v="1"/>
    <n v="2"/>
    <n v="10"/>
    <n v="2"/>
    <n v="1"/>
    <n v="5"/>
    <n v="36"/>
    <x v="1"/>
    <x v="989"/>
    <n v="20"/>
    <x v="5"/>
    <x v="3"/>
  </r>
  <r>
    <n v="1039"/>
    <m/>
    <m/>
    <d v="2014-12-12T16:51:30"/>
    <d v="2015-06-15T09:34:13"/>
    <n v="3"/>
    <n v="1"/>
    <n v="3"/>
    <n v="3"/>
    <n v="1"/>
    <n v="2"/>
    <n v="9"/>
    <x v="6"/>
    <x v="990"/>
    <n v="15"/>
    <x v="3"/>
    <x v="15"/>
  </r>
  <r>
    <n v="1040"/>
    <m/>
    <m/>
    <d v="2015-03-10T14:29:53"/>
    <d v="2015-03-10T14:30:11"/>
    <n v="1"/>
    <n v="0"/>
    <n v="6"/>
    <n v="1"/>
    <n v="1"/>
    <n v="3"/>
    <n v="21.6"/>
    <x v="8"/>
    <x v="991"/>
    <n v="10"/>
    <x v="5"/>
    <x v="9"/>
  </r>
  <r>
    <n v="1041"/>
    <s v="California"/>
    <s v="92705"/>
    <d v="2015-07-27T16:43:25"/>
    <d v="2015-07-27T16:43:29"/>
    <n v="1"/>
    <n v="6"/>
    <n v="8"/>
    <n v="5"/>
    <n v="1"/>
    <n v="3"/>
    <n v="50.24"/>
    <x v="2"/>
    <x v="992"/>
    <n v="27"/>
    <x v="3"/>
    <x v="4"/>
  </r>
  <r>
    <n v="1042"/>
    <s v="Oklahoma"/>
    <s v="73008"/>
    <d v="2015-07-13T13:06:18"/>
    <d v="2015-07-13T09:06:23"/>
    <n v="1"/>
    <n v="4"/>
    <n v="4"/>
    <n v="2"/>
    <n v="1"/>
    <n v="2"/>
    <n v="57.6"/>
    <x v="2"/>
    <x v="993"/>
    <n v="13"/>
    <x v="3"/>
    <x v="15"/>
  </r>
  <r>
    <n v="1043"/>
    <s v="Vermont"/>
    <s v="05655"/>
    <d v="2015-04-01T14:23:29"/>
    <d v="2015-04-01T14:23:35"/>
    <n v="1"/>
    <n v="2"/>
    <n v="6"/>
    <n v="1"/>
    <n v="1"/>
    <n v="3"/>
    <n v="27"/>
    <x v="7"/>
    <x v="994"/>
    <n v="1"/>
    <x v="6"/>
    <x v="9"/>
  </r>
  <r>
    <n v="1044"/>
    <s v="Virginia"/>
    <s v="22611"/>
    <d v="2015-03-19T20:34:18"/>
    <d v="2015-03-19T20:34:30"/>
    <n v="1"/>
    <n v="0"/>
    <n v="6"/>
    <n v="1"/>
    <n v="1"/>
    <n v="3"/>
    <n v="21.6"/>
    <x v="8"/>
    <x v="995"/>
    <n v="19"/>
    <x v="1"/>
    <x v="5"/>
  </r>
  <r>
    <n v="1045"/>
    <s v="California"/>
    <s v="91502"/>
    <d v="2015-08-21T00:23:47"/>
    <d v="2015-08-20T20:23:51"/>
    <n v="1"/>
    <n v="2"/>
    <n v="2"/>
    <n v="2"/>
    <n v="1"/>
    <n v="1"/>
    <n v="56.32"/>
    <x v="0"/>
    <x v="996"/>
    <n v="20"/>
    <x v="1"/>
    <x v="5"/>
  </r>
  <r>
    <n v="1047"/>
    <m/>
    <m/>
    <d v="2015-04-21T15:59:43"/>
    <d v="2015-04-22T20:32:39"/>
    <n v="2"/>
    <n v="0"/>
    <n v="10"/>
    <n v="2"/>
    <n v="1"/>
    <n v="3"/>
    <n v="43.2"/>
    <x v="7"/>
    <x v="997"/>
    <n v="21"/>
    <x v="5"/>
    <x v="4"/>
  </r>
  <r>
    <n v="1048"/>
    <s v="Kentucky"/>
    <s v="40353"/>
    <d v="2015-03-19T15:49:57"/>
    <d v="2015-03-19T15:50:00"/>
    <n v="1"/>
    <n v="0"/>
    <n v="2"/>
    <n v="2"/>
    <n v="1"/>
    <n v="1"/>
    <n v="36"/>
    <x v="8"/>
    <x v="998"/>
    <n v="19"/>
    <x v="1"/>
    <x v="10"/>
  </r>
  <r>
    <n v="1049"/>
    <s v="Missouri"/>
    <s v="63130"/>
    <d v="2015-04-01T09:27:06"/>
    <d v="2015-04-01T09:27:10"/>
    <n v="1"/>
    <n v="2"/>
    <n v="2"/>
    <n v="2"/>
    <n v="1"/>
    <n v="1"/>
    <n v="28.8"/>
    <x v="7"/>
    <x v="999"/>
    <n v="1"/>
    <x v="6"/>
    <x v="15"/>
  </r>
  <r>
    <n v="1051"/>
    <m/>
    <m/>
    <d v="2015-01-11T13:49:31"/>
    <d v="2015-01-26T10:35:09"/>
    <n v="4"/>
    <n v="4"/>
    <n v="11"/>
    <n v="3"/>
    <n v="1"/>
    <n v="2"/>
    <n v="72"/>
    <x v="1"/>
    <x v="1000"/>
    <n v="26"/>
    <x v="3"/>
    <x v="13"/>
  </r>
  <r>
    <n v="1052"/>
    <s v="North Carolina"/>
    <s v="27517"/>
    <d v="2015-09-02T12:27:53"/>
    <d v="2015-09-02T12:27:57"/>
    <n v="1"/>
    <n v="2"/>
    <n v="2"/>
    <n v="4"/>
    <n v="1"/>
    <n v="1"/>
    <n v="29.92"/>
    <x v="5"/>
    <x v="1001"/>
    <n v="2"/>
    <x v="6"/>
    <x v="7"/>
  </r>
  <r>
    <n v="1053"/>
    <s v="Kansas"/>
    <s v="66604"/>
    <d v="2015-03-17T13:51:24"/>
    <d v="2015-03-17T13:51:27"/>
    <n v="1"/>
    <n v="4"/>
    <n v="2"/>
    <n v="2"/>
    <n v="1"/>
    <n v="1"/>
    <n v="36"/>
    <x v="8"/>
    <x v="1002"/>
    <n v="17"/>
    <x v="5"/>
    <x v="17"/>
  </r>
  <r>
    <n v="1054"/>
    <s v="New York"/>
    <s v="10301"/>
    <d v="2015-06-08T00:14:55"/>
    <d v="2015-06-07T20:15:00"/>
    <n v="1"/>
    <n v="0"/>
    <n v="2"/>
    <n v="2"/>
    <n v="1"/>
    <n v="1"/>
    <n v="27"/>
    <x v="6"/>
    <x v="1003"/>
    <n v="7"/>
    <x v="2"/>
    <x v="5"/>
  </r>
  <r>
    <n v="1055"/>
    <s v="Iowa"/>
    <s v="52658"/>
    <d v="2015-05-29T20:58:10"/>
    <d v="2015-05-29T20:58:13"/>
    <n v="1"/>
    <n v="0"/>
    <n v="4"/>
    <n v="2"/>
    <n v="1"/>
    <n v="2"/>
    <n v="14.4"/>
    <x v="4"/>
    <x v="1004"/>
    <n v="29"/>
    <x v="4"/>
    <x v="5"/>
  </r>
  <r>
    <n v="1056"/>
    <s v="Minnesota"/>
    <s v="55807"/>
    <d v="2015-05-04T16:22:34"/>
    <d v="2015-05-04T19:23:14"/>
    <n v="3"/>
    <n v="0"/>
    <n v="6"/>
    <n v="2"/>
    <n v="1"/>
    <n v="3"/>
    <n v="27"/>
    <x v="4"/>
    <x v="1005"/>
    <n v="4"/>
    <x v="3"/>
    <x v="4"/>
  </r>
  <r>
    <n v="1057"/>
    <s v="Maryland"/>
    <s v="21042"/>
    <d v="2015-05-21T14:00:56"/>
    <d v="2015-05-21T14:00:58"/>
    <n v="1"/>
    <n v="2"/>
    <n v="6"/>
    <n v="2"/>
    <n v="1"/>
    <n v="3"/>
    <n v="21.6"/>
    <x v="4"/>
    <x v="1006"/>
    <n v="21"/>
    <x v="1"/>
    <x v="9"/>
  </r>
  <r>
    <n v="1058"/>
    <s v="Virginia"/>
    <s v="24018"/>
    <d v="2015-02-16T18:23:39"/>
    <d v="2015-02-16T18:23:47"/>
    <n v="1"/>
    <n v="0"/>
    <n v="16"/>
    <n v="1"/>
    <n v="1"/>
    <n v="7"/>
    <n v="49.99"/>
    <x v="3"/>
    <x v="1007"/>
    <n v="16"/>
    <x v="3"/>
    <x v="6"/>
  </r>
  <r>
    <n v="1059"/>
    <m/>
    <m/>
    <d v="2015-01-29T11:10:47"/>
    <d v="2015-01-29T11:14:37"/>
    <n v="2"/>
    <n v="2"/>
    <n v="2"/>
    <n v="2"/>
    <n v="1"/>
    <n v="2"/>
    <n v="9"/>
    <x v="1"/>
    <x v="1008"/>
    <n v="29"/>
    <x v="1"/>
    <x v="7"/>
  </r>
  <r>
    <n v="1060"/>
    <s v="Nebraska"/>
    <s v="68022"/>
    <d v="2015-08-27T08:19:09"/>
    <d v="2015-08-27T08:19:13"/>
    <n v="1"/>
    <n v="2"/>
    <n v="8"/>
    <n v="2"/>
    <n v="1"/>
    <n v="4"/>
    <n v="44"/>
    <x v="0"/>
    <x v="1009"/>
    <n v="27"/>
    <x v="1"/>
    <x v="18"/>
  </r>
  <r>
    <n v="1061"/>
    <s v="Wisconsin"/>
    <s v="53042"/>
    <d v="2015-08-11T15:35:37"/>
    <d v="2015-08-11T11:35:38"/>
    <n v="1"/>
    <n v="6"/>
    <n v="18"/>
    <n v="7"/>
    <n v="2"/>
    <n v="6"/>
    <n v="33"/>
    <x v="0"/>
    <x v="1010"/>
    <n v="11"/>
    <x v="5"/>
    <x v="3"/>
  </r>
  <r>
    <n v="1062"/>
    <s v="Maryland"/>
    <s v="20817"/>
    <d v="2015-02-04T18:24:48"/>
    <d v="2015-02-05T22:49:00"/>
    <n v="3"/>
    <n v="8"/>
    <n v="12"/>
    <n v="2"/>
    <n v="1"/>
    <n v="4"/>
    <n v="30.6"/>
    <x v="3"/>
    <x v="1011"/>
    <n v="4"/>
    <x v="6"/>
    <x v="6"/>
  </r>
  <r>
    <n v="1063"/>
    <s v="Florida"/>
    <s v="34711"/>
    <d v="2015-03-20T20:43:34"/>
    <d v="2015-03-20T20:43:41"/>
    <n v="1"/>
    <n v="0"/>
    <n v="22"/>
    <n v="1"/>
    <n v="1"/>
    <n v="6"/>
    <n v="43.2"/>
    <x v="8"/>
    <x v="1012"/>
    <n v="20"/>
    <x v="4"/>
    <x v="5"/>
  </r>
  <r>
    <n v="1064"/>
    <s v="Pennsylvania"/>
    <s v="17777"/>
    <d v="2015-06-11T07:56:27"/>
    <d v="2015-06-11T07:56:30"/>
    <n v="1"/>
    <n v="2"/>
    <n v="4"/>
    <n v="2"/>
    <n v="1"/>
    <n v="4"/>
    <n v="28.8"/>
    <x v="6"/>
    <x v="1013"/>
    <n v="11"/>
    <x v="1"/>
    <x v="16"/>
  </r>
  <r>
    <n v="1066"/>
    <s v="Oregon"/>
    <s v="97305"/>
    <d v="2015-03-22T23:02:41"/>
    <d v="2015-03-22T23:02:47"/>
    <n v="1"/>
    <n v="0"/>
    <n v="6"/>
    <n v="1"/>
    <n v="1"/>
    <n v="3"/>
    <n v="27"/>
    <x v="8"/>
    <x v="1014"/>
    <n v="22"/>
    <x v="2"/>
    <x v="0"/>
  </r>
  <r>
    <n v="1067"/>
    <s v="Florida"/>
    <s v="32439"/>
    <d v="2015-01-12T07:49:36"/>
    <d v="2015-01-12T07:49:41"/>
    <n v="1"/>
    <n v="6"/>
    <n v="2"/>
    <n v="2"/>
    <n v="1"/>
    <n v="1"/>
    <n v="57.6"/>
    <x v="1"/>
    <x v="1015"/>
    <n v="12"/>
    <x v="3"/>
    <x v="16"/>
  </r>
  <r>
    <n v="1068"/>
    <s v="New Jersey"/>
    <s v="07853"/>
    <d v="2015-02-08T10:51:23"/>
    <d v="2015-02-08T10:51:28"/>
    <n v="1"/>
    <n v="0"/>
    <n v="2"/>
    <n v="1"/>
    <n v="1"/>
    <n v="4"/>
    <n v="30.6"/>
    <x v="3"/>
    <x v="1016"/>
    <n v="8"/>
    <x v="2"/>
    <x v="13"/>
  </r>
  <r>
    <n v="1069"/>
    <s v="New York"/>
    <s v="10018"/>
    <d v="2015-05-22T16:52:52"/>
    <d v="2015-05-22T16:52:56"/>
    <n v="1"/>
    <n v="2"/>
    <n v="4"/>
    <n v="4"/>
    <n v="1"/>
    <n v="2"/>
    <n v="57.6"/>
    <x v="4"/>
    <x v="1017"/>
    <n v="22"/>
    <x v="4"/>
    <x v="4"/>
  </r>
  <r>
    <n v="1070"/>
    <s v="Tennessee"/>
    <s v="37716"/>
    <d v="2015-07-24T18:29:37"/>
    <d v="2015-07-24T14:29:41"/>
    <n v="1"/>
    <n v="2"/>
    <n v="2"/>
    <n v="2"/>
    <n v="1"/>
    <n v="1"/>
    <n v="32.64"/>
    <x v="2"/>
    <x v="1018"/>
    <n v="24"/>
    <x v="4"/>
    <x v="9"/>
  </r>
  <r>
    <n v="1071"/>
    <m/>
    <m/>
    <d v="2015-06-08T14:56:46"/>
    <d v="2015-06-08T10:56:48"/>
    <n v="1"/>
    <n v="2"/>
    <n v="2"/>
    <n v="2"/>
    <n v="1"/>
    <n v="2"/>
    <n v="18"/>
    <x v="6"/>
    <x v="1019"/>
    <n v="8"/>
    <x v="3"/>
    <x v="3"/>
  </r>
  <r>
    <n v="1072"/>
    <s v="California"/>
    <s v="94568"/>
    <d v="2015-04-07T17:22:58"/>
    <d v="2015-04-07T17:23:03"/>
    <n v="1"/>
    <n v="0"/>
    <n v="2"/>
    <n v="1"/>
    <n v="1"/>
    <n v="2"/>
    <n v="9"/>
    <x v="7"/>
    <x v="1020"/>
    <n v="7"/>
    <x v="5"/>
    <x v="8"/>
  </r>
  <r>
    <n v="1073"/>
    <m/>
    <m/>
    <d v="2014-12-15T23:51:36"/>
    <d v="2015-04-07T16:30:14"/>
    <n v="3"/>
    <n v="2"/>
    <n v="11"/>
    <n v="13"/>
    <n v="1"/>
    <n v="6"/>
    <n v="43.2"/>
    <x v="7"/>
    <x v="1021"/>
    <n v="7"/>
    <x v="5"/>
    <x v="4"/>
  </r>
  <r>
    <n v="1074"/>
    <s v="District of Columbia"/>
    <s v="20016"/>
    <d v="2015-01-03T07:46:27"/>
    <d v="2015-01-03T07:46:32"/>
    <n v="1"/>
    <n v="0"/>
    <n v="4"/>
    <n v="2"/>
    <n v="1"/>
    <n v="2"/>
    <n v="8"/>
    <x v="1"/>
    <x v="1022"/>
    <n v="3"/>
    <x v="0"/>
    <x v="16"/>
  </r>
  <r>
    <n v="1075"/>
    <m/>
    <m/>
    <d v="2015-01-12T15:27:01"/>
    <d v="2015-01-12T17:27:12"/>
    <n v="2"/>
    <n v="0"/>
    <n v="15"/>
    <n v="8"/>
    <n v="1"/>
    <n v="5"/>
    <n v="36"/>
    <x v="1"/>
    <x v="1023"/>
    <n v="12"/>
    <x v="3"/>
    <x v="8"/>
  </r>
  <r>
    <n v="1076"/>
    <s v="Minnesota"/>
    <s v="55317"/>
    <d v="2015-06-26T16:16:53"/>
    <d v="2015-06-26T16:16:58"/>
    <n v="1"/>
    <n v="14"/>
    <n v="12"/>
    <n v="2"/>
    <n v="1"/>
    <n v="10"/>
    <n v="76.8"/>
    <x v="6"/>
    <x v="1024"/>
    <n v="26"/>
    <x v="4"/>
    <x v="4"/>
  </r>
  <r>
    <n v="1077"/>
    <s v="Washington"/>
    <s v="98837"/>
    <d v="2015-02-09T20:19:40"/>
    <d v="2015-02-09T20:19:46"/>
    <n v="1"/>
    <n v="4"/>
    <n v="10"/>
    <n v="1"/>
    <n v="1"/>
    <n v="4"/>
    <n v="30.6"/>
    <x v="3"/>
    <x v="1025"/>
    <n v="9"/>
    <x v="3"/>
    <x v="5"/>
  </r>
  <r>
    <n v="1078"/>
    <s v="Maine"/>
    <s v="04011"/>
    <d v="2015-07-22T07:54:30"/>
    <d v="2015-07-22T07:54:39"/>
    <n v="1"/>
    <n v="4"/>
    <n v="2"/>
    <n v="2"/>
    <n v="1"/>
    <n v="1"/>
    <n v="28.05"/>
    <x v="2"/>
    <x v="1026"/>
    <n v="22"/>
    <x v="6"/>
    <x v="16"/>
  </r>
  <r>
    <n v="1079"/>
    <m/>
    <m/>
    <d v="2015-06-10T15:22:38"/>
    <d v="2015-06-10T11:22:40"/>
    <n v="1"/>
    <n v="0"/>
    <n v="2"/>
    <n v="1"/>
    <n v="1"/>
    <n v="2"/>
    <n v="18"/>
    <x v="6"/>
    <x v="1027"/>
    <n v="10"/>
    <x v="6"/>
    <x v="3"/>
  </r>
  <r>
    <n v="1080"/>
    <s v="Minnesota"/>
    <s v="56554"/>
    <d v="2015-07-14T21:25:38"/>
    <d v="2015-07-15T12:00:47"/>
    <n v="3"/>
    <n v="4"/>
    <n v="4"/>
    <n v="7"/>
    <n v="1"/>
    <n v="1"/>
    <n v="56.32"/>
    <x v="2"/>
    <x v="1028"/>
    <n v="14"/>
    <x v="5"/>
    <x v="8"/>
  </r>
  <r>
    <n v="1081"/>
    <s v="Washington"/>
    <s v="98321"/>
    <d v="2015-06-08T14:00:20"/>
    <d v="2015-06-08T14:00:50"/>
    <n v="1"/>
    <n v="0"/>
    <n v="2"/>
    <n v="2"/>
    <n v="1"/>
    <n v="1"/>
    <n v="9"/>
    <x v="6"/>
    <x v="1029"/>
    <n v="8"/>
    <x v="3"/>
    <x v="9"/>
  </r>
  <r>
    <n v="1082"/>
    <s v="New York"/>
    <s v="14845"/>
    <d v="2015-05-21T10:16:59"/>
    <d v="2015-05-21T10:17:02"/>
    <n v="1"/>
    <n v="2"/>
    <n v="8"/>
    <n v="3"/>
    <n v="1"/>
    <n v="4"/>
    <n v="28.8"/>
    <x v="4"/>
    <x v="1030"/>
    <n v="21"/>
    <x v="1"/>
    <x v="13"/>
  </r>
  <r>
    <n v="1083"/>
    <s v="Michigan"/>
    <s v="48867"/>
    <d v="2015-07-28T15:12:13"/>
    <d v="2015-07-28T15:12:16"/>
    <n v="1"/>
    <n v="8"/>
    <n v="4"/>
    <n v="2"/>
    <n v="1"/>
    <n v="2"/>
    <n v="16"/>
    <x v="2"/>
    <x v="1031"/>
    <n v="28"/>
    <x v="5"/>
    <x v="10"/>
  </r>
  <r>
    <n v="1084"/>
    <s v="New York"/>
    <s v="14216"/>
    <d v="2015-03-16T09:04:32"/>
    <d v="2015-03-16T09:04:36"/>
    <n v="1"/>
    <n v="4"/>
    <n v="2"/>
    <n v="1"/>
    <n v="1"/>
    <n v="2"/>
    <n v="18"/>
    <x v="8"/>
    <x v="1032"/>
    <n v="16"/>
    <x v="3"/>
    <x v="15"/>
  </r>
  <r>
    <n v="1085"/>
    <s v="Maryland"/>
    <s v="21773"/>
    <d v="2015-01-10T17:27:04"/>
    <d v="2015-01-10T17:27:07"/>
    <n v="1"/>
    <n v="2"/>
    <n v="8"/>
    <n v="2"/>
    <n v="1"/>
    <n v="4"/>
    <n v="36"/>
    <x v="1"/>
    <x v="1033"/>
    <n v="10"/>
    <x v="0"/>
    <x v="8"/>
  </r>
  <r>
    <n v="1086"/>
    <s v="Texas"/>
    <s v="77578"/>
    <d v="2015-07-16T21:33:35"/>
    <d v="2015-07-16T17:33:41"/>
    <n v="1"/>
    <n v="10"/>
    <n v="10"/>
    <n v="2"/>
    <n v="1"/>
    <n v="5"/>
    <n v="186.88"/>
    <x v="2"/>
    <x v="1034"/>
    <n v="16"/>
    <x v="1"/>
    <x v="8"/>
  </r>
  <r>
    <n v="1087"/>
    <s v="Kentucky"/>
    <s v="40057"/>
    <d v="2015-09-02T11:36:31"/>
    <d v="2015-09-02T07:36:37"/>
    <n v="1"/>
    <n v="2"/>
    <n v="2"/>
    <n v="2"/>
    <n v="1"/>
    <n v="1"/>
    <n v="29.92"/>
    <x v="5"/>
    <x v="1035"/>
    <n v="2"/>
    <x v="6"/>
    <x v="16"/>
  </r>
  <r>
    <n v="1088"/>
    <s v="Iowa"/>
    <s v="51334"/>
    <d v="2015-07-13T21:54:03"/>
    <d v="2015-07-13T21:54:07"/>
    <n v="1"/>
    <n v="2"/>
    <n v="8"/>
    <n v="4"/>
    <n v="1"/>
    <n v="4"/>
    <n v="36"/>
    <x v="2"/>
    <x v="1036"/>
    <n v="13"/>
    <x v="3"/>
    <x v="2"/>
  </r>
  <r>
    <n v="1089"/>
    <s v="Massachusetts"/>
    <s v="02190"/>
    <d v="2015-09-01T20:40:03"/>
    <d v="2015-09-01T20:40:06"/>
    <n v="1"/>
    <n v="2"/>
    <n v="4"/>
    <n v="2"/>
    <n v="1"/>
    <n v="2"/>
    <n v="59.84"/>
    <x v="5"/>
    <x v="1037"/>
    <n v="1"/>
    <x v="5"/>
    <x v="5"/>
  </r>
  <r>
    <n v="1090"/>
    <s v="Alabama"/>
    <s v="35756"/>
    <d v="2015-06-08T13:11:34"/>
    <d v="2015-06-08T13:11:38"/>
    <n v="1"/>
    <n v="0"/>
    <n v="2"/>
    <n v="2"/>
    <n v="1"/>
    <n v="1"/>
    <n v="36"/>
    <x v="6"/>
    <x v="1038"/>
    <n v="8"/>
    <x v="3"/>
    <x v="17"/>
  </r>
  <r>
    <n v="1091"/>
    <s v="New Jersey"/>
    <s v="07481"/>
    <d v="2015-03-14T08:50:56"/>
    <d v="2015-03-14T08:51:00"/>
    <n v="1"/>
    <n v="0"/>
    <n v="2"/>
    <n v="1"/>
    <n v="1"/>
    <n v="4"/>
    <n v="28.8"/>
    <x v="8"/>
    <x v="1039"/>
    <n v="14"/>
    <x v="0"/>
    <x v="18"/>
  </r>
  <r>
    <n v="1092"/>
    <s v="New York"/>
    <s v="10511"/>
    <d v="2015-03-21T16:15:31"/>
    <d v="2015-03-21T16:15:36"/>
    <n v="1"/>
    <n v="4"/>
    <n v="2"/>
    <n v="1"/>
    <n v="1"/>
    <n v="1"/>
    <n v="57.6"/>
    <x v="8"/>
    <x v="1040"/>
    <n v="21"/>
    <x v="0"/>
    <x v="4"/>
  </r>
  <r>
    <n v="1093"/>
    <s v="Minnesota"/>
    <s v="55369"/>
    <d v="2015-08-15T18:07:20"/>
    <d v="2015-08-18T12:21:39"/>
    <n v="3"/>
    <n v="2"/>
    <n v="3"/>
    <n v="8"/>
    <n v="1"/>
    <n v="1"/>
    <n v="37.4"/>
    <x v="0"/>
    <x v="1041"/>
    <n v="18"/>
    <x v="5"/>
    <x v="7"/>
  </r>
  <r>
    <n v="1094"/>
    <s v="Massachusetts"/>
    <s v="02081"/>
    <d v="2015-06-10T13:58:42"/>
    <d v="2015-06-10T13:58:48"/>
    <n v="1"/>
    <n v="12"/>
    <n v="20"/>
    <n v="7"/>
    <n v="1"/>
    <n v="4"/>
    <n v="28.8"/>
    <x v="6"/>
    <x v="1042"/>
    <n v="10"/>
    <x v="6"/>
    <x v="17"/>
  </r>
  <r>
    <n v="1095"/>
    <s v="Virginia"/>
    <s v="24018"/>
    <d v="2015-03-15T17:55:15"/>
    <d v="2015-03-15T17:55:20"/>
    <n v="1"/>
    <n v="2"/>
    <n v="6"/>
    <n v="1"/>
    <n v="1"/>
    <n v="2"/>
    <n v="14.4"/>
    <x v="8"/>
    <x v="1043"/>
    <n v="15"/>
    <x v="2"/>
    <x v="8"/>
  </r>
  <r>
    <n v="1096"/>
    <s v="California"/>
    <s v="90046"/>
    <d v="2015-01-14T17:59:42"/>
    <d v="2015-01-14T17:59:46"/>
    <n v="1"/>
    <n v="0"/>
    <n v="4"/>
    <n v="3"/>
    <n v="1"/>
    <n v="1"/>
    <n v="63"/>
    <x v="1"/>
    <x v="1044"/>
    <n v="14"/>
    <x v="6"/>
    <x v="8"/>
  </r>
  <r>
    <n v="1097"/>
    <s v="Alabama"/>
    <s v="35126"/>
    <d v="2015-09-05T04:35:33"/>
    <d v="2015-09-05T00:35:38"/>
    <n v="1"/>
    <n v="2"/>
    <n v="4"/>
    <n v="5"/>
    <n v="1"/>
    <n v="2"/>
    <n v="59.84"/>
    <x v="5"/>
    <x v="1045"/>
    <n v="5"/>
    <x v="0"/>
    <x v="14"/>
  </r>
  <r>
    <n v="1098"/>
    <s v="California"/>
    <s v="93555"/>
    <d v="2015-08-15T20:44:04"/>
    <d v="2015-08-15T20:44:07"/>
    <n v="1"/>
    <n v="2"/>
    <n v="2"/>
    <n v="2"/>
    <n v="1"/>
    <n v="1"/>
    <n v="28.05"/>
    <x v="0"/>
    <x v="1046"/>
    <n v="15"/>
    <x v="0"/>
    <x v="5"/>
  </r>
  <r>
    <n v="1099"/>
    <m/>
    <m/>
    <d v="2015-07-20T23:10:10"/>
    <d v="2015-07-20T19:10:12"/>
    <n v="1"/>
    <n v="0"/>
    <n v="2"/>
    <n v="2"/>
    <n v="1"/>
    <n v="1"/>
    <n v="29.92"/>
    <x v="2"/>
    <x v="1047"/>
    <n v="20"/>
    <x v="3"/>
    <x v="12"/>
  </r>
  <r>
    <n v="1100"/>
    <s v="New York"/>
    <s v="14617"/>
    <d v="2015-05-29T05:02:58"/>
    <d v="2015-05-29T05:03:02"/>
    <n v="1"/>
    <n v="2"/>
    <n v="2"/>
    <n v="3"/>
    <n v="1"/>
    <n v="1"/>
    <n v="28.8"/>
    <x v="4"/>
    <x v="1048"/>
    <n v="29"/>
    <x v="4"/>
    <x v="2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0">
  <r>
    <n v="1"/>
    <m/>
    <m/>
    <d v="2015-08-16T03:05:28"/>
    <d v="2015-08-15T23:05:30"/>
    <n v="1"/>
    <n v="2"/>
    <n v="4"/>
    <n v="6"/>
    <n v="1"/>
    <n v="1"/>
    <n v="56.32"/>
    <s v="Aug"/>
    <d v="2015-08-15T23:07:22"/>
    <x v="0"/>
    <n v="7"/>
    <n v="23"/>
    <m/>
  </r>
  <r>
    <n v="2"/>
    <s v="Georgia"/>
    <s v="30345"/>
    <d v="2015-01-22T22:28:27"/>
    <d v="2015-01-22T22:28:32"/>
    <n v="1"/>
    <n v="0"/>
    <n v="6"/>
    <n v="2"/>
    <n v="1"/>
    <n v="3"/>
    <n v="27"/>
    <s v="Jan"/>
    <d v="2015-01-22T22:28:29"/>
    <x v="1"/>
    <n v="5"/>
    <n v="22"/>
    <m/>
  </r>
  <r>
    <n v="3"/>
    <s v="Arkansas"/>
    <s v="72401"/>
    <d v="2015-07-06T01:39:49"/>
    <d v="2015-07-05T21:39:56"/>
    <n v="2"/>
    <n v="1"/>
    <n v="8"/>
    <n v="2"/>
    <n v="1"/>
    <n v="4"/>
    <n v="28.8"/>
    <s v="Jul"/>
    <d v="2015-07-05T21:39:50"/>
    <x v="2"/>
    <n v="1"/>
    <n v="21"/>
    <m/>
  </r>
  <r>
    <n v="4"/>
    <s v="Iowa"/>
    <s v="52172"/>
    <d v="2015-07-25T11:12:07"/>
    <d v="2015-07-25T11:12:10"/>
    <n v="1"/>
    <n v="4"/>
    <n v="6"/>
    <n v="15"/>
    <n v="1"/>
    <n v="1"/>
    <n v="28.05"/>
    <s v="Jul"/>
    <d v="2015-07-25T11:12:07"/>
    <x v="3"/>
    <n v="7"/>
    <n v="11"/>
    <m/>
  </r>
  <r>
    <n v="5"/>
    <s v="Iowa"/>
    <s v="50025"/>
    <d v="2015-02-28T16:58:43"/>
    <d v="2015-02-28T16:58:49"/>
    <n v="1"/>
    <n v="0"/>
    <n v="4"/>
    <n v="1"/>
    <n v="1"/>
    <n v="2"/>
    <n v="9"/>
    <s v="Feb"/>
    <d v="2015-02-28T16:58:44"/>
    <x v="4"/>
    <n v="7"/>
    <n v="16"/>
    <m/>
  </r>
  <r>
    <n v="6"/>
    <m/>
    <m/>
    <d v="2015-01-12T20:38:22"/>
    <d v="2015-01-12T20:38:27"/>
    <n v="1"/>
    <n v="0"/>
    <n v="4"/>
    <n v="3"/>
    <n v="1"/>
    <n v="2"/>
    <n v="9"/>
    <s v="Jan"/>
    <d v="2015-01-12T20:38:24"/>
    <x v="5"/>
    <n v="2"/>
    <n v="20"/>
    <m/>
  </r>
  <r>
    <n v="7"/>
    <s v="Virginia"/>
    <s v="24445"/>
    <d v="2015-05-01T21:52:09"/>
    <d v="2015-05-01T21:52:14"/>
    <n v="1"/>
    <n v="0"/>
    <n v="4"/>
    <n v="1"/>
    <n v="1"/>
    <n v="2"/>
    <n v="18"/>
    <s v="May"/>
    <d v="2015-05-01T21:52:10"/>
    <x v="6"/>
    <n v="6"/>
    <n v="21"/>
    <m/>
  </r>
  <r>
    <n v="8"/>
    <s v="Florida"/>
    <s v="33472"/>
    <d v="2015-09-01T18:10:32"/>
    <d v="2015-09-01T18:10:36"/>
    <n v="1"/>
    <n v="0"/>
    <n v="2"/>
    <n v="2"/>
    <n v="1"/>
    <n v="1"/>
    <n v="29.92"/>
    <s v="Sep"/>
    <d v="2015-09-01T18:10:32"/>
    <x v="6"/>
    <n v="3"/>
    <n v="18"/>
    <m/>
  </r>
  <r>
    <n v="9"/>
    <s v="District of Columbia"/>
    <s v="20009"/>
    <d v="2015-06-11T02:23:21"/>
    <d v="2015-06-10T22:23:27"/>
    <n v="1"/>
    <n v="2"/>
    <n v="14"/>
    <n v="2"/>
    <n v="1"/>
    <n v="7"/>
    <n v="51.75"/>
    <s v="Jun"/>
    <d v="2015-06-10T22:23:23"/>
    <x v="7"/>
    <n v="4"/>
    <n v="22"/>
    <m/>
  </r>
  <r>
    <n v="10"/>
    <s v="Michigan"/>
    <s v="48301"/>
    <d v="2015-06-17T12:50:10"/>
    <d v="2015-06-17T15:13:58"/>
    <n v="2"/>
    <n v="2"/>
    <n v="2"/>
    <n v="3"/>
    <n v="1"/>
    <n v="1"/>
    <n v="28.8"/>
    <s v="Jun"/>
    <d v="2015-06-17T12:50:11"/>
    <x v="8"/>
    <n v="4"/>
    <n v="12"/>
    <m/>
  </r>
  <r>
    <n v="11"/>
    <s v="Massachusetts"/>
    <s v="02476"/>
    <d v="2015-04-18T11:17:58"/>
    <d v="2015-04-18T11:18:21"/>
    <n v="1"/>
    <n v="2"/>
    <n v="8"/>
    <n v="3"/>
    <n v="1"/>
    <n v="3"/>
    <n v="21.6"/>
    <s v="Apr"/>
    <d v="2015-04-18T11:18:17"/>
    <x v="9"/>
    <n v="7"/>
    <n v="11"/>
    <m/>
  </r>
  <r>
    <n v="12"/>
    <s v="Georgia"/>
    <s v="30329"/>
    <d v="2015-06-23T21:10:53"/>
    <d v="2015-06-23T17:10:58"/>
    <n v="1"/>
    <n v="4"/>
    <n v="4"/>
    <n v="2"/>
    <n v="1"/>
    <n v="4"/>
    <n v="27"/>
    <s v="Jun"/>
    <d v="2015-06-23T17:10:55"/>
    <x v="10"/>
    <n v="3"/>
    <n v="17"/>
    <m/>
  </r>
  <r>
    <n v="13"/>
    <s v="Minnesota"/>
    <s v="55431"/>
    <d v="2015-03-24T16:28:12"/>
    <d v="2015-03-24T16:28:18"/>
    <n v="1"/>
    <n v="2"/>
    <n v="2"/>
    <n v="2"/>
    <n v="1"/>
    <n v="1"/>
    <n v="64.8"/>
    <s v="Mar"/>
    <d v="2015-03-24T16:33:18"/>
    <x v="11"/>
    <n v="3"/>
    <n v="16"/>
    <m/>
  </r>
  <r>
    <n v="15"/>
    <s v="New York"/>
    <s v="10007"/>
    <d v="2015-05-11T18:39:47"/>
    <d v="2015-05-12T13:13:45"/>
    <n v="5"/>
    <n v="4"/>
    <n v="6"/>
    <n v="2"/>
    <n v="1"/>
    <n v="3"/>
    <n v="27"/>
    <s v="May"/>
    <d v="2015-05-11T18:39:47"/>
    <x v="12"/>
    <n v="2"/>
    <n v="18"/>
    <m/>
  </r>
  <r>
    <n v="16"/>
    <s v="Nebraska"/>
    <s v="68128"/>
    <d v="2015-03-15T14:49:39"/>
    <d v="2015-03-15T14:49:44"/>
    <n v="1"/>
    <n v="1"/>
    <n v="8"/>
    <n v="1"/>
    <n v="1"/>
    <n v="6"/>
    <n v="43.2"/>
    <s v="Mar"/>
    <d v="2015-03-15T14:49:40"/>
    <x v="0"/>
    <n v="1"/>
    <n v="14"/>
    <m/>
  </r>
  <r>
    <n v="17"/>
    <s v="California"/>
    <s v="93460"/>
    <d v="2015-07-16T01:10:06"/>
    <d v="2015-07-15T21:10:14"/>
    <n v="1"/>
    <n v="2"/>
    <n v="8"/>
    <n v="2"/>
    <n v="1"/>
    <n v="3"/>
    <n v="81.599999999999994"/>
    <s v="Jul"/>
    <d v="2015-07-15T21:10:08"/>
    <x v="0"/>
    <n v="4"/>
    <n v="21"/>
    <m/>
  </r>
  <r>
    <n v="18"/>
    <s v="California"/>
    <s v="94061"/>
    <d v="2015-06-30T15:28:02"/>
    <d v="2015-06-30T15:28:05"/>
    <n v="1"/>
    <n v="0"/>
    <n v="2"/>
    <n v="2"/>
    <n v="1"/>
    <n v="1"/>
    <n v="28.8"/>
    <s v="Jun"/>
    <d v="2015-06-30T15:28:02"/>
    <x v="13"/>
    <n v="3"/>
    <n v="15"/>
    <m/>
  </r>
  <r>
    <n v="19"/>
    <s v="Pennsylvania"/>
    <s v="17821"/>
    <d v="2015-05-10T06:42:19"/>
    <d v="2015-05-10T06:42:22"/>
    <n v="1"/>
    <n v="2"/>
    <n v="2"/>
    <n v="2"/>
    <n v="1"/>
    <n v="1"/>
    <n v="28.8"/>
    <s v="May"/>
    <d v="2015-05-10T06:42:19"/>
    <x v="7"/>
    <n v="1"/>
    <n v="6"/>
    <m/>
  </r>
  <r>
    <n v="20"/>
    <s v="Pennsylvania"/>
    <s v="16033"/>
    <d v="2015-07-31T16:11:59"/>
    <d v="2015-07-31T16:12:02"/>
    <n v="1"/>
    <n v="2"/>
    <n v="4"/>
    <n v="6"/>
    <n v="1"/>
    <n v="1"/>
    <n v="29.92"/>
    <s v="Jul"/>
    <d v="2015-07-31T16:11:59"/>
    <x v="14"/>
    <n v="6"/>
    <n v="16"/>
    <m/>
  </r>
  <r>
    <n v="21"/>
    <m/>
    <m/>
    <d v="2015-07-20T23:21:04"/>
    <d v="2015-07-20T19:21:06"/>
    <n v="1"/>
    <n v="4"/>
    <n v="4"/>
    <n v="4"/>
    <n v="1"/>
    <n v="1"/>
    <n v="56.32"/>
    <s v="Jul"/>
    <d v="2015-07-20T19:28:59"/>
    <x v="15"/>
    <n v="2"/>
    <n v="19"/>
    <m/>
  </r>
  <r>
    <n v="22"/>
    <s v="Michigan"/>
    <s v="49201"/>
    <d v="2015-08-08T03:46:38"/>
    <d v="2015-08-07T23:46:41"/>
    <n v="1"/>
    <n v="2"/>
    <n v="2"/>
    <n v="3"/>
    <n v="1"/>
    <n v="5"/>
    <n v="44"/>
    <s v="Aug"/>
    <d v="2015-08-07T23:46:38"/>
    <x v="16"/>
    <n v="6"/>
    <n v="23"/>
    <m/>
  </r>
  <r>
    <n v="23"/>
    <s v="Indiana"/>
    <s v="46601"/>
    <d v="2015-07-06T10:05:55"/>
    <d v="2015-07-06T10:05:58"/>
    <n v="1"/>
    <n v="2"/>
    <n v="8"/>
    <n v="4"/>
    <n v="1"/>
    <n v="4"/>
    <n v="28.8"/>
    <s v="Jul"/>
    <d v="2015-07-06T10:05:55"/>
    <x v="17"/>
    <n v="2"/>
    <n v="10"/>
    <m/>
  </r>
  <r>
    <n v="24"/>
    <m/>
    <m/>
    <d v="2015-02-17T11:45:53"/>
    <d v="2015-02-21T20:00:13"/>
    <n v="2"/>
    <n v="2"/>
    <n v="14"/>
    <n v="6"/>
    <n v="1"/>
    <n v="4"/>
    <n v="27"/>
    <s v="Feb"/>
    <d v="2015-02-21T20:04:10"/>
    <x v="18"/>
    <n v="7"/>
    <n v="20"/>
    <m/>
  </r>
  <r>
    <n v="25"/>
    <s v="North Carolina"/>
    <s v="28759"/>
    <d v="2015-01-20T21:39:14"/>
    <d v="2015-01-20T21:39:22"/>
    <n v="1"/>
    <n v="2"/>
    <n v="6"/>
    <n v="2"/>
    <n v="1"/>
    <n v="2"/>
    <n v="14.4"/>
    <s v="Jan"/>
    <d v="2015-01-20T21:39:15"/>
    <x v="15"/>
    <n v="3"/>
    <n v="21"/>
    <m/>
  </r>
  <r>
    <n v="26"/>
    <s v="Massachusetts"/>
    <s v="02072"/>
    <d v="2015-03-11T22:30:27"/>
    <d v="2015-03-11T22:30:33"/>
    <n v="1"/>
    <n v="0"/>
    <n v="8"/>
    <n v="4"/>
    <n v="1"/>
    <n v="4"/>
    <n v="28.8"/>
    <s v="Mar"/>
    <d v="2015-03-11T22:30:28"/>
    <x v="12"/>
    <n v="4"/>
    <n v="22"/>
    <m/>
  </r>
  <r>
    <n v="27"/>
    <s v="Ohio"/>
    <s v="43402"/>
    <d v="2015-07-01T15:47:19"/>
    <d v="2015-07-13T16:51:51"/>
    <n v="19"/>
    <n v="10"/>
    <n v="13"/>
    <n v="14"/>
    <n v="1"/>
    <n v="5"/>
    <n v="36"/>
    <s v="Jul"/>
    <d v="2015-07-11T00:41:44"/>
    <x v="12"/>
    <n v="7"/>
    <n v="0"/>
    <m/>
  </r>
  <r>
    <n v="28"/>
    <s v="California"/>
    <s v="93901"/>
    <d v="2015-09-19T21:32:07"/>
    <d v="2015-09-19T21:32:12"/>
    <n v="1"/>
    <n v="4"/>
    <n v="2"/>
    <n v="3"/>
    <n v="1"/>
    <n v="1"/>
    <n v="8.8000000000000007"/>
    <s v="Sep"/>
    <d v="2015-09-19T21:32:07"/>
    <x v="19"/>
    <n v="7"/>
    <n v="21"/>
    <m/>
  </r>
  <r>
    <n v="29"/>
    <s v="Florida"/>
    <s v="33510"/>
    <d v="2015-05-23T13:45:30"/>
    <d v="2015-05-23T17:55:43"/>
    <n v="3"/>
    <n v="2"/>
    <n v="2"/>
    <n v="4"/>
    <n v="1"/>
    <n v="2"/>
    <n v="115.2"/>
    <s v="May"/>
    <d v="2015-05-23T09:47:36"/>
    <x v="10"/>
    <n v="7"/>
    <n v="9"/>
    <m/>
  </r>
  <r>
    <n v="30"/>
    <s v="Colorado"/>
    <s v="81007"/>
    <d v="2015-01-13T12:18:26"/>
    <d v="2015-03-08T16:53:14"/>
    <n v="2"/>
    <n v="0"/>
    <n v="17"/>
    <n v="8"/>
    <n v="2"/>
    <n v="13"/>
    <n v="27"/>
    <s v="Jan"/>
    <d v="2015-01-13T12:18:27"/>
    <x v="20"/>
    <n v="3"/>
    <n v="12"/>
    <m/>
  </r>
  <r>
    <n v="32"/>
    <s v="Florida"/>
    <s v="32832"/>
    <d v="2015-02-20T20:32:16"/>
    <d v="2015-02-20T20:32:21"/>
    <n v="1"/>
    <n v="0"/>
    <n v="4"/>
    <n v="1"/>
    <n v="1"/>
    <n v="2"/>
    <n v="36"/>
    <s v="Feb"/>
    <d v="2015-02-20T20:32:17"/>
    <x v="15"/>
    <n v="6"/>
    <n v="20"/>
    <m/>
  </r>
  <r>
    <n v="33"/>
    <s v="Washington"/>
    <s v="98324"/>
    <d v="2015-07-11T18:02:08"/>
    <d v="2015-07-11T18:02:12"/>
    <n v="1"/>
    <n v="8"/>
    <n v="8"/>
    <n v="2"/>
    <n v="1"/>
    <n v="4"/>
    <n v="28.8"/>
    <s v="Jul"/>
    <d v="2015-07-11T18:02:08"/>
    <x v="12"/>
    <n v="7"/>
    <n v="18"/>
    <m/>
  </r>
  <r>
    <n v="34"/>
    <s v="Massachusetts"/>
    <s v="01247"/>
    <d v="2015-04-05T07:05:58"/>
    <d v="2015-04-05T07:06:03"/>
    <n v="1"/>
    <n v="0"/>
    <n v="8"/>
    <n v="1"/>
    <n v="1"/>
    <n v="4"/>
    <n v="36"/>
    <s v="Apr"/>
    <d v="2015-04-05T07:05:59"/>
    <x v="2"/>
    <n v="1"/>
    <n v="7"/>
    <m/>
  </r>
  <r>
    <n v="35"/>
    <s v="Arkansas"/>
    <s v="72211"/>
    <d v="2015-02-09T19:49:40"/>
    <d v="2015-02-09T19:49:46"/>
    <n v="1"/>
    <n v="0"/>
    <n v="2"/>
    <n v="1"/>
    <n v="1"/>
    <n v="1"/>
    <n v="36"/>
    <s v="Feb"/>
    <d v="2015-02-09T19:49:42"/>
    <x v="21"/>
    <n v="2"/>
    <n v="19"/>
    <m/>
  </r>
  <r>
    <n v="36"/>
    <s v="Texas"/>
    <s v="78228"/>
    <d v="2015-06-22T16:46:47"/>
    <d v="2015-06-22T12:46:52"/>
    <n v="1"/>
    <n v="4"/>
    <n v="4"/>
    <n v="2"/>
    <n v="1"/>
    <n v="1"/>
    <n v="28.8"/>
    <s v="Jun"/>
    <d v="2015-06-22T12:46:49"/>
    <x v="1"/>
    <n v="2"/>
    <n v="12"/>
    <m/>
  </r>
  <r>
    <n v="37"/>
    <s v="Washington"/>
    <s v="98541"/>
    <d v="2015-01-19T13:03:58"/>
    <d v="2015-01-19T13:04:05"/>
    <n v="1"/>
    <n v="3"/>
    <n v="1"/>
    <n v="1"/>
    <n v="1"/>
    <n v="1"/>
    <n v="27"/>
    <s v="Jan"/>
    <d v="2015-01-19T13:11:50"/>
    <x v="19"/>
    <n v="2"/>
    <n v="13"/>
    <m/>
  </r>
  <r>
    <n v="38"/>
    <s v="New York"/>
    <s v="10038"/>
    <d v="2015-09-17T00:14:10"/>
    <d v="2015-09-16T20:14:15"/>
    <n v="1"/>
    <n v="2"/>
    <n v="2"/>
    <n v="2"/>
    <n v="1"/>
    <n v="2"/>
    <n v="20"/>
    <s v="Sep"/>
    <d v="2015-09-16T20:14:11"/>
    <x v="22"/>
    <n v="4"/>
    <n v="20"/>
    <m/>
  </r>
  <r>
    <n v="39"/>
    <s v="Florida"/>
    <s v="34450"/>
    <d v="2015-01-10T11:02:58"/>
    <d v="2015-01-10T11:03:03"/>
    <n v="1"/>
    <n v="0"/>
    <n v="4"/>
    <n v="3"/>
    <n v="1"/>
    <n v="2"/>
    <n v="9"/>
    <s v="Jan"/>
    <d v="2015-01-10T11:03:00"/>
    <x v="7"/>
    <n v="7"/>
    <n v="11"/>
    <m/>
  </r>
  <r>
    <n v="40"/>
    <s v="California"/>
    <s v="90025"/>
    <d v="2014-12-26T10:39:13"/>
    <d v="2015-01-03T12:49:34"/>
    <n v="2"/>
    <n v="1"/>
    <n v="3"/>
    <n v="2"/>
    <n v="1"/>
    <n v="3"/>
    <n v="27"/>
    <s v="Jan"/>
    <d v="2015-01-03T12:59:06"/>
    <x v="23"/>
    <n v="7"/>
    <n v="12"/>
    <m/>
  </r>
  <r>
    <n v="41"/>
    <m/>
    <m/>
    <d v="2015-08-13T18:47:13"/>
    <d v="2015-08-13T14:47:14"/>
    <n v="1"/>
    <n v="4"/>
    <n v="8"/>
    <n v="7"/>
    <n v="1"/>
    <n v="4"/>
    <n v="32.799999999999997"/>
    <s v="Aug"/>
    <d v="2015-08-13T14:49:06"/>
    <x v="20"/>
    <n v="5"/>
    <n v="14"/>
    <m/>
  </r>
  <r>
    <n v="42"/>
    <s v="Texas"/>
    <s v="75904"/>
    <d v="2015-03-10T13:47:35"/>
    <d v="2015-03-10T13:47:40"/>
    <n v="1"/>
    <n v="0"/>
    <n v="10"/>
    <n v="1"/>
    <n v="1"/>
    <n v="4"/>
    <n v="28.8"/>
    <s v="Mar"/>
    <d v="2015-03-10T13:47:36"/>
    <x v="7"/>
    <n v="3"/>
    <n v="13"/>
    <m/>
  </r>
  <r>
    <n v="43"/>
    <s v="Washington"/>
    <s v="98110"/>
    <d v="2015-05-22T14:06:37"/>
    <d v="2015-05-25T23:26:05"/>
    <n v="2"/>
    <n v="0"/>
    <n v="1"/>
    <n v="2"/>
    <n v="1"/>
    <n v="1"/>
    <n v="28.8"/>
    <s v="May"/>
    <d v="2015-05-22T10:10:11"/>
    <x v="1"/>
    <n v="6"/>
    <n v="10"/>
    <m/>
  </r>
  <r>
    <n v="44"/>
    <s v="New Jersey"/>
    <s v="07631"/>
    <d v="2015-01-24T09:18:17"/>
    <d v="2015-01-24T09:18:24"/>
    <n v="1"/>
    <n v="0"/>
    <n v="4"/>
    <n v="2"/>
    <n v="1"/>
    <n v="2"/>
    <n v="9"/>
    <s v="Jan"/>
    <d v="2015-01-24T09:18:20"/>
    <x v="11"/>
    <n v="7"/>
    <n v="9"/>
    <m/>
  </r>
  <r>
    <n v="45"/>
    <s v="New York"/>
    <s v="10024"/>
    <d v="2015-07-03T18:46:56"/>
    <d v="2015-07-11T14:47:05"/>
    <n v="3"/>
    <n v="9"/>
    <n v="24"/>
    <n v="9"/>
    <n v="1"/>
    <n v="6"/>
    <n v="48"/>
    <s v="Jul"/>
    <d v="2015-07-11T14:51:45"/>
    <x v="12"/>
    <n v="7"/>
    <n v="14"/>
    <m/>
  </r>
  <r>
    <n v="46"/>
    <s v="Illinois"/>
    <s v="60618"/>
    <d v="2015-07-06T20:06:27"/>
    <d v="2015-07-06T20:06:32"/>
    <n v="1"/>
    <n v="8"/>
    <n v="12"/>
    <n v="2"/>
    <n v="1"/>
    <n v="6"/>
    <n v="86.4"/>
    <s v="Jul"/>
    <d v="2015-07-06T20:06:27"/>
    <x v="17"/>
    <n v="2"/>
    <n v="20"/>
    <m/>
  </r>
  <r>
    <n v="47"/>
    <s v="California"/>
    <s v="95818"/>
    <d v="2015-01-22T18:41:51"/>
    <d v="2015-01-22T18:41:58"/>
    <n v="1"/>
    <n v="0"/>
    <n v="2"/>
    <n v="3"/>
    <n v="1"/>
    <n v="1"/>
    <n v="28.8"/>
    <s v="Jan"/>
    <d v="2015-01-22T18:41:53"/>
    <x v="1"/>
    <n v="5"/>
    <n v="18"/>
    <m/>
  </r>
  <r>
    <n v="48"/>
    <s v="Oklahoma"/>
    <s v="74137"/>
    <d v="2015-06-03T08:11:54"/>
    <d v="2015-06-03T08:11:58"/>
    <n v="1"/>
    <n v="0"/>
    <n v="4"/>
    <n v="3"/>
    <n v="1"/>
    <n v="4"/>
    <n v="36"/>
    <s v="Jun"/>
    <d v="2015-06-03T08:11:55"/>
    <x v="23"/>
    <n v="4"/>
    <n v="8"/>
    <m/>
  </r>
  <r>
    <n v="49"/>
    <s v="Massachusetts"/>
    <s v="01960"/>
    <d v="2015-07-12T14:09:05"/>
    <d v="2015-07-12T14:09:09"/>
    <n v="1"/>
    <n v="4"/>
    <n v="6"/>
    <n v="4"/>
    <n v="1"/>
    <n v="2"/>
    <n v="36"/>
    <s v="Jul"/>
    <d v="2015-07-12T14:09:05"/>
    <x v="5"/>
    <n v="1"/>
    <n v="14"/>
    <m/>
  </r>
  <r>
    <n v="50"/>
    <s v="North Carolina"/>
    <s v="28582"/>
    <d v="2015-07-03T07:31:47"/>
    <d v="2015-07-03T03:31:51"/>
    <n v="1"/>
    <n v="2"/>
    <n v="4"/>
    <n v="2"/>
    <n v="1"/>
    <n v="2"/>
    <n v="18"/>
    <s v="Jul"/>
    <d v="2015-07-03T03:31:47"/>
    <x v="23"/>
    <n v="6"/>
    <n v="3"/>
    <m/>
  </r>
  <r>
    <n v="51"/>
    <s v="California"/>
    <s v="92067"/>
    <d v="2015-04-04T16:11:26"/>
    <d v="2015-04-04T16:11:29"/>
    <n v="1"/>
    <n v="0"/>
    <n v="6"/>
    <n v="4"/>
    <n v="1"/>
    <n v="1"/>
    <n v="28.8"/>
    <s v="Apr"/>
    <d v="2015-04-04T16:16:39"/>
    <x v="24"/>
    <n v="7"/>
    <n v="16"/>
    <m/>
  </r>
  <r>
    <n v="52"/>
    <s v="Illinois"/>
    <s v="60025"/>
    <d v="2015-03-20T12:39:05"/>
    <d v="2015-03-20T12:39:10"/>
    <n v="1"/>
    <n v="0"/>
    <n v="10"/>
    <n v="1"/>
    <n v="1"/>
    <n v="1"/>
    <n v="57.6"/>
    <s v="Mar"/>
    <d v="2015-03-20T12:39:06"/>
    <x v="15"/>
    <n v="6"/>
    <n v="12"/>
    <m/>
  </r>
  <r>
    <n v="53"/>
    <m/>
    <m/>
    <d v="2015-02-18T01:48:07"/>
    <d v="2015-02-18T01:48:10"/>
    <n v="1"/>
    <n v="2"/>
    <n v="2"/>
    <n v="4"/>
    <n v="1"/>
    <n v="1"/>
    <n v="28.8"/>
    <s v="Feb"/>
    <d v="2015-02-18T01:52:02"/>
    <x v="9"/>
    <n v="4"/>
    <n v="1"/>
    <m/>
  </r>
  <r>
    <n v="54"/>
    <m/>
    <m/>
    <d v="2015-05-23T01:16:39"/>
    <d v="2015-05-22T21:16:42"/>
    <n v="1"/>
    <n v="6"/>
    <n v="16"/>
    <n v="4"/>
    <n v="1"/>
    <n v="4"/>
    <n v="28.8"/>
    <s v="May"/>
    <d v="2015-05-22T21:18:50"/>
    <x v="1"/>
    <n v="6"/>
    <n v="21"/>
    <m/>
  </r>
  <r>
    <n v="55"/>
    <m/>
    <m/>
    <d v="2015-03-04T03:53:54"/>
    <d v="2015-03-04T03:53:56"/>
    <n v="1"/>
    <n v="10"/>
    <n v="12"/>
    <n v="4"/>
    <n v="1"/>
    <n v="1"/>
    <n v="57.6"/>
    <s v="Mar"/>
    <d v="2015-03-04T03:56:26"/>
    <x v="24"/>
    <n v="4"/>
    <n v="3"/>
    <m/>
  </r>
  <r>
    <n v="56"/>
    <s v="Indiana"/>
    <s v="46250"/>
    <d v="2015-07-20T20:24:23"/>
    <d v="2015-07-21T10:39:08"/>
    <n v="5"/>
    <n v="6"/>
    <n v="8"/>
    <n v="5"/>
    <n v="1"/>
    <n v="4"/>
    <n v="35.200000000000003"/>
    <s v="Jul"/>
    <d v="2015-07-21T11:51:14"/>
    <x v="18"/>
    <n v="3"/>
    <n v="11"/>
    <m/>
  </r>
  <r>
    <n v="57"/>
    <s v="Virginia"/>
    <s v="22205"/>
    <d v="2015-02-23T22:03:19"/>
    <d v="2015-02-24T00:27:04"/>
    <n v="3"/>
    <n v="0"/>
    <n v="4"/>
    <n v="1"/>
    <n v="1"/>
    <n v="2"/>
    <n v="9"/>
    <s v="Feb"/>
    <d v="2015-02-23T22:03:20"/>
    <x v="10"/>
    <n v="2"/>
    <n v="22"/>
    <m/>
  </r>
  <r>
    <n v="58"/>
    <s v="District of Columbia"/>
    <s v="20009"/>
    <d v="2015-01-17T00:22:29"/>
    <d v="2015-01-17T20:10:08"/>
    <n v="2"/>
    <n v="2"/>
    <n v="9"/>
    <n v="5"/>
    <n v="2"/>
    <n v="5"/>
    <n v="18"/>
    <s v="Jan"/>
    <d v="2015-01-17T00:22:32"/>
    <x v="8"/>
    <n v="7"/>
    <n v="0"/>
    <m/>
  </r>
  <r>
    <n v="59"/>
    <s v="Washington"/>
    <s v="98146"/>
    <d v="2015-06-14T23:58:02"/>
    <d v="2015-06-14T23:58:06"/>
    <n v="1"/>
    <n v="6"/>
    <n v="6"/>
    <n v="3"/>
    <n v="1"/>
    <n v="1"/>
    <n v="27"/>
    <s v="Jun"/>
    <d v="2015-06-14T23:58:03"/>
    <x v="25"/>
    <n v="1"/>
    <n v="23"/>
    <m/>
  </r>
  <r>
    <n v="60"/>
    <s v="New Jersey"/>
    <s v="08108"/>
    <d v="2015-06-03T08:55:10"/>
    <d v="2015-06-03T08:55:14"/>
    <n v="1"/>
    <n v="4"/>
    <n v="10"/>
    <n v="2"/>
    <n v="1"/>
    <n v="5"/>
    <n v="36"/>
    <s v="Jun"/>
    <d v="2015-06-03T08:55:11"/>
    <x v="23"/>
    <n v="4"/>
    <n v="8"/>
    <m/>
  </r>
  <r>
    <n v="61"/>
    <s v="Maryland"/>
    <s v="21122"/>
    <d v="2014-12-21T23:36:40"/>
    <d v="2015-01-15T22:32:28"/>
    <n v="3"/>
    <n v="1"/>
    <n v="1"/>
    <n v="2"/>
    <n v="1"/>
    <n v="1"/>
    <n v="72"/>
    <s v="Jan"/>
    <d v="2015-01-15T22:43:21"/>
    <x v="0"/>
    <n v="5"/>
    <n v="22"/>
    <m/>
  </r>
  <r>
    <n v="62"/>
    <s v="Michigan"/>
    <s v="48092"/>
    <d v="2015-05-29T08:59:13"/>
    <d v="2015-05-29T08:59:17"/>
    <n v="1"/>
    <n v="0"/>
    <n v="4"/>
    <n v="2"/>
    <n v="1"/>
    <n v="2"/>
    <n v="36"/>
    <s v="May"/>
    <d v="2015-05-29T08:59:14"/>
    <x v="26"/>
    <n v="6"/>
    <n v="8"/>
    <m/>
  </r>
  <r>
    <n v="63"/>
    <m/>
    <m/>
    <d v="2015-09-18T03:01:51"/>
    <d v="2015-09-20T00:25:06"/>
    <n v="2"/>
    <n v="6"/>
    <n v="8"/>
    <n v="12"/>
    <n v="1"/>
    <n v="2"/>
    <n v="17.600000000000001"/>
    <s v="Sep"/>
    <d v="2015-09-20T01:01:56"/>
    <x v="15"/>
    <n v="1"/>
    <n v="1"/>
    <m/>
  </r>
  <r>
    <n v="64"/>
    <s v="New Jersey"/>
    <s v="07960"/>
    <d v="2015-02-26T16:58:33"/>
    <d v="2015-02-26T16:58:37"/>
    <n v="1"/>
    <n v="0"/>
    <n v="4"/>
    <n v="1"/>
    <n v="1"/>
    <n v="1"/>
    <n v="27"/>
    <s v="Feb"/>
    <d v="2015-02-26T16:58:34"/>
    <x v="27"/>
    <n v="5"/>
    <n v="16"/>
    <m/>
  </r>
  <r>
    <n v="65"/>
    <s v="New York"/>
    <s v="11217"/>
    <d v="2015-07-16T18:05:27"/>
    <d v="2015-07-16T14:05:33"/>
    <n v="1"/>
    <n v="10"/>
    <n v="6"/>
    <n v="2"/>
    <n v="1"/>
    <n v="2"/>
    <n v="51.8"/>
    <s v="Jul"/>
    <d v="2015-07-16T14:05:28"/>
    <x v="22"/>
    <n v="5"/>
    <n v="14"/>
    <m/>
  </r>
  <r>
    <n v="66"/>
    <s v="Maryland"/>
    <s v="21286"/>
    <d v="2015-05-27T11:42:24"/>
    <d v="2015-05-27T11:42:28"/>
    <n v="1"/>
    <n v="2"/>
    <n v="4"/>
    <n v="2"/>
    <n v="1"/>
    <n v="2"/>
    <n v="18"/>
    <s v="May"/>
    <d v="2015-05-27T11:42:25"/>
    <x v="28"/>
    <n v="4"/>
    <n v="11"/>
    <m/>
  </r>
  <r>
    <n v="67"/>
    <s v="California"/>
    <s v="95949"/>
    <d v="2015-03-22T17:16:32"/>
    <d v="2015-03-22T17:16:37"/>
    <n v="1"/>
    <n v="2"/>
    <n v="2"/>
    <n v="1"/>
    <n v="1"/>
    <n v="1"/>
    <n v="28.8"/>
    <s v="Mar"/>
    <d v="2015-03-22T17:16:33"/>
    <x v="1"/>
    <n v="1"/>
    <n v="17"/>
    <m/>
  </r>
  <r>
    <n v="68"/>
    <s v="Massachusetts"/>
    <s v="01843"/>
    <d v="2015-01-28T21:09:55"/>
    <d v="2015-02-05T10:12:40"/>
    <n v="3"/>
    <n v="2"/>
    <n v="5"/>
    <n v="4"/>
    <n v="1"/>
    <n v="1"/>
    <n v="28.8"/>
    <s v="Jan"/>
    <d v="2015-01-28T21:09:56"/>
    <x v="4"/>
    <n v="4"/>
    <n v="21"/>
    <m/>
  </r>
  <r>
    <n v="69"/>
    <s v="Georgia"/>
    <s v="30308"/>
    <d v="2015-06-08T13:58:33"/>
    <d v="2015-06-08T13:58:38"/>
    <n v="1"/>
    <n v="2"/>
    <n v="8"/>
    <n v="4"/>
    <n v="1"/>
    <n v="6"/>
    <n v="86.4"/>
    <s v="Jun"/>
    <d v="2015-06-08T13:58:36"/>
    <x v="29"/>
    <n v="2"/>
    <n v="13"/>
    <m/>
  </r>
  <r>
    <n v="70"/>
    <m/>
    <m/>
    <d v="2015-01-25T19:00:57"/>
    <d v="2015-02-05T13:34:48"/>
    <n v="20"/>
    <n v="0"/>
    <n v="6"/>
    <n v="5"/>
    <n v="1"/>
    <n v="5"/>
    <n v="36"/>
    <s v="Jan"/>
    <d v="2015-01-25T19:01:00"/>
    <x v="3"/>
    <n v="1"/>
    <n v="19"/>
    <m/>
  </r>
  <r>
    <n v="71"/>
    <s v="New York"/>
    <s v="10022"/>
    <d v="2015-06-30T15:18:01"/>
    <d v="2015-06-30T15:18:05"/>
    <n v="1"/>
    <n v="0"/>
    <n v="2"/>
    <n v="2"/>
    <n v="1"/>
    <n v="1"/>
    <n v="28.8"/>
    <s v="Jun"/>
    <d v="2015-06-30T15:18:02"/>
    <x v="13"/>
    <n v="3"/>
    <n v="15"/>
    <m/>
  </r>
  <r>
    <n v="72"/>
    <s v="New York"/>
    <s v="10028"/>
    <d v="2015-03-07T11:26:42"/>
    <d v="2015-03-07T11:26:50"/>
    <n v="1"/>
    <n v="2"/>
    <n v="8"/>
    <n v="1"/>
    <n v="1"/>
    <n v="4"/>
    <n v="45.6"/>
    <s v="Mar"/>
    <d v="2015-03-07T11:26:43"/>
    <x v="16"/>
    <n v="7"/>
    <n v="11"/>
    <m/>
  </r>
  <r>
    <n v="73"/>
    <m/>
    <m/>
    <d v="2015-02-19T16:27:59"/>
    <d v="2015-02-19T22:59:48"/>
    <n v="3"/>
    <n v="1"/>
    <n v="8"/>
    <n v="3"/>
    <n v="1"/>
    <n v="4"/>
    <n v="28.8"/>
    <s v="Feb"/>
    <d v="2015-02-19T16:32:27"/>
    <x v="19"/>
    <n v="5"/>
    <n v="16"/>
    <m/>
  </r>
  <r>
    <n v="74"/>
    <s v="California"/>
    <s v="94596"/>
    <d v="2015-01-22T19:11:13"/>
    <d v="2015-01-22T19:11:17"/>
    <n v="1"/>
    <n v="2"/>
    <n v="6"/>
    <n v="3"/>
    <n v="1"/>
    <n v="5"/>
    <n v="36"/>
    <s v="Jan"/>
    <d v="2015-01-22T19:11:14"/>
    <x v="1"/>
    <n v="5"/>
    <n v="19"/>
    <m/>
  </r>
  <r>
    <n v="76"/>
    <s v="Florida"/>
    <s v="33066"/>
    <d v="2015-03-12T10:30:16"/>
    <d v="2015-03-12T10:30:22"/>
    <n v="1"/>
    <n v="2"/>
    <n v="12"/>
    <n v="1"/>
    <n v="1"/>
    <n v="4"/>
    <n v="28.8"/>
    <s v="Mar"/>
    <d v="2015-03-12T10:30:18"/>
    <x v="5"/>
    <n v="5"/>
    <n v="10"/>
    <m/>
  </r>
  <r>
    <n v="77"/>
    <s v="California"/>
    <s v="95747"/>
    <d v="2015-06-06T19:40:36"/>
    <d v="2015-06-06T15:40:41"/>
    <n v="1"/>
    <n v="5"/>
    <n v="11"/>
    <n v="3"/>
    <n v="2"/>
    <n v="8"/>
    <n v="36"/>
    <s v="Jun"/>
    <d v="2015-06-06T15:40:38"/>
    <x v="17"/>
    <n v="7"/>
    <n v="15"/>
    <m/>
  </r>
  <r>
    <n v="78"/>
    <s v="Virginia"/>
    <s v="23455"/>
    <d v="2015-04-08T09:18:02"/>
    <d v="2015-04-08T09:18:06"/>
    <n v="1"/>
    <n v="0"/>
    <n v="8"/>
    <n v="3"/>
    <n v="1"/>
    <n v="3"/>
    <n v="27"/>
    <s v="Apr"/>
    <d v="2015-04-08T09:20:36"/>
    <x v="29"/>
    <n v="4"/>
    <n v="9"/>
    <m/>
  </r>
  <r>
    <n v="79"/>
    <s v="Ohio"/>
    <s v="44333"/>
    <d v="2015-03-10T16:55:59"/>
    <d v="2015-03-10T16:56:46"/>
    <n v="1"/>
    <n v="0"/>
    <n v="2"/>
    <n v="1"/>
    <n v="1"/>
    <n v="1"/>
    <n v="30"/>
    <s v="Mar"/>
    <d v="2015-03-10T16:56:43"/>
    <x v="7"/>
    <n v="3"/>
    <n v="16"/>
    <m/>
  </r>
  <r>
    <n v="80"/>
    <m/>
    <m/>
    <d v="2015-07-09T18:52:36"/>
    <d v="2015-07-09T14:52:38"/>
    <n v="1"/>
    <n v="6"/>
    <n v="4"/>
    <n v="5"/>
    <n v="1"/>
    <n v="1"/>
    <n v="36"/>
    <s v="Jul"/>
    <d v="2015-07-09T14:59:12"/>
    <x v="21"/>
    <n v="5"/>
    <n v="14"/>
    <m/>
  </r>
  <r>
    <n v="82"/>
    <s v="North Carolina"/>
    <s v="27526"/>
    <d v="2015-06-12T17:38:12"/>
    <d v="2015-06-12T13:38:17"/>
    <n v="1"/>
    <n v="2"/>
    <n v="8"/>
    <n v="2"/>
    <n v="1"/>
    <n v="4"/>
    <n v="28.8"/>
    <s v="Jun"/>
    <d v="2015-06-12T13:38:13"/>
    <x v="5"/>
    <n v="6"/>
    <n v="13"/>
    <m/>
  </r>
  <r>
    <n v="83"/>
    <s v="Massachusetts"/>
    <s v="02038"/>
    <d v="2015-06-10T16:06:30"/>
    <d v="2015-06-10T12:06:35"/>
    <n v="1"/>
    <n v="2"/>
    <n v="4"/>
    <n v="2"/>
    <n v="1"/>
    <n v="4"/>
    <n v="38.4"/>
    <s v="Jun"/>
    <d v="2015-06-10T12:06:31"/>
    <x v="7"/>
    <n v="4"/>
    <n v="12"/>
    <m/>
  </r>
  <r>
    <n v="84"/>
    <s v="New Jersey"/>
    <s v="08807"/>
    <d v="2015-08-29T13:34:41"/>
    <d v="2015-08-30T13:12:11"/>
    <n v="4"/>
    <n v="6"/>
    <n v="11"/>
    <n v="10"/>
    <n v="2"/>
    <n v="8"/>
    <n v="35.200000000000003"/>
    <s v="Aug"/>
    <d v="2015-08-29T13:47:49"/>
    <x v="26"/>
    <n v="7"/>
    <n v="13"/>
    <m/>
  </r>
  <r>
    <n v="85"/>
    <s v="Massachusetts"/>
    <s v="01824"/>
    <d v="2015-05-22T21:25:23"/>
    <d v="2015-05-22T21:25:26"/>
    <n v="1"/>
    <n v="0"/>
    <n v="2"/>
    <n v="2"/>
    <n v="1"/>
    <n v="1"/>
    <n v="28.8"/>
    <s v="May"/>
    <d v="2015-05-22T21:25:24"/>
    <x v="1"/>
    <n v="6"/>
    <n v="21"/>
    <m/>
  </r>
  <r>
    <n v="86"/>
    <s v="Illinois"/>
    <s v="60559"/>
    <d v="2015-03-12T09:20:01"/>
    <d v="2015-03-12T09:20:10"/>
    <n v="1"/>
    <n v="4"/>
    <n v="2"/>
    <n v="1"/>
    <n v="1"/>
    <n v="1"/>
    <n v="28.8"/>
    <s v="Mar"/>
    <d v="2015-03-12T09:20:02"/>
    <x v="5"/>
    <n v="5"/>
    <n v="9"/>
    <m/>
  </r>
  <r>
    <n v="87"/>
    <s v="District of Columbia"/>
    <s v="20016"/>
    <d v="2015-08-26T13:49:13"/>
    <d v="2015-08-26T22:23:41"/>
    <n v="2"/>
    <n v="6"/>
    <n v="6"/>
    <n v="4"/>
    <n v="1"/>
    <n v="4"/>
    <n v="30.4"/>
    <s v="Aug"/>
    <d v="2015-08-26T13:49:13"/>
    <x v="27"/>
    <n v="4"/>
    <n v="13"/>
    <m/>
  </r>
  <r>
    <n v="88"/>
    <m/>
    <m/>
    <d v="2015-02-06T12:07:09"/>
    <d v="2015-02-06T12:07:15"/>
    <n v="1"/>
    <n v="6"/>
    <n v="6"/>
    <n v="2"/>
    <n v="1"/>
    <n v="2"/>
    <n v="127"/>
    <s v="Feb"/>
    <d v="2015-02-06T12:07:10"/>
    <x v="17"/>
    <n v="6"/>
    <n v="12"/>
    <m/>
  </r>
  <r>
    <n v="89"/>
    <s v="Pennsylvania"/>
    <s v="17545"/>
    <d v="2015-06-29T21:06:14"/>
    <d v="2015-06-30T16:26:02"/>
    <n v="3"/>
    <n v="4"/>
    <n v="6"/>
    <n v="5"/>
    <n v="1"/>
    <n v="2"/>
    <n v="15"/>
    <s v="Jun"/>
    <d v="2015-06-29T21:06:14"/>
    <x v="26"/>
    <n v="2"/>
    <n v="21"/>
    <m/>
  </r>
  <r>
    <n v="90"/>
    <s v="Texas"/>
    <s v="78739"/>
    <d v="2015-03-18T12:27:52"/>
    <d v="2015-03-18T12:28:02"/>
    <n v="1"/>
    <n v="0"/>
    <n v="4"/>
    <n v="1"/>
    <n v="1"/>
    <n v="6"/>
    <n v="86.4"/>
    <s v="Mar"/>
    <d v="2015-03-18T12:27:53"/>
    <x v="9"/>
    <n v="4"/>
    <n v="12"/>
    <m/>
  </r>
  <r>
    <n v="91"/>
    <s v="North Carolina"/>
    <s v="27104"/>
    <d v="2015-03-24T19:58:36"/>
    <d v="2015-03-24T19:58:42"/>
    <n v="1"/>
    <n v="2"/>
    <n v="3"/>
    <n v="3"/>
    <n v="2"/>
    <n v="2"/>
    <n v="57.6"/>
    <s v="Mar"/>
    <d v="2015-03-24T19:58:37"/>
    <x v="11"/>
    <n v="3"/>
    <n v="19"/>
    <m/>
  </r>
  <r>
    <n v="92"/>
    <s v="New York"/>
    <s v="14150"/>
    <d v="2015-02-10T20:10:44"/>
    <d v="2015-02-10T20:10:51"/>
    <n v="1"/>
    <n v="2"/>
    <n v="6"/>
    <n v="1"/>
    <n v="1"/>
    <n v="4"/>
    <n v="28.8"/>
    <s v="Feb"/>
    <d v="2015-02-10T20:10:46"/>
    <x v="7"/>
    <n v="3"/>
    <n v="20"/>
    <m/>
  </r>
  <r>
    <n v="93"/>
    <s v="Pennsylvania"/>
    <s v="17313"/>
    <d v="2015-03-03T15:15:27"/>
    <d v="2015-03-03T15:15:33"/>
    <n v="1"/>
    <n v="2"/>
    <n v="4"/>
    <n v="1"/>
    <n v="1"/>
    <n v="2"/>
    <n v="9"/>
    <s v="Mar"/>
    <d v="2015-03-03T15:15:28"/>
    <x v="23"/>
    <n v="3"/>
    <n v="15"/>
    <m/>
  </r>
  <r>
    <n v="96"/>
    <s v="New York"/>
    <s v="14580"/>
    <d v="2015-05-20T14:34:36"/>
    <d v="2015-05-20T14:34:44"/>
    <n v="1"/>
    <n v="2"/>
    <n v="2"/>
    <n v="2"/>
    <n v="1"/>
    <n v="1"/>
    <n v="36"/>
    <s v="May"/>
    <d v="2015-05-20T14:34:41"/>
    <x v="15"/>
    <n v="4"/>
    <n v="14"/>
    <m/>
  </r>
  <r>
    <n v="97"/>
    <m/>
    <m/>
    <d v="2015-02-11T18:27:37"/>
    <d v="2015-02-11T18:27:48"/>
    <n v="1"/>
    <n v="1"/>
    <n v="2"/>
    <n v="4"/>
    <n v="1"/>
    <n v="2"/>
    <n v="9"/>
    <s v="Feb"/>
    <d v="2015-02-11T18:33:06"/>
    <x v="12"/>
    <n v="4"/>
    <n v="18"/>
    <m/>
  </r>
  <r>
    <n v="98"/>
    <s v="California"/>
    <s v="90403"/>
    <d v="2015-01-26T09:28:06"/>
    <d v="2015-02-01T23:05:39"/>
    <n v="6"/>
    <n v="3"/>
    <n v="4"/>
    <n v="10"/>
    <n v="1"/>
    <n v="5"/>
    <n v="45"/>
    <s v="Jan"/>
    <d v="2015-01-26T09:28:07"/>
    <x v="27"/>
    <n v="2"/>
    <n v="9"/>
    <m/>
  </r>
  <r>
    <n v="99"/>
    <m/>
    <m/>
    <d v="2015-03-17T00:49:52"/>
    <d v="2015-03-17T00:49:57"/>
    <n v="1"/>
    <n v="0"/>
    <n v="8"/>
    <n v="4"/>
    <n v="1"/>
    <n v="4"/>
    <n v="28.8"/>
    <s v="Mar"/>
    <d v="2015-03-17T00:55:52"/>
    <x v="8"/>
    <n v="3"/>
    <n v="0"/>
    <m/>
  </r>
  <r>
    <n v="100"/>
    <s v="Maryland"/>
    <s v="21001"/>
    <d v="2015-04-03T20:52:08"/>
    <d v="2015-04-03T20:52:15"/>
    <n v="1"/>
    <n v="2"/>
    <n v="10"/>
    <n v="2"/>
    <n v="1"/>
    <n v="4"/>
    <n v="28.8"/>
    <s v="Apr"/>
    <d v="2015-04-03T20:52:09"/>
    <x v="23"/>
    <n v="6"/>
    <n v="20"/>
    <m/>
  </r>
  <r>
    <n v="101"/>
    <s v="Illinois"/>
    <s v="60654"/>
    <d v="2015-04-15T21:58:01"/>
    <d v="2015-04-16T06:16:45"/>
    <n v="3"/>
    <n v="0"/>
    <n v="6"/>
    <n v="2"/>
    <n v="1"/>
    <n v="4"/>
    <n v="28.8"/>
    <s v="Apr"/>
    <d v="2015-04-15T21:58:01"/>
    <x v="0"/>
    <n v="4"/>
    <n v="21"/>
    <m/>
  </r>
  <r>
    <n v="102"/>
    <m/>
    <m/>
    <d v="2015-09-04T10:37:22"/>
    <d v="2015-09-04T10:37:24"/>
    <n v="1"/>
    <n v="10"/>
    <n v="4"/>
    <n v="4"/>
    <n v="1"/>
    <n v="1"/>
    <n v="29.92"/>
    <s v="Sep"/>
    <d v="2015-09-04T10:40:08"/>
    <x v="24"/>
    <n v="6"/>
    <n v="10"/>
    <m/>
  </r>
  <r>
    <n v="103"/>
    <s v="Florida"/>
    <s v="33139"/>
    <d v="2015-07-01T15:46:10"/>
    <d v="2015-07-01T11:46:11"/>
    <n v="1"/>
    <n v="2"/>
    <n v="5"/>
    <n v="5"/>
    <n v="1"/>
    <n v="1"/>
    <n v="38.4"/>
    <s v="Jul"/>
    <d v="2015-07-01T11:57:50"/>
    <x v="6"/>
    <n v="4"/>
    <n v="11"/>
    <m/>
  </r>
  <r>
    <n v="104"/>
    <s v="California"/>
    <s v="94109"/>
    <d v="2015-05-12T15:53:57"/>
    <d v="2015-05-12T15:54:01"/>
    <n v="1"/>
    <n v="4"/>
    <n v="10"/>
    <n v="2"/>
    <n v="1"/>
    <n v="4"/>
    <n v="28.8"/>
    <s v="May"/>
    <d v="2015-05-12T15:53:58"/>
    <x v="5"/>
    <n v="3"/>
    <n v="15"/>
    <m/>
  </r>
  <r>
    <n v="105"/>
    <s v="California"/>
    <s v="94089"/>
    <d v="2015-05-23T12:31:17"/>
    <d v="2015-05-23T12:31:21"/>
    <n v="1"/>
    <n v="6"/>
    <n v="8"/>
    <n v="4"/>
    <n v="1"/>
    <n v="4"/>
    <n v="28.8"/>
    <s v="May"/>
    <d v="2015-05-23T12:31:19"/>
    <x v="10"/>
    <n v="7"/>
    <n v="12"/>
    <m/>
  </r>
  <r>
    <n v="106"/>
    <s v="Florida"/>
    <s v="32210"/>
    <d v="2015-04-06T15:12:34"/>
    <d v="2015-04-06T15:12:37"/>
    <n v="1"/>
    <n v="4"/>
    <n v="4"/>
    <n v="1"/>
    <n v="1"/>
    <n v="4"/>
    <n v="28.8"/>
    <s v="Apr"/>
    <d v="2015-04-06T15:15:45"/>
    <x v="17"/>
    <n v="2"/>
    <n v="15"/>
    <m/>
  </r>
  <r>
    <n v="107"/>
    <m/>
    <m/>
    <d v="2015-02-14T06:26:41"/>
    <d v="2015-02-14T06:26:45"/>
    <n v="1"/>
    <n v="0"/>
    <n v="6"/>
    <n v="6"/>
    <n v="1"/>
    <n v="5"/>
    <n v="36"/>
    <s v="Feb"/>
    <d v="2015-02-14T06:30:03"/>
    <x v="25"/>
    <n v="7"/>
    <n v="6"/>
    <m/>
  </r>
  <r>
    <n v="108"/>
    <s v="Utah"/>
    <s v="84108"/>
    <d v="2015-01-22T18:49:02"/>
    <d v="2015-01-22T18:49:08"/>
    <n v="1"/>
    <n v="2"/>
    <n v="8"/>
    <n v="2"/>
    <n v="1"/>
    <n v="4"/>
    <n v="28.8"/>
    <s v="Jan"/>
    <d v="2015-01-22T18:49:05"/>
    <x v="1"/>
    <n v="5"/>
    <n v="18"/>
    <m/>
  </r>
  <r>
    <n v="109"/>
    <s v="Nebraska"/>
    <s v="68333"/>
    <d v="2015-05-20T13:49:15"/>
    <d v="2015-05-20T13:49:20"/>
    <n v="1"/>
    <n v="0"/>
    <n v="2"/>
    <n v="3"/>
    <n v="1"/>
    <n v="2"/>
    <n v="14.4"/>
    <s v="May"/>
    <d v="2015-05-20T13:49:17"/>
    <x v="15"/>
    <n v="4"/>
    <n v="13"/>
    <m/>
  </r>
  <r>
    <n v="110"/>
    <s v="Texas"/>
    <s v="77385"/>
    <d v="2015-06-24T16:10:03"/>
    <d v="2015-06-24T16:10:08"/>
    <n v="1"/>
    <n v="8"/>
    <n v="10"/>
    <n v="3"/>
    <n v="1"/>
    <n v="4"/>
    <n v="72"/>
    <s v="Jun"/>
    <d v="2015-06-24T16:10:04"/>
    <x v="11"/>
    <n v="4"/>
    <n v="16"/>
    <m/>
  </r>
  <r>
    <n v="111"/>
    <s v="Ohio"/>
    <s v="43035"/>
    <d v="2015-08-11T19:02:37"/>
    <d v="2015-08-11T15:02:41"/>
    <n v="1"/>
    <n v="2"/>
    <n v="2"/>
    <n v="2"/>
    <n v="1"/>
    <n v="1"/>
    <n v="29.92"/>
    <s v="Aug"/>
    <d v="2015-08-11T15:02:38"/>
    <x v="12"/>
    <n v="3"/>
    <n v="15"/>
    <m/>
  </r>
  <r>
    <n v="112"/>
    <s v="New York"/>
    <s v="10704"/>
    <d v="2015-02-07T09:46:18"/>
    <d v="2015-02-07T09:46:23"/>
    <n v="1"/>
    <n v="0"/>
    <n v="6"/>
    <n v="1"/>
    <n v="1"/>
    <n v="4"/>
    <n v="28.8"/>
    <s v="Feb"/>
    <d v="2015-02-07T09:46:19"/>
    <x v="16"/>
    <n v="7"/>
    <n v="9"/>
    <m/>
  </r>
  <r>
    <n v="113"/>
    <s v="Texas"/>
    <s v="77845"/>
    <d v="2015-01-04T19:04:10"/>
    <d v="2015-01-04T19:04:15"/>
    <n v="1"/>
    <n v="0"/>
    <n v="8"/>
    <n v="2"/>
    <n v="1"/>
    <n v="4"/>
    <n v="28.8"/>
    <s v="Jan"/>
    <d v="2015-01-04T19:04:11"/>
    <x v="24"/>
    <n v="1"/>
    <n v="19"/>
    <m/>
  </r>
  <r>
    <n v="114"/>
    <s v="Minnesota"/>
    <s v="55125"/>
    <d v="2015-04-15T17:29:43"/>
    <d v="2015-04-15T17:29:56"/>
    <n v="1"/>
    <n v="2"/>
    <n v="12"/>
    <n v="2"/>
    <n v="1"/>
    <n v="6"/>
    <n v="42.4"/>
    <s v="Apr"/>
    <d v="2015-04-15T17:29:44"/>
    <x v="0"/>
    <n v="4"/>
    <n v="17"/>
    <m/>
  </r>
  <r>
    <n v="115"/>
    <s v="Massachusetts"/>
    <s v="02641"/>
    <d v="2015-02-08T08:30:24"/>
    <d v="2015-03-08T20:04:39"/>
    <n v="2"/>
    <n v="2"/>
    <n v="17"/>
    <n v="4"/>
    <n v="2"/>
    <n v="14"/>
    <n v="36"/>
    <s v="Feb"/>
    <d v="2015-02-08T08:30:25"/>
    <x v="29"/>
    <n v="1"/>
    <n v="8"/>
    <m/>
  </r>
  <r>
    <n v="118"/>
    <s v="New York"/>
    <s v="10463"/>
    <d v="2015-06-15T15:39:42"/>
    <d v="2015-06-17T12:38:58"/>
    <n v="3"/>
    <n v="0"/>
    <n v="2"/>
    <n v="3"/>
    <n v="1"/>
    <n v="1"/>
    <n v="38.4"/>
    <s v="Jun"/>
    <d v="2015-06-15T15:39:43"/>
    <x v="0"/>
    <n v="2"/>
    <n v="15"/>
    <m/>
  </r>
  <r>
    <n v="119"/>
    <s v="Pennsylvania"/>
    <s v="15120"/>
    <d v="2015-02-07T22:55:06"/>
    <d v="2015-02-07T22:55:11"/>
    <n v="1"/>
    <n v="0"/>
    <n v="4"/>
    <n v="1"/>
    <n v="1"/>
    <n v="2"/>
    <n v="81"/>
    <s v="Feb"/>
    <d v="2015-02-07T23:04:44"/>
    <x v="16"/>
    <n v="7"/>
    <n v="23"/>
    <m/>
  </r>
  <r>
    <n v="120"/>
    <s v="New York"/>
    <s v="14011"/>
    <d v="2015-05-25T09:37:28"/>
    <d v="2015-05-25T09:37:32"/>
    <n v="1"/>
    <n v="4"/>
    <n v="2"/>
    <n v="2"/>
    <n v="1"/>
    <n v="1"/>
    <n v="28.8"/>
    <s v="May"/>
    <d v="2015-05-25T09:37:29"/>
    <x v="3"/>
    <n v="2"/>
    <n v="9"/>
    <m/>
  </r>
  <r>
    <n v="121"/>
    <s v="Oklahoma"/>
    <s v="74129"/>
    <d v="2015-06-08T14:19:34"/>
    <d v="2015-06-08T10:19:41"/>
    <n v="1"/>
    <n v="2"/>
    <n v="8"/>
    <n v="2"/>
    <n v="1"/>
    <n v="4"/>
    <n v="28.8"/>
    <s v="Jun"/>
    <d v="2015-06-08T10:19:36"/>
    <x v="29"/>
    <n v="2"/>
    <n v="10"/>
    <m/>
  </r>
  <r>
    <n v="122"/>
    <s v="Kentucky"/>
    <s v="42420"/>
    <d v="2015-05-12T14:52:07"/>
    <d v="2015-05-12T14:52:11"/>
    <n v="1"/>
    <n v="2"/>
    <n v="2"/>
    <n v="2"/>
    <n v="1"/>
    <n v="1"/>
    <n v="28.8"/>
    <s v="May"/>
    <d v="2015-05-12T14:52:08"/>
    <x v="5"/>
    <n v="3"/>
    <n v="14"/>
    <m/>
  </r>
  <r>
    <n v="123"/>
    <s v="Georgia"/>
    <s v="31411"/>
    <d v="2015-07-13T17:29:09"/>
    <d v="2015-07-13T17:29:12"/>
    <n v="1"/>
    <n v="8"/>
    <n v="4"/>
    <n v="5"/>
    <n v="1"/>
    <n v="2"/>
    <n v="14.4"/>
    <s v="Jul"/>
    <d v="2015-07-13T17:29:10"/>
    <x v="20"/>
    <n v="2"/>
    <n v="17"/>
    <m/>
  </r>
  <r>
    <n v="124"/>
    <s v="Louisiana"/>
    <s v="70433"/>
    <d v="2015-05-28T16:37:43"/>
    <d v="2015-05-28T12:37:45"/>
    <n v="1"/>
    <n v="0"/>
    <n v="2"/>
    <n v="2"/>
    <n v="1"/>
    <n v="1"/>
    <n v="28.8"/>
    <s v="May"/>
    <d v="2015-05-28T12:41:10"/>
    <x v="4"/>
    <n v="5"/>
    <n v="12"/>
    <m/>
  </r>
  <r>
    <n v="125"/>
    <s v="Texas"/>
    <s v="75067"/>
    <d v="2015-09-13T16:00:00"/>
    <d v="2015-09-13T12:00:05"/>
    <n v="1"/>
    <n v="2"/>
    <n v="2"/>
    <n v="2"/>
    <n v="1"/>
    <n v="4"/>
    <n v="35.200000000000003"/>
    <s v="Sep"/>
    <d v="2015-09-13T12:00:01"/>
    <x v="20"/>
    <n v="1"/>
    <n v="12"/>
    <m/>
  </r>
  <r>
    <n v="127"/>
    <s v="Pennsylvania"/>
    <s v="19422"/>
    <d v="2015-05-12T01:55:58"/>
    <d v="2015-05-11T21:56:00"/>
    <n v="1"/>
    <n v="14"/>
    <n v="14"/>
    <n v="5"/>
    <n v="1"/>
    <n v="4"/>
    <n v="28.8"/>
    <s v="May"/>
    <d v="2015-05-11T21:58:27"/>
    <x v="12"/>
    <n v="2"/>
    <n v="21"/>
    <m/>
  </r>
  <r>
    <n v="128"/>
    <s v="Kentucky"/>
    <s v="40324"/>
    <d v="2015-05-20T16:57:40"/>
    <d v="2015-05-20T16:57:46"/>
    <n v="1"/>
    <n v="2"/>
    <n v="6"/>
    <n v="6"/>
    <n v="1"/>
    <n v="4"/>
    <n v="28.8"/>
    <s v="May"/>
    <d v="2015-05-20T16:57:41"/>
    <x v="15"/>
    <n v="4"/>
    <n v="16"/>
    <m/>
  </r>
  <r>
    <n v="129"/>
    <s v="Washington"/>
    <s v="98239"/>
    <d v="2015-03-15T16:35:29"/>
    <d v="2015-03-15T16:35:34"/>
    <n v="1"/>
    <n v="0"/>
    <n v="4"/>
    <n v="1"/>
    <n v="1"/>
    <n v="2"/>
    <n v="9"/>
    <s v="Mar"/>
    <d v="2015-03-15T16:35:30"/>
    <x v="0"/>
    <n v="1"/>
    <n v="16"/>
    <m/>
  </r>
  <r>
    <n v="130"/>
    <s v="Illinois"/>
    <s v="60178"/>
    <d v="2015-02-10T21:28:36"/>
    <d v="2015-02-10T21:28:44"/>
    <n v="1"/>
    <n v="6"/>
    <n v="4"/>
    <n v="2"/>
    <n v="1"/>
    <n v="2"/>
    <n v="18"/>
    <s v="Feb"/>
    <d v="2015-02-10T21:28:37"/>
    <x v="7"/>
    <n v="3"/>
    <n v="21"/>
    <m/>
  </r>
  <r>
    <n v="131"/>
    <s v="North Carolina"/>
    <s v="28277"/>
    <d v="2015-03-16T09:48:31"/>
    <d v="2015-03-16T09:48:34"/>
    <n v="1"/>
    <n v="0"/>
    <n v="4"/>
    <n v="7"/>
    <n v="1"/>
    <n v="4"/>
    <n v="28.8"/>
    <s v="Mar"/>
    <d v="2015-03-16T10:09:56"/>
    <x v="22"/>
    <n v="2"/>
    <n v="10"/>
    <m/>
  </r>
  <r>
    <n v="132"/>
    <s v="New York"/>
    <s v="14127"/>
    <d v="2015-07-09T11:32:43"/>
    <d v="2015-07-09T11:32:47"/>
    <n v="1"/>
    <n v="2"/>
    <n v="6"/>
    <n v="2"/>
    <n v="1"/>
    <n v="4"/>
    <n v="28.8"/>
    <s v="Jul"/>
    <d v="2015-07-09T11:32:44"/>
    <x v="21"/>
    <n v="5"/>
    <n v="11"/>
    <m/>
  </r>
  <r>
    <n v="133"/>
    <s v="Nebraska"/>
    <s v="68818"/>
    <d v="2015-05-28T11:12:52"/>
    <d v="2015-05-28T11:12:56"/>
    <n v="1"/>
    <n v="4"/>
    <n v="2"/>
    <n v="2"/>
    <n v="1"/>
    <n v="1"/>
    <n v="36"/>
    <s v="May"/>
    <d v="2015-05-28T11:12:52"/>
    <x v="4"/>
    <n v="5"/>
    <n v="11"/>
    <m/>
  </r>
  <r>
    <n v="134"/>
    <s v="New Hampshire"/>
    <s v="03874"/>
    <d v="2015-09-17T12:28:15"/>
    <d v="2015-09-17T12:28:23"/>
    <n v="1"/>
    <n v="2"/>
    <n v="2"/>
    <n v="2"/>
    <n v="1"/>
    <n v="1"/>
    <n v="70.400000000000006"/>
    <s v="Sep"/>
    <d v="2015-09-17T12:28:15"/>
    <x v="8"/>
    <n v="5"/>
    <n v="12"/>
    <m/>
  </r>
  <r>
    <n v="135"/>
    <s v="Arizona"/>
    <s v="85367"/>
    <d v="2015-01-17T09:58:41"/>
    <d v="2015-01-17T09:58:44"/>
    <n v="1"/>
    <n v="0"/>
    <n v="4"/>
    <n v="4"/>
    <n v="1"/>
    <n v="2"/>
    <n v="18"/>
    <s v="Jan"/>
    <d v="2015-01-17T10:00:31"/>
    <x v="8"/>
    <n v="7"/>
    <n v="10"/>
    <m/>
  </r>
  <r>
    <n v="136"/>
    <s v="Alabama"/>
    <s v="36093"/>
    <d v="2015-09-08T12:52:25"/>
    <d v="2015-09-08T12:52:35"/>
    <n v="1"/>
    <n v="2"/>
    <n v="4"/>
    <n v="2"/>
    <n v="1"/>
    <n v="1"/>
    <n v="11"/>
    <s v="Sep"/>
    <d v="2015-09-08T12:52:25"/>
    <x v="29"/>
    <n v="3"/>
    <n v="12"/>
    <m/>
  </r>
  <r>
    <n v="137"/>
    <s v="Florida"/>
    <s v="33437"/>
    <d v="2015-06-24T15:05:26"/>
    <d v="2015-06-24T15:05:29"/>
    <n v="1"/>
    <n v="2"/>
    <n v="10"/>
    <n v="2"/>
    <n v="1"/>
    <n v="2"/>
    <n v="13.5"/>
    <s v="Jun"/>
    <d v="2015-06-24T15:05:26"/>
    <x v="11"/>
    <n v="4"/>
    <n v="15"/>
    <m/>
  </r>
  <r>
    <n v="138"/>
    <s v="Rhode Island"/>
    <s v="02888"/>
    <d v="2015-08-19T20:10:08"/>
    <d v="2015-08-19T20:10:11"/>
    <n v="1"/>
    <n v="0"/>
    <n v="2"/>
    <n v="2"/>
    <n v="1"/>
    <n v="1"/>
    <n v="29.92"/>
    <s v="Aug"/>
    <d v="2015-08-19T20:10:09"/>
    <x v="19"/>
    <n v="4"/>
    <n v="20"/>
    <m/>
  </r>
  <r>
    <n v="139"/>
    <s v="Illinois"/>
    <s v="61520"/>
    <d v="2015-08-16T04:45:16"/>
    <d v="2015-08-16T00:45:22"/>
    <n v="1"/>
    <n v="2"/>
    <n v="8"/>
    <n v="3"/>
    <n v="1"/>
    <n v="4"/>
    <n v="36.799999999999997"/>
    <s v="Aug"/>
    <d v="2015-08-16T00:45:17"/>
    <x v="22"/>
    <n v="1"/>
    <n v="0"/>
    <m/>
  </r>
  <r>
    <n v="140"/>
    <s v="Pennsylvania"/>
    <s v="16803"/>
    <d v="2015-07-01T19:48:00"/>
    <d v="2015-07-01T15:48:02"/>
    <n v="1"/>
    <n v="4"/>
    <n v="4"/>
    <n v="1"/>
    <n v="1"/>
    <n v="3"/>
    <n v="52.8"/>
    <s v="Jul"/>
    <d v="2015-07-01T15:52:08"/>
    <x v="6"/>
    <n v="4"/>
    <n v="15"/>
    <m/>
  </r>
  <r>
    <n v="141"/>
    <s v="Texas"/>
    <s v="77079"/>
    <d v="2015-05-15T13:19:27"/>
    <d v="2015-05-15T13:19:33"/>
    <n v="1"/>
    <n v="9"/>
    <n v="8"/>
    <n v="2"/>
    <n v="1"/>
    <n v="4"/>
    <n v="28.8"/>
    <s v="May"/>
    <d v="2015-05-15T13:19:31"/>
    <x v="0"/>
    <n v="6"/>
    <n v="13"/>
    <m/>
  </r>
  <r>
    <n v="142"/>
    <s v="Kentucky"/>
    <s v="40509"/>
    <d v="2015-06-19T16:13:06"/>
    <d v="2015-06-19T16:13:10"/>
    <n v="1"/>
    <n v="0"/>
    <n v="2"/>
    <n v="2"/>
    <n v="1"/>
    <n v="4"/>
    <n v="28.8"/>
    <s v="Jun"/>
    <d v="2015-06-19T16:13:07"/>
    <x v="19"/>
    <n v="6"/>
    <n v="16"/>
    <m/>
  </r>
  <r>
    <n v="143"/>
    <m/>
    <m/>
    <d v="2015-01-27T09:36:21"/>
    <d v="2015-01-27T09:36:29"/>
    <n v="1"/>
    <n v="0"/>
    <n v="2"/>
    <n v="3"/>
    <n v="1"/>
    <n v="1"/>
    <n v="115.2"/>
    <s v="Jan"/>
    <d v="2015-01-27T09:36:26"/>
    <x v="28"/>
    <n v="3"/>
    <n v="9"/>
    <m/>
  </r>
  <r>
    <n v="144"/>
    <m/>
    <m/>
    <d v="2015-04-27T15:46:00"/>
    <d v="2015-04-27T15:46:03"/>
    <n v="1"/>
    <n v="2"/>
    <n v="1"/>
    <n v="1"/>
    <n v="1"/>
    <n v="3"/>
    <n v="27"/>
    <s v="Apr"/>
    <d v="2015-04-27T16:39:43"/>
    <x v="28"/>
    <n v="2"/>
    <n v="16"/>
    <m/>
  </r>
  <r>
    <n v="145"/>
    <s v="New York"/>
    <s v="14450"/>
    <d v="2015-05-18T15:24:49"/>
    <d v="2015-08-08T01:32:33"/>
    <n v="10"/>
    <n v="1"/>
    <n v="6"/>
    <n v="6"/>
    <n v="1"/>
    <n v="4"/>
    <n v="35.200000000000003"/>
    <s v="Aug"/>
    <d v="2015-08-05T09:13:07"/>
    <x v="2"/>
    <n v="4"/>
    <n v="9"/>
    <m/>
  </r>
  <r>
    <n v="146"/>
    <s v="California"/>
    <s v="93401"/>
    <d v="2015-01-18T03:52:55"/>
    <d v="2015-01-25T15:04:34"/>
    <n v="3"/>
    <n v="2"/>
    <n v="8"/>
    <n v="5"/>
    <n v="1"/>
    <n v="4"/>
    <n v="28.8"/>
    <s v="Jan"/>
    <d v="2015-01-18T03:53:13"/>
    <x v="9"/>
    <n v="1"/>
    <n v="3"/>
    <m/>
  </r>
  <r>
    <n v="147"/>
    <m/>
    <m/>
    <d v="2015-04-11T13:12:25"/>
    <d v="2015-04-11T13:12:31"/>
    <n v="1"/>
    <n v="2"/>
    <n v="8"/>
    <n v="3"/>
    <n v="1"/>
    <n v="8"/>
    <n v="57.6"/>
    <s v="Apr"/>
    <d v="2015-04-11T13:12:26"/>
    <x v="12"/>
    <n v="7"/>
    <n v="13"/>
    <m/>
  </r>
  <r>
    <n v="148"/>
    <s v="Texas"/>
    <s v="79382"/>
    <d v="2015-01-19T16:21:12"/>
    <d v="2015-01-19T16:21:15"/>
    <n v="1"/>
    <n v="0"/>
    <n v="2"/>
    <n v="3"/>
    <n v="1"/>
    <n v="1"/>
    <n v="36"/>
    <s v="Jan"/>
    <d v="2015-01-19T16:21:13"/>
    <x v="19"/>
    <n v="2"/>
    <n v="16"/>
    <m/>
  </r>
  <r>
    <n v="149"/>
    <s v="New Hampshire"/>
    <s v="03598"/>
    <d v="2015-06-19T17:32:43"/>
    <d v="2015-06-19T13:32:48"/>
    <n v="1"/>
    <n v="2"/>
    <n v="4"/>
    <n v="2"/>
    <n v="1"/>
    <n v="2"/>
    <n v="21"/>
    <s v="Jun"/>
    <d v="2015-06-19T13:32:44"/>
    <x v="19"/>
    <n v="6"/>
    <n v="13"/>
    <m/>
  </r>
  <r>
    <n v="150"/>
    <s v="Arkansas"/>
    <s v="72015"/>
    <d v="2015-07-12T14:33:44"/>
    <d v="2015-07-12T10:33:45"/>
    <n v="1"/>
    <n v="4"/>
    <n v="10"/>
    <n v="2"/>
    <n v="1"/>
    <n v="5"/>
    <n v="36"/>
    <s v="Jul"/>
    <d v="2015-07-12T10:37:29"/>
    <x v="5"/>
    <n v="1"/>
    <n v="10"/>
    <m/>
  </r>
  <r>
    <n v="151"/>
    <s v="Illinois"/>
    <s v="60487"/>
    <d v="2015-02-24T01:24:37"/>
    <d v="2015-02-24T01:29:38"/>
    <n v="3"/>
    <n v="2"/>
    <n v="10"/>
    <n v="1"/>
    <n v="1"/>
    <n v="4"/>
    <n v="28.8"/>
    <s v="Feb"/>
    <d v="2015-02-24T01:24:38"/>
    <x v="11"/>
    <n v="3"/>
    <n v="1"/>
    <m/>
  </r>
  <r>
    <n v="152"/>
    <s v="Texas"/>
    <s v="77316"/>
    <d v="2015-08-18T19:24:40"/>
    <d v="2015-08-18T19:24:43"/>
    <n v="1"/>
    <n v="4"/>
    <n v="8"/>
    <n v="4"/>
    <n v="1"/>
    <n v="2"/>
    <n v="17.600000000000001"/>
    <s v="Aug"/>
    <d v="2015-08-18T19:24:41"/>
    <x v="9"/>
    <n v="3"/>
    <n v="19"/>
    <m/>
  </r>
  <r>
    <n v="153"/>
    <s v="Mississippi"/>
    <s v="39701"/>
    <d v="2015-01-23T11:44:11"/>
    <d v="2015-01-23T11:44:15"/>
    <n v="1"/>
    <n v="0"/>
    <n v="4"/>
    <n v="2"/>
    <n v="1"/>
    <n v="1"/>
    <n v="28.8"/>
    <s v="Jan"/>
    <d v="2015-01-23T11:44:13"/>
    <x v="10"/>
    <n v="6"/>
    <n v="11"/>
    <m/>
  </r>
  <r>
    <n v="154"/>
    <s v="California"/>
    <s v="92126"/>
    <d v="2015-05-31T15:31:38"/>
    <d v="2015-05-31T15:31:41"/>
    <n v="1"/>
    <n v="2"/>
    <n v="2"/>
    <n v="2"/>
    <n v="1"/>
    <n v="4"/>
    <n v="28.8"/>
    <s v="May"/>
    <d v="2015-05-31T15:31:38"/>
    <x v="14"/>
    <n v="1"/>
    <n v="15"/>
    <m/>
  </r>
  <r>
    <n v="155"/>
    <s v="Florida"/>
    <s v="32320"/>
    <d v="2015-07-05T13:33:18"/>
    <d v="2015-07-05T09:33:24"/>
    <n v="1"/>
    <n v="11"/>
    <n v="8"/>
    <n v="4"/>
    <n v="1"/>
    <n v="4"/>
    <n v="33.6"/>
    <s v="Jul"/>
    <d v="2015-07-05T09:33:19"/>
    <x v="2"/>
    <n v="1"/>
    <n v="9"/>
    <m/>
  </r>
  <r>
    <n v="156"/>
    <s v="Minnesota"/>
    <s v="56252"/>
    <d v="2015-07-13T07:37:35"/>
    <d v="2015-07-13T07:37:40"/>
    <n v="1"/>
    <n v="4"/>
    <n v="2"/>
    <n v="4"/>
    <n v="1"/>
    <n v="1"/>
    <n v="57.6"/>
    <s v="Jul"/>
    <d v="2015-07-13T07:37:36"/>
    <x v="20"/>
    <n v="2"/>
    <n v="7"/>
    <m/>
  </r>
  <r>
    <n v="157"/>
    <s v="California"/>
    <s v="94538"/>
    <d v="2015-06-06T21:01:40"/>
    <d v="2015-06-06T17:01:46"/>
    <n v="1"/>
    <n v="2"/>
    <n v="2"/>
    <n v="2"/>
    <n v="1"/>
    <n v="1"/>
    <n v="28.8"/>
    <s v="Jun"/>
    <d v="2015-06-06T17:01:42"/>
    <x v="17"/>
    <n v="7"/>
    <n v="17"/>
    <m/>
  </r>
  <r>
    <n v="158"/>
    <m/>
    <m/>
    <d v="2015-08-17T00:06:41"/>
    <d v="2015-08-16T20:06:43"/>
    <n v="1"/>
    <n v="0"/>
    <n v="2"/>
    <n v="4"/>
    <n v="1"/>
    <n v="2"/>
    <n v="59.84"/>
    <s v="Aug"/>
    <d v="2015-08-16T20:17:23"/>
    <x v="22"/>
    <n v="1"/>
    <n v="20"/>
    <m/>
  </r>
  <r>
    <n v="159"/>
    <s v="Oregon"/>
    <s v="97224"/>
    <d v="2015-01-04T19:36:13"/>
    <d v="2015-01-04T19:36:18"/>
    <n v="1"/>
    <n v="1"/>
    <n v="4"/>
    <n v="2"/>
    <n v="1"/>
    <n v="2"/>
    <n v="9"/>
    <s v="Jan"/>
    <d v="2015-01-04T19:36:14"/>
    <x v="24"/>
    <n v="1"/>
    <n v="19"/>
    <m/>
  </r>
  <r>
    <n v="162"/>
    <s v="Minnesota"/>
    <s v="55125"/>
    <d v="2015-04-19T00:07:58"/>
    <d v="2015-04-19T00:08:05"/>
    <n v="1"/>
    <n v="4"/>
    <n v="2"/>
    <n v="1"/>
    <n v="1"/>
    <n v="1"/>
    <n v="9"/>
    <s v="Apr"/>
    <d v="2015-04-19T00:07:58"/>
    <x v="19"/>
    <n v="1"/>
    <n v="0"/>
    <m/>
  </r>
  <r>
    <n v="163"/>
    <s v="Ohio"/>
    <s v="44212"/>
    <d v="2015-01-30T09:03:00"/>
    <d v="2015-01-30T09:03:03"/>
    <n v="1"/>
    <n v="6"/>
    <n v="4"/>
    <n v="1"/>
    <n v="1"/>
    <n v="4"/>
    <n v="28.8"/>
    <s v="Jan"/>
    <d v="2015-01-30T09:15:37"/>
    <x v="13"/>
    <n v="6"/>
    <n v="9"/>
    <m/>
  </r>
  <r>
    <n v="164"/>
    <s v="Oklahoma"/>
    <s v="74136"/>
    <d v="2015-05-01T13:48:54"/>
    <d v="2015-05-01T13:48:59"/>
    <n v="1"/>
    <n v="2"/>
    <n v="2"/>
    <n v="1"/>
    <n v="1"/>
    <n v="4"/>
    <n v="23.04"/>
    <s v="May"/>
    <d v="2015-05-01T13:48:55"/>
    <x v="6"/>
    <n v="6"/>
    <n v="13"/>
    <m/>
  </r>
  <r>
    <n v="165"/>
    <s v="Florida"/>
    <s v="33823"/>
    <d v="2015-05-18T23:15:22"/>
    <d v="2015-05-18T23:15:25"/>
    <n v="1"/>
    <n v="4"/>
    <n v="4"/>
    <n v="2"/>
    <n v="1"/>
    <n v="2"/>
    <n v="18"/>
    <s v="May"/>
    <d v="2015-05-18T23:15:23"/>
    <x v="9"/>
    <n v="2"/>
    <n v="23"/>
    <m/>
  </r>
  <r>
    <n v="166"/>
    <m/>
    <m/>
    <d v="2015-03-23T19:00:25"/>
    <d v="2015-03-23T19:00:30"/>
    <n v="1"/>
    <n v="0"/>
    <n v="20"/>
    <n v="2"/>
    <n v="1"/>
    <n v="8"/>
    <n v="57.6"/>
    <s v="Mar"/>
    <d v="2015-03-23T19:00:26"/>
    <x v="10"/>
    <n v="2"/>
    <n v="19"/>
    <m/>
  </r>
  <r>
    <n v="167"/>
    <s v="Missouri"/>
    <s v="63368"/>
    <d v="2015-02-19T10:19:23"/>
    <d v="2015-03-01T11:58:55"/>
    <n v="8"/>
    <n v="0"/>
    <n v="9"/>
    <n v="16"/>
    <n v="1"/>
    <n v="2"/>
    <n v="9"/>
    <s v="Feb"/>
    <d v="2015-02-19T13:53:12"/>
    <x v="19"/>
    <n v="5"/>
    <n v="13"/>
    <m/>
  </r>
  <r>
    <n v="168"/>
    <s v="Colorado"/>
    <s v="80128"/>
    <d v="2015-07-01T19:19:29"/>
    <d v="2015-07-01T15:19:31"/>
    <n v="1"/>
    <n v="2"/>
    <n v="12"/>
    <n v="5"/>
    <n v="1"/>
    <n v="3"/>
    <n v="18"/>
    <s v="Jul"/>
    <d v="2015-07-01T15:26:23"/>
    <x v="6"/>
    <n v="4"/>
    <n v="15"/>
    <m/>
  </r>
  <r>
    <n v="169"/>
    <s v="New York"/>
    <s v="13140"/>
    <d v="2015-06-19T15:38:14"/>
    <d v="2015-06-19T11:38:19"/>
    <n v="1"/>
    <n v="2"/>
    <n v="4"/>
    <n v="2"/>
    <n v="1"/>
    <n v="4"/>
    <n v="28.8"/>
    <s v="Jun"/>
    <d v="2015-06-19T11:38:16"/>
    <x v="19"/>
    <n v="6"/>
    <n v="11"/>
    <m/>
  </r>
  <r>
    <n v="170"/>
    <s v="Texas"/>
    <s v="76262"/>
    <d v="2015-08-31T14:48:00"/>
    <d v="2015-08-31T10:48:04"/>
    <n v="1"/>
    <n v="12"/>
    <n v="8"/>
    <n v="3"/>
    <n v="1"/>
    <n v="3"/>
    <n v="27"/>
    <s v="Aug"/>
    <d v="2015-08-31T10:48:01"/>
    <x v="14"/>
    <n v="2"/>
    <n v="10"/>
    <m/>
  </r>
  <r>
    <n v="171"/>
    <s v="Virginia"/>
    <s v="20171"/>
    <d v="2015-02-15T08:36:24"/>
    <d v="2015-02-15T08:36:29"/>
    <n v="1"/>
    <n v="2"/>
    <n v="6"/>
    <n v="1"/>
    <n v="1"/>
    <n v="3"/>
    <n v="18"/>
    <s v="Feb"/>
    <d v="2015-02-15T08:36:26"/>
    <x v="0"/>
    <n v="1"/>
    <n v="8"/>
    <m/>
  </r>
  <r>
    <n v="172"/>
    <s v="South Carolina"/>
    <s v="29708"/>
    <d v="2015-01-22T16:02:24"/>
    <d v="2015-01-22T16:02:28"/>
    <n v="1"/>
    <n v="0"/>
    <n v="2"/>
    <n v="2"/>
    <n v="1"/>
    <n v="1"/>
    <n v="28.8"/>
    <s v="Jan"/>
    <d v="2015-01-22T16:02:26"/>
    <x v="1"/>
    <n v="5"/>
    <n v="16"/>
    <m/>
  </r>
  <r>
    <n v="173"/>
    <s v="Georgia"/>
    <s v="30307"/>
    <d v="2015-05-28T09:03:57"/>
    <d v="2015-05-28T09:04:00"/>
    <n v="1"/>
    <n v="0"/>
    <n v="2"/>
    <n v="2"/>
    <n v="1"/>
    <n v="1"/>
    <n v="36"/>
    <s v="May"/>
    <d v="2015-05-28T09:03:57"/>
    <x v="4"/>
    <n v="5"/>
    <n v="9"/>
    <m/>
  </r>
  <r>
    <n v="174"/>
    <s v="New York"/>
    <s v="12534"/>
    <d v="2015-06-02T08:43:29"/>
    <d v="2015-06-02T08:43:34"/>
    <n v="1"/>
    <n v="14"/>
    <n v="18"/>
    <n v="5"/>
    <n v="1"/>
    <n v="4"/>
    <n v="28.8"/>
    <s v="Jun"/>
    <d v="2015-06-02T08:43:31"/>
    <x v="30"/>
    <n v="3"/>
    <n v="8"/>
    <m/>
  </r>
  <r>
    <n v="175"/>
    <s v="Kentucky"/>
    <s v="40165"/>
    <d v="2015-06-25T23:54:08"/>
    <d v="2015-06-25T23:54:12"/>
    <n v="1"/>
    <n v="6"/>
    <n v="8"/>
    <n v="4"/>
    <n v="1"/>
    <n v="5"/>
    <n v="54"/>
    <s v="Jun"/>
    <d v="2015-06-25T23:54:08"/>
    <x v="3"/>
    <n v="5"/>
    <n v="23"/>
    <m/>
  </r>
  <r>
    <n v="176"/>
    <s v="Massachusetts"/>
    <s v="02035"/>
    <d v="2015-06-23T18:25:05"/>
    <d v="2015-06-23T14:25:11"/>
    <n v="1"/>
    <n v="6"/>
    <n v="4"/>
    <n v="2"/>
    <n v="1"/>
    <n v="2"/>
    <n v="78"/>
    <s v="Jun"/>
    <d v="2015-06-23T14:25:07"/>
    <x v="10"/>
    <n v="3"/>
    <n v="14"/>
    <m/>
  </r>
  <r>
    <n v="177"/>
    <s v="Ohio"/>
    <s v="43830"/>
    <d v="2015-09-05T08:05:08"/>
    <d v="2015-09-05T08:05:14"/>
    <n v="1"/>
    <n v="4"/>
    <n v="4"/>
    <n v="2"/>
    <n v="1"/>
    <n v="2"/>
    <n v="49.76"/>
    <s v="Sep"/>
    <d v="2015-09-05T08:05:08"/>
    <x v="2"/>
    <n v="7"/>
    <n v="8"/>
    <m/>
  </r>
  <r>
    <n v="178"/>
    <m/>
    <m/>
    <d v="2015-03-04T09:26:57"/>
    <d v="2015-03-04T09:27:06"/>
    <n v="1"/>
    <n v="4"/>
    <n v="8"/>
    <n v="10"/>
    <n v="1"/>
    <n v="4"/>
    <n v="28.8"/>
    <s v="Mar"/>
    <d v="2015-03-04T09:27:03"/>
    <x v="24"/>
    <n v="4"/>
    <n v="9"/>
    <m/>
  </r>
  <r>
    <n v="179"/>
    <s v="Ohio"/>
    <s v="44319"/>
    <d v="2015-04-09T18:44:28"/>
    <d v="2015-04-09T18:44:34"/>
    <n v="1"/>
    <n v="0"/>
    <n v="6"/>
    <n v="1"/>
    <n v="1"/>
    <n v="3"/>
    <n v="27"/>
    <s v="Apr"/>
    <d v="2015-04-09T18:44:29"/>
    <x v="21"/>
    <n v="5"/>
    <n v="18"/>
    <m/>
  </r>
  <r>
    <n v="180"/>
    <s v="Idaho"/>
    <s v="83642"/>
    <d v="2015-08-12T14:29:48"/>
    <d v="2015-08-12T14:29:51"/>
    <n v="1"/>
    <n v="2"/>
    <n v="2"/>
    <n v="3"/>
    <n v="1"/>
    <n v="1"/>
    <n v="70.400000000000006"/>
    <s v="Aug"/>
    <d v="2015-08-12T14:29:49"/>
    <x v="5"/>
    <n v="4"/>
    <n v="14"/>
    <m/>
  </r>
  <r>
    <n v="181"/>
    <s v="Kentucky"/>
    <s v="41101"/>
    <d v="2015-03-18T08:48:38"/>
    <d v="2015-03-18T08:48:43"/>
    <n v="1"/>
    <n v="8"/>
    <n v="12"/>
    <n v="1"/>
    <n v="1"/>
    <n v="5"/>
    <n v="52.8"/>
    <s v="Mar"/>
    <d v="2015-03-18T08:48:39"/>
    <x v="9"/>
    <n v="4"/>
    <n v="8"/>
    <m/>
  </r>
  <r>
    <n v="182"/>
    <s v="Maryland"/>
    <s v="20851"/>
    <d v="2015-02-06T01:36:44"/>
    <d v="2015-02-06T01:36:52"/>
    <n v="1"/>
    <n v="2"/>
    <n v="4"/>
    <n v="1"/>
    <n v="1"/>
    <n v="2"/>
    <n v="9"/>
    <s v="Feb"/>
    <d v="2015-02-06T01:36:49"/>
    <x v="17"/>
    <n v="6"/>
    <n v="1"/>
    <m/>
  </r>
  <r>
    <n v="183"/>
    <s v="New Jersey"/>
    <s v="07932"/>
    <d v="2015-02-02T15:13:21"/>
    <d v="2015-02-02T15:13:28"/>
    <n v="1"/>
    <n v="4"/>
    <n v="10"/>
    <n v="1"/>
    <n v="1"/>
    <n v="6"/>
    <n v="43.2"/>
    <s v="Feb"/>
    <d v="2015-02-02T15:13:25"/>
    <x v="30"/>
    <n v="2"/>
    <n v="15"/>
    <m/>
  </r>
  <r>
    <n v="184"/>
    <s v="California"/>
    <s v="94061"/>
    <d v="2015-08-14T04:39:38"/>
    <d v="2015-08-14T00:39:43"/>
    <n v="1"/>
    <n v="6"/>
    <n v="6"/>
    <n v="2"/>
    <n v="1"/>
    <n v="6"/>
    <n v="48"/>
    <s v="Aug"/>
    <d v="2015-08-14T00:39:38"/>
    <x v="25"/>
    <n v="6"/>
    <n v="0"/>
    <m/>
  </r>
  <r>
    <n v="185"/>
    <s v="Pennsylvania"/>
    <s v="19057"/>
    <d v="2015-02-18T15:51:46"/>
    <d v="2015-02-19T19:48:25"/>
    <n v="5"/>
    <n v="0"/>
    <n v="8"/>
    <n v="2"/>
    <n v="1"/>
    <n v="4"/>
    <n v="36"/>
    <s v="Feb"/>
    <d v="2015-02-18T15:51:47"/>
    <x v="9"/>
    <n v="4"/>
    <n v="15"/>
    <m/>
  </r>
  <r>
    <n v="186"/>
    <s v="Washington"/>
    <s v="98501"/>
    <d v="2015-01-27T17:06:56"/>
    <d v="2015-02-19T13:03:39"/>
    <n v="2"/>
    <n v="10"/>
    <n v="34"/>
    <n v="7"/>
    <n v="2"/>
    <n v="32"/>
    <n v="63.2"/>
    <s v="Jan"/>
    <d v="2015-01-27T17:06:57"/>
    <x v="28"/>
    <n v="3"/>
    <n v="17"/>
    <m/>
  </r>
  <r>
    <n v="187"/>
    <s v="North Carolina"/>
    <s v="27302"/>
    <d v="2015-03-18T07:48:14"/>
    <d v="2015-03-18T07:48:20"/>
    <n v="1"/>
    <n v="2"/>
    <n v="8"/>
    <n v="1"/>
    <n v="1"/>
    <n v="4"/>
    <n v="28.8"/>
    <s v="Mar"/>
    <d v="2015-03-18T07:48:15"/>
    <x v="9"/>
    <n v="4"/>
    <n v="7"/>
    <m/>
  </r>
  <r>
    <n v="188"/>
    <s v="Oklahoma"/>
    <s v="73034"/>
    <d v="2015-08-22T10:37:57"/>
    <d v="2015-08-22T22:58:17"/>
    <n v="2"/>
    <n v="13"/>
    <n v="10"/>
    <n v="2"/>
    <n v="1"/>
    <n v="5"/>
    <n v="65.92"/>
    <s v="Aug"/>
    <d v="2015-08-22T10:37:57"/>
    <x v="1"/>
    <n v="7"/>
    <n v="10"/>
    <m/>
  </r>
  <r>
    <n v="189"/>
    <s v="New Jersey"/>
    <s v="07458"/>
    <d v="2014-12-03T12:35:07"/>
    <d v="2015-05-26T22:29:40"/>
    <n v="2"/>
    <n v="4"/>
    <n v="2"/>
    <n v="3"/>
    <n v="1"/>
    <n v="4"/>
    <n v="36"/>
    <s v="May"/>
    <d v="2015-05-26T22:33:40"/>
    <x v="27"/>
    <n v="3"/>
    <n v="22"/>
    <m/>
  </r>
  <r>
    <n v="190"/>
    <s v="Ohio"/>
    <s v="44262"/>
    <d v="2015-07-29T01:52:50"/>
    <d v="2015-07-28T21:52:55"/>
    <n v="1"/>
    <n v="2"/>
    <n v="4"/>
    <n v="4"/>
    <n v="1"/>
    <n v="6"/>
    <n v="52.8"/>
    <s v="Jul"/>
    <d v="2015-07-28T21:52:51"/>
    <x v="4"/>
    <n v="3"/>
    <n v="21"/>
    <m/>
  </r>
  <r>
    <n v="191"/>
    <s v="New Hampshire"/>
    <s v="03103"/>
    <d v="2015-06-29T16:48:12"/>
    <d v="2015-06-29T12:48:17"/>
    <n v="1"/>
    <n v="2"/>
    <n v="2"/>
    <n v="2"/>
    <n v="1"/>
    <n v="1"/>
    <n v="28.8"/>
    <s v="Jun"/>
    <d v="2015-06-29T12:48:13"/>
    <x v="26"/>
    <n v="2"/>
    <n v="12"/>
    <m/>
  </r>
  <r>
    <n v="192"/>
    <s v="Rhode Island"/>
    <s v="02881"/>
    <d v="2015-01-31T09:12:54"/>
    <d v="2015-01-31T09:12:58"/>
    <n v="1"/>
    <n v="0"/>
    <n v="4"/>
    <n v="1"/>
    <n v="1"/>
    <n v="2"/>
    <n v="9"/>
    <s v="Jan"/>
    <d v="2015-01-31T09:12:55"/>
    <x v="14"/>
    <n v="7"/>
    <n v="9"/>
    <m/>
  </r>
  <r>
    <n v="193"/>
    <s v="Texas"/>
    <s v="78749"/>
    <d v="2015-03-19T20:07:17"/>
    <d v="2015-03-19T20:07:21"/>
    <n v="1"/>
    <n v="0"/>
    <n v="8"/>
    <n v="5"/>
    <n v="2"/>
    <n v="8"/>
    <n v="28.8"/>
    <s v="Mar"/>
    <d v="2015-03-19T20:12:26"/>
    <x v="19"/>
    <n v="5"/>
    <n v="20"/>
    <m/>
  </r>
  <r>
    <n v="194"/>
    <s v="New York"/>
    <s v="10021"/>
    <d v="2015-05-15T19:44:07"/>
    <d v="2015-05-15T15:44:09"/>
    <n v="1"/>
    <n v="4"/>
    <n v="10"/>
    <n v="5"/>
    <n v="1"/>
    <n v="5"/>
    <n v="36"/>
    <s v="May"/>
    <d v="2015-05-15T15:45:48"/>
    <x v="0"/>
    <n v="6"/>
    <n v="15"/>
    <m/>
  </r>
  <r>
    <n v="195"/>
    <s v="Arizona"/>
    <s v="85298"/>
    <d v="2015-03-22T15:27:56"/>
    <d v="2015-03-22T15:27:59"/>
    <n v="1"/>
    <n v="2"/>
    <n v="6"/>
    <n v="3"/>
    <n v="1"/>
    <n v="1"/>
    <n v="28.8"/>
    <s v="Mar"/>
    <d v="2015-03-22T15:29:30"/>
    <x v="1"/>
    <n v="1"/>
    <n v="15"/>
    <m/>
  </r>
  <r>
    <n v="196"/>
    <s v="New Hampshire"/>
    <s v="03303"/>
    <d v="2015-01-16T21:21:37"/>
    <d v="2015-03-17T09:16:18"/>
    <n v="4"/>
    <n v="1"/>
    <n v="19"/>
    <n v="4"/>
    <n v="2"/>
    <n v="12"/>
    <n v="54"/>
    <s v="Jan"/>
    <d v="2015-01-16T21:21:39"/>
    <x v="22"/>
    <n v="6"/>
    <n v="21"/>
    <m/>
  </r>
  <r>
    <n v="197"/>
    <s v="Minnesota"/>
    <s v="55357"/>
    <d v="2015-03-23T11:52:13"/>
    <d v="2015-03-23T11:52:21"/>
    <n v="1"/>
    <n v="2"/>
    <n v="8"/>
    <n v="1"/>
    <n v="1"/>
    <n v="4"/>
    <n v="27"/>
    <s v="Mar"/>
    <d v="2015-03-23T11:52:14"/>
    <x v="10"/>
    <n v="2"/>
    <n v="11"/>
    <m/>
  </r>
  <r>
    <n v="198"/>
    <s v="Arizona"/>
    <s v="85268"/>
    <d v="2015-05-25T11:54:37"/>
    <d v="2015-05-25T11:54:40"/>
    <n v="1"/>
    <n v="2"/>
    <n v="2"/>
    <n v="2"/>
    <n v="1"/>
    <n v="1"/>
    <n v="28.8"/>
    <s v="May"/>
    <d v="2015-05-25T11:54:38"/>
    <x v="3"/>
    <n v="2"/>
    <n v="11"/>
    <m/>
  </r>
  <r>
    <n v="200"/>
    <s v="California"/>
    <s v="91602"/>
    <d v="2015-05-22T11:41:12"/>
    <d v="2015-05-22T11:41:15"/>
    <n v="1"/>
    <n v="6"/>
    <n v="4"/>
    <n v="2"/>
    <n v="1"/>
    <n v="2"/>
    <n v="18"/>
    <s v="May"/>
    <d v="2015-05-22T11:41:12"/>
    <x v="1"/>
    <n v="6"/>
    <n v="11"/>
    <m/>
  </r>
  <r>
    <n v="201"/>
    <s v="Massachusetts"/>
    <s v="01020"/>
    <d v="2015-08-30T12:21:59"/>
    <d v="2015-08-30T12:22:02"/>
    <n v="1"/>
    <n v="2"/>
    <n v="2"/>
    <n v="3"/>
    <n v="1"/>
    <n v="1"/>
    <n v="56.32"/>
    <s v="Aug"/>
    <d v="2015-08-30T12:21:59"/>
    <x v="13"/>
    <n v="1"/>
    <n v="12"/>
    <m/>
  </r>
  <r>
    <n v="202"/>
    <s v="Connecticut"/>
    <s v="06082"/>
    <d v="2015-02-28T17:31:38"/>
    <d v="2015-02-28T20:19:21"/>
    <n v="2"/>
    <n v="4"/>
    <n v="14"/>
    <n v="4"/>
    <n v="1"/>
    <n v="3"/>
    <n v="61.6"/>
    <s v="Feb"/>
    <d v="2015-02-28T17:31:39"/>
    <x v="4"/>
    <n v="7"/>
    <n v="17"/>
    <m/>
  </r>
  <r>
    <n v="203"/>
    <s v="Texas"/>
    <s v="77379"/>
    <d v="2015-01-11T19:49:28"/>
    <d v="2015-01-11T19:49:36"/>
    <n v="1"/>
    <n v="4"/>
    <n v="2"/>
    <n v="3"/>
    <n v="1"/>
    <n v="4"/>
    <n v="28.8"/>
    <s v="Jan"/>
    <d v="2015-01-11T19:49:30"/>
    <x v="12"/>
    <n v="1"/>
    <n v="19"/>
    <m/>
  </r>
  <r>
    <n v="205"/>
    <s v="New Jersey"/>
    <s v="07446"/>
    <d v="2015-03-15T20:01:35"/>
    <d v="2015-03-15T20:01:41"/>
    <n v="1"/>
    <n v="0"/>
    <n v="4"/>
    <n v="3"/>
    <n v="1"/>
    <n v="2"/>
    <n v="18"/>
    <s v="Mar"/>
    <d v="2015-03-15T20:01:36"/>
    <x v="0"/>
    <n v="1"/>
    <n v="20"/>
    <m/>
  </r>
  <r>
    <n v="206"/>
    <s v="Minnesota"/>
    <s v="55322"/>
    <d v="2015-04-01T10:11:58"/>
    <d v="2015-04-01T10:12:03"/>
    <n v="1"/>
    <n v="2"/>
    <n v="2"/>
    <n v="1"/>
    <n v="1"/>
    <n v="1"/>
    <n v="36"/>
    <s v="Apr"/>
    <d v="2015-04-01T10:11:59"/>
    <x v="6"/>
    <n v="4"/>
    <n v="10"/>
    <m/>
  </r>
  <r>
    <n v="207"/>
    <s v="Ohio"/>
    <s v="44122"/>
    <d v="2015-07-10T07:52:22"/>
    <d v="2015-07-10T07:52:27"/>
    <n v="1"/>
    <n v="6"/>
    <n v="4"/>
    <n v="2"/>
    <n v="1"/>
    <n v="2"/>
    <n v="64.8"/>
    <s v="Jul"/>
    <d v="2015-07-10T07:52:22"/>
    <x v="7"/>
    <n v="6"/>
    <n v="7"/>
    <m/>
  </r>
  <r>
    <n v="208"/>
    <s v="Connecticut"/>
    <s v="06511"/>
    <d v="2015-01-11T02:03:13"/>
    <d v="2015-01-11T02:03:19"/>
    <n v="1"/>
    <n v="2"/>
    <n v="4"/>
    <n v="4"/>
    <n v="1"/>
    <n v="2"/>
    <n v="9"/>
    <s v="Jan"/>
    <d v="2015-01-11T02:03:15"/>
    <x v="12"/>
    <n v="1"/>
    <n v="2"/>
    <m/>
  </r>
  <r>
    <n v="209"/>
    <m/>
    <m/>
    <d v="2015-03-05T14:26:23"/>
    <d v="2015-03-05T14:26:27"/>
    <n v="1"/>
    <n v="2"/>
    <n v="10"/>
    <n v="3"/>
    <n v="1"/>
    <n v="2"/>
    <n v="14.4"/>
    <s v="Mar"/>
    <d v="2015-03-05T14:34:57"/>
    <x v="2"/>
    <n v="5"/>
    <n v="14"/>
    <m/>
  </r>
  <r>
    <n v="210"/>
    <s v="Minnesota"/>
    <s v="55079"/>
    <d v="2015-01-28T20:18:55"/>
    <d v="2015-01-28T20:19:02"/>
    <n v="1"/>
    <n v="0"/>
    <n v="6"/>
    <n v="1"/>
    <n v="1"/>
    <n v="3"/>
    <n v="21.6"/>
    <s v="Jan"/>
    <d v="2015-01-28T20:18:57"/>
    <x v="4"/>
    <n v="4"/>
    <n v="20"/>
    <m/>
  </r>
  <r>
    <n v="211"/>
    <s v="California"/>
    <s v="95410"/>
    <d v="2015-01-15T21:39:55"/>
    <d v="2015-01-15T21:39:59"/>
    <n v="1"/>
    <n v="0"/>
    <n v="4"/>
    <n v="2"/>
    <n v="1"/>
    <n v="2"/>
    <n v="9"/>
    <s v="Jan"/>
    <d v="2015-01-15T21:39:56"/>
    <x v="0"/>
    <n v="5"/>
    <n v="21"/>
    <m/>
  </r>
  <r>
    <n v="212"/>
    <s v="Pennsylvania"/>
    <s v="19064"/>
    <d v="2015-07-27T12:21:44"/>
    <d v="2015-07-27T12:21:47"/>
    <n v="1"/>
    <n v="6"/>
    <n v="2"/>
    <n v="5"/>
    <n v="1"/>
    <n v="1"/>
    <n v="29.92"/>
    <s v="Jul"/>
    <d v="2015-07-27T12:21:44"/>
    <x v="28"/>
    <n v="2"/>
    <n v="12"/>
    <m/>
  </r>
  <r>
    <n v="213"/>
    <s v="Virginia"/>
    <s v="22312"/>
    <d v="2015-07-14T02:26:50"/>
    <d v="2015-07-13T22:26:55"/>
    <n v="1"/>
    <n v="12"/>
    <n v="12"/>
    <n v="6"/>
    <n v="1"/>
    <n v="5"/>
    <n v="172.8"/>
    <s v="Jul"/>
    <d v="2015-07-13T22:26:51"/>
    <x v="20"/>
    <n v="2"/>
    <n v="22"/>
    <m/>
  </r>
  <r>
    <n v="214"/>
    <s v="Tennessee"/>
    <s v="37912"/>
    <d v="2015-01-19T05:20:04"/>
    <d v="2015-01-19T05:20:08"/>
    <n v="1"/>
    <n v="1"/>
    <n v="4"/>
    <n v="2"/>
    <n v="1"/>
    <n v="2"/>
    <n v="18"/>
    <s v="Jan"/>
    <d v="2015-01-19T05:20:06"/>
    <x v="19"/>
    <n v="2"/>
    <n v="5"/>
    <m/>
  </r>
  <r>
    <n v="215"/>
    <s v="California"/>
    <s v="94117"/>
    <d v="2015-06-22T23:57:25"/>
    <d v="2015-06-22T23:57:29"/>
    <n v="1"/>
    <n v="2"/>
    <n v="4"/>
    <n v="2"/>
    <n v="1"/>
    <n v="3"/>
    <n v="86.4"/>
    <s v="Jun"/>
    <d v="2015-06-22T23:57:26"/>
    <x v="1"/>
    <n v="2"/>
    <n v="23"/>
    <m/>
  </r>
  <r>
    <n v="216"/>
    <s v="Missouri"/>
    <s v="64155"/>
    <d v="2015-01-22T19:11:00"/>
    <d v="2015-01-22T19:11:04"/>
    <n v="1"/>
    <n v="0"/>
    <n v="4"/>
    <n v="2"/>
    <n v="1"/>
    <n v="2"/>
    <n v="9"/>
    <s v="Jan"/>
    <d v="2015-01-22T19:11:01"/>
    <x v="1"/>
    <n v="5"/>
    <n v="19"/>
    <m/>
  </r>
  <r>
    <n v="217"/>
    <s v="Michigan"/>
    <s v="48642"/>
    <d v="2015-08-11T10:34:04"/>
    <d v="2015-08-11T10:34:08"/>
    <n v="1"/>
    <n v="4"/>
    <n v="4"/>
    <n v="2"/>
    <n v="1"/>
    <n v="2"/>
    <n v="38.72"/>
    <s v="Aug"/>
    <d v="2015-08-11T10:34:04"/>
    <x v="12"/>
    <n v="3"/>
    <n v="10"/>
    <m/>
  </r>
  <r>
    <n v="219"/>
    <m/>
    <m/>
    <d v="2015-06-08T19:21:38"/>
    <d v="2015-08-21T07:20:27"/>
    <n v="22"/>
    <n v="24"/>
    <n v="21"/>
    <n v="17"/>
    <n v="1"/>
    <n v="2"/>
    <n v="31.5"/>
    <s v="Aug"/>
    <d v="2015-08-21T07:37:00"/>
    <x v="18"/>
    <n v="6"/>
    <n v="7"/>
    <m/>
  </r>
  <r>
    <n v="220"/>
    <s v="Florida"/>
    <s v="33157"/>
    <d v="2015-04-23T13:56:41"/>
    <d v="2015-04-23T13:56:45"/>
    <n v="1"/>
    <n v="2"/>
    <n v="4"/>
    <n v="1"/>
    <n v="1"/>
    <n v="2"/>
    <n v="18"/>
    <s v="Apr"/>
    <d v="2015-04-23T13:56:42"/>
    <x v="10"/>
    <n v="5"/>
    <n v="13"/>
    <m/>
  </r>
  <r>
    <n v="221"/>
    <s v="District of Columbia"/>
    <s v="20003"/>
    <d v="2015-05-15T15:04:21"/>
    <d v="2015-05-15T15:04:24"/>
    <n v="1"/>
    <n v="0"/>
    <n v="2"/>
    <n v="2"/>
    <n v="1"/>
    <n v="4"/>
    <n v="28.8"/>
    <s v="May"/>
    <d v="2015-05-15T15:04:22"/>
    <x v="0"/>
    <n v="6"/>
    <n v="15"/>
    <m/>
  </r>
  <r>
    <n v="222"/>
    <s v="Maryland"/>
    <s v="21201"/>
    <d v="2015-06-13T12:10:50"/>
    <d v="2015-06-13T12:10:55"/>
    <n v="1"/>
    <n v="4"/>
    <n v="8"/>
    <n v="2"/>
    <n v="1"/>
    <n v="7"/>
    <n v="47.25"/>
    <s v="Jun"/>
    <d v="2015-06-13T12:10:51"/>
    <x v="20"/>
    <n v="7"/>
    <n v="12"/>
    <m/>
  </r>
  <r>
    <n v="223"/>
    <s v="Maryland"/>
    <s v="20744"/>
    <d v="2015-03-21T08:28:38"/>
    <d v="2015-03-21T08:28:46"/>
    <n v="1"/>
    <n v="8"/>
    <n v="18"/>
    <n v="3"/>
    <n v="1"/>
    <n v="8"/>
    <n v="70"/>
    <s v="Mar"/>
    <d v="2015-03-21T08:28:40"/>
    <x v="18"/>
    <n v="7"/>
    <n v="8"/>
    <m/>
  </r>
  <r>
    <n v="224"/>
    <s v="Massachusetts"/>
    <s v="01845"/>
    <d v="2015-02-22T12:12:52"/>
    <d v="2015-02-22T12:12:57"/>
    <n v="1"/>
    <n v="0"/>
    <n v="8"/>
    <n v="1"/>
    <n v="1"/>
    <n v="4"/>
    <n v="28.8"/>
    <s v="Feb"/>
    <d v="2015-02-22T12:12:53"/>
    <x v="1"/>
    <n v="1"/>
    <n v="12"/>
    <m/>
  </r>
  <r>
    <n v="225"/>
    <s v="Texas"/>
    <s v="77407"/>
    <d v="2015-02-11T18:08:36"/>
    <d v="2015-02-20T14:41:56"/>
    <n v="5"/>
    <n v="10"/>
    <n v="13"/>
    <n v="8"/>
    <n v="1"/>
    <n v="4"/>
    <n v="201.6"/>
    <s v="Feb"/>
    <d v="2015-02-11T18:08:39"/>
    <x v="12"/>
    <n v="4"/>
    <n v="18"/>
    <m/>
  </r>
  <r>
    <n v="226"/>
    <s v="Illinois"/>
    <s v="60606"/>
    <d v="2015-08-13T12:17:52"/>
    <d v="2015-08-13T12:17:54"/>
    <n v="1"/>
    <n v="2"/>
    <n v="2"/>
    <n v="2"/>
    <n v="1"/>
    <n v="2"/>
    <n v="59.84"/>
    <s v="Aug"/>
    <d v="2015-08-13T12:17:52"/>
    <x v="20"/>
    <n v="5"/>
    <n v="12"/>
    <m/>
  </r>
  <r>
    <n v="227"/>
    <s v="California"/>
    <s v="95123"/>
    <d v="2015-09-03T17:57:51"/>
    <d v="2015-09-03T13:57:56"/>
    <n v="1"/>
    <n v="2"/>
    <n v="4"/>
    <n v="3"/>
    <n v="1"/>
    <n v="2"/>
    <n v="22"/>
    <s v="Sep"/>
    <d v="2015-09-03T13:57:52"/>
    <x v="23"/>
    <n v="5"/>
    <n v="13"/>
    <m/>
  </r>
  <r>
    <n v="228"/>
    <s v="Washington"/>
    <s v="98112"/>
    <d v="2015-01-22T01:52:56"/>
    <d v="2015-01-22T01:53:00"/>
    <n v="1"/>
    <n v="0"/>
    <n v="2"/>
    <n v="2"/>
    <n v="1"/>
    <n v="5"/>
    <n v="36"/>
    <s v="Jan"/>
    <d v="2015-01-22T01:52:57"/>
    <x v="1"/>
    <n v="5"/>
    <n v="1"/>
    <m/>
  </r>
  <r>
    <n v="229"/>
    <s v="Oregon"/>
    <s v="97301"/>
    <d v="2015-05-14T20:34:31"/>
    <d v="2015-05-14T20:34:36"/>
    <n v="1"/>
    <n v="0"/>
    <n v="2"/>
    <n v="2"/>
    <n v="1"/>
    <n v="3"/>
    <n v="21.6"/>
    <s v="May"/>
    <d v="2015-05-14T20:34:32"/>
    <x v="25"/>
    <n v="5"/>
    <n v="20"/>
    <m/>
  </r>
  <r>
    <n v="230"/>
    <s v="South Carolina"/>
    <s v="29201"/>
    <d v="2015-01-21T09:44:37"/>
    <d v="2015-01-21T09:44:41"/>
    <n v="1"/>
    <n v="2"/>
    <n v="8"/>
    <n v="2"/>
    <n v="1"/>
    <n v="4"/>
    <n v="28.8"/>
    <s v="Jan"/>
    <d v="2015-01-21T09:44:39"/>
    <x v="18"/>
    <n v="4"/>
    <n v="9"/>
    <m/>
  </r>
  <r>
    <n v="231"/>
    <s v="California"/>
    <s v="90039"/>
    <d v="2015-05-19T14:14:50"/>
    <d v="2015-05-19T14:14:54"/>
    <n v="1"/>
    <n v="2"/>
    <n v="10"/>
    <n v="2"/>
    <n v="1"/>
    <n v="1"/>
    <n v="57.6"/>
    <s v="May"/>
    <d v="2015-05-19T14:14:51"/>
    <x v="19"/>
    <n v="3"/>
    <n v="14"/>
    <m/>
  </r>
  <r>
    <n v="232"/>
    <s v="Oregon"/>
    <s v="97030"/>
    <d v="2015-06-28T16:26:48"/>
    <d v="2015-06-28T12:26:52"/>
    <n v="1"/>
    <n v="6"/>
    <n v="4"/>
    <n v="2"/>
    <n v="1"/>
    <n v="1"/>
    <n v="28.8"/>
    <s v="Jun"/>
    <d v="2015-06-28T12:26:49"/>
    <x v="4"/>
    <n v="1"/>
    <n v="12"/>
    <m/>
  </r>
  <r>
    <n v="233"/>
    <s v="Florida"/>
    <s v="33897"/>
    <d v="2015-08-20T19:06:50"/>
    <d v="2015-08-21T17:25:29"/>
    <n v="5"/>
    <n v="0"/>
    <n v="2"/>
    <n v="4"/>
    <n v="1"/>
    <n v="1"/>
    <n v="28.05"/>
    <s v="Aug"/>
    <d v="2015-08-20T19:06:50"/>
    <x v="15"/>
    <n v="5"/>
    <n v="19"/>
    <m/>
  </r>
  <r>
    <n v="234"/>
    <s v="Louisiana"/>
    <s v="70508"/>
    <d v="2015-03-21T00:13:58"/>
    <d v="2015-03-21T20:53:32"/>
    <n v="2"/>
    <n v="2"/>
    <n v="4"/>
    <n v="1"/>
    <n v="1"/>
    <n v="4"/>
    <n v="28.8"/>
    <s v="Mar"/>
    <d v="2015-03-21T00:13:59"/>
    <x v="18"/>
    <n v="7"/>
    <n v="0"/>
    <m/>
  </r>
  <r>
    <n v="235"/>
    <s v="Kentucky"/>
    <s v="40242"/>
    <d v="2015-02-05T16:30:09"/>
    <d v="2015-02-05T19:58:02"/>
    <n v="3"/>
    <n v="0"/>
    <n v="8"/>
    <n v="2"/>
    <n v="1"/>
    <n v="4"/>
    <n v="36"/>
    <s v="Feb"/>
    <d v="2015-02-05T16:30:11"/>
    <x v="2"/>
    <n v="5"/>
    <n v="16"/>
    <m/>
  </r>
  <r>
    <n v="236"/>
    <s v="California"/>
    <s v="94530"/>
    <d v="2015-04-14T12:27:39"/>
    <d v="2015-04-14T12:27:44"/>
    <n v="1"/>
    <n v="0"/>
    <n v="6"/>
    <n v="1"/>
    <n v="1"/>
    <n v="3"/>
    <n v="18"/>
    <s v="Apr"/>
    <d v="2015-04-14T12:27:40"/>
    <x v="25"/>
    <n v="3"/>
    <n v="12"/>
    <m/>
  </r>
  <r>
    <n v="237"/>
    <s v="Nebraska"/>
    <s v="69130"/>
    <d v="2015-08-15T22:31:51"/>
    <d v="2015-08-15T18:31:53"/>
    <n v="1"/>
    <n v="14"/>
    <n v="8"/>
    <n v="2"/>
    <n v="1"/>
    <n v="4"/>
    <n v="124.96"/>
    <s v="Aug"/>
    <d v="2015-08-15T18:36:02"/>
    <x v="0"/>
    <n v="7"/>
    <n v="18"/>
    <m/>
  </r>
  <r>
    <n v="238"/>
    <m/>
    <m/>
    <d v="2015-06-11T18:35:59"/>
    <d v="2015-06-11T17:02:42"/>
    <n v="3"/>
    <n v="0"/>
    <n v="3"/>
    <n v="7"/>
    <n v="1"/>
    <n v="2"/>
    <n v="14.4"/>
    <s v="Jun"/>
    <d v="2015-06-11T14:51:11"/>
    <x v="12"/>
    <n v="5"/>
    <n v="14"/>
    <m/>
  </r>
  <r>
    <n v="239"/>
    <s v="California"/>
    <s v="94110"/>
    <d v="2015-01-27T16:16:08"/>
    <d v="2015-01-27T16:16:12"/>
    <n v="1"/>
    <n v="2"/>
    <n v="14"/>
    <n v="3"/>
    <n v="1"/>
    <n v="4"/>
    <n v="30.6"/>
    <s v="Jan"/>
    <d v="2015-01-27T16:16:10"/>
    <x v="28"/>
    <n v="3"/>
    <n v="16"/>
    <m/>
  </r>
  <r>
    <n v="240"/>
    <s v="California"/>
    <s v="93619"/>
    <d v="2015-08-19T12:29:25"/>
    <d v="2015-08-19T12:29:28"/>
    <n v="1"/>
    <n v="2"/>
    <n v="6"/>
    <n v="2"/>
    <n v="1"/>
    <n v="4"/>
    <n v="35.200000000000003"/>
    <s v="Aug"/>
    <d v="2015-08-19T12:29:25"/>
    <x v="19"/>
    <n v="4"/>
    <n v="12"/>
    <m/>
  </r>
  <r>
    <n v="241"/>
    <s v="Washington"/>
    <s v="98034"/>
    <d v="2015-06-12T17:42:30"/>
    <d v="2015-06-12T13:42:34"/>
    <n v="1"/>
    <n v="2"/>
    <n v="2"/>
    <n v="2"/>
    <n v="1"/>
    <n v="4"/>
    <n v="28.8"/>
    <s v="Jun"/>
    <d v="2015-06-12T13:42:31"/>
    <x v="5"/>
    <n v="6"/>
    <n v="13"/>
    <m/>
  </r>
  <r>
    <n v="242"/>
    <s v="Virginia"/>
    <s v="23701"/>
    <d v="2015-07-13T20:36:36"/>
    <d v="2015-07-13T16:36:40"/>
    <n v="1"/>
    <n v="0"/>
    <n v="2"/>
    <n v="2"/>
    <n v="1"/>
    <n v="1"/>
    <n v="6.75"/>
    <s v="Jul"/>
    <d v="2015-07-13T16:36:36"/>
    <x v="20"/>
    <n v="2"/>
    <n v="16"/>
    <m/>
  </r>
  <r>
    <n v="243"/>
    <s v="Kentucky"/>
    <s v="40516"/>
    <d v="2015-01-27T22:33:38"/>
    <d v="2015-01-27T22:33:43"/>
    <n v="1"/>
    <n v="0"/>
    <n v="4"/>
    <n v="1"/>
    <n v="1"/>
    <n v="2"/>
    <n v="18"/>
    <s v="Jan"/>
    <d v="2015-01-27T22:33:39"/>
    <x v="28"/>
    <n v="3"/>
    <n v="22"/>
    <m/>
  </r>
  <r>
    <n v="244"/>
    <s v="Tennessee"/>
    <s v="38237"/>
    <d v="2015-09-03T15:39:53"/>
    <d v="2015-09-03T11:39:58"/>
    <n v="1"/>
    <n v="0"/>
    <n v="2"/>
    <n v="2"/>
    <n v="1"/>
    <n v="1"/>
    <n v="112.64"/>
    <s v="Sep"/>
    <d v="2015-09-03T11:39:53"/>
    <x v="23"/>
    <n v="5"/>
    <n v="11"/>
    <m/>
  </r>
  <r>
    <n v="245"/>
    <s v="Georgia"/>
    <s v="30022"/>
    <d v="2015-08-10T22:25:24"/>
    <d v="2015-08-10T22:25:28"/>
    <n v="1"/>
    <n v="4"/>
    <n v="6"/>
    <n v="7"/>
    <n v="1"/>
    <n v="1"/>
    <n v="56.32"/>
    <s v="Aug"/>
    <d v="2015-08-10T22:25:24"/>
    <x v="7"/>
    <n v="2"/>
    <n v="22"/>
    <m/>
  </r>
  <r>
    <n v="246"/>
    <s v="California"/>
    <s v="93428"/>
    <d v="2015-03-08T22:05:38"/>
    <d v="2015-03-08T22:05:43"/>
    <n v="1"/>
    <n v="0"/>
    <n v="8"/>
    <n v="1"/>
    <n v="1"/>
    <n v="4"/>
    <n v="28.8"/>
    <s v="Mar"/>
    <d v="2015-03-08T22:05:39"/>
    <x v="29"/>
    <n v="1"/>
    <n v="22"/>
    <m/>
  </r>
  <r>
    <n v="247"/>
    <s v="Colorado"/>
    <s v="80014"/>
    <d v="2015-05-19T16:09:43"/>
    <d v="2015-05-19T12:09:45"/>
    <n v="1"/>
    <n v="16"/>
    <n v="14"/>
    <n v="4"/>
    <n v="1"/>
    <n v="4"/>
    <n v="27"/>
    <s v="May"/>
    <d v="2015-05-19T12:12:06"/>
    <x v="19"/>
    <n v="3"/>
    <n v="12"/>
    <m/>
  </r>
  <r>
    <n v="248"/>
    <s v="Virginia"/>
    <s v="23602"/>
    <d v="2015-09-02T21:07:57"/>
    <d v="2015-09-02T19:27:22"/>
    <n v="3"/>
    <n v="11"/>
    <n v="8"/>
    <n v="2"/>
    <n v="1"/>
    <n v="4"/>
    <n v="33"/>
    <s v="Sep"/>
    <d v="2015-09-02T17:07:58"/>
    <x v="30"/>
    <n v="4"/>
    <n v="17"/>
    <m/>
  </r>
  <r>
    <n v="249"/>
    <s v="Pennsylvania"/>
    <s v="17603"/>
    <d v="2015-06-22T14:48:17"/>
    <d v="2015-07-17T11:26:32"/>
    <n v="5"/>
    <n v="3"/>
    <n v="5"/>
    <n v="8"/>
    <n v="1"/>
    <n v="4"/>
    <n v="35.200000000000003"/>
    <s v="Jul"/>
    <d v="2015-07-16T10:52:08"/>
    <x v="22"/>
    <n v="5"/>
    <n v="10"/>
    <m/>
  </r>
  <r>
    <n v="250"/>
    <s v="Colorado"/>
    <s v="80525"/>
    <d v="2015-01-23T11:30:57"/>
    <d v="2015-01-23T11:31:25"/>
    <n v="1"/>
    <n v="4"/>
    <n v="6"/>
    <n v="2"/>
    <n v="1"/>
    <n v="3"/>
    <n v="21.6"/>
    <s v="Jan"/>
    <d v="2015-01-23T11:31:22"/>
    <x v="10"/>
    <n v="6"/>
    <n v="11"/>
    <m/>
  </r>
  <r>
    <n v="251"/>
    <s v="Ohio"/>
    <s v="43054"/>
    <d v="2015-06-11T11:20:57"/>
    <d v="2015-06-11T11:21:00"/>
    <n v="1"/>
    <n v="2"/>
    <n v="4"/>
    <n v="8"/>
    <n v="1"/>
    <n v="4"/>
    <n v="28.8"/>
    <s v="Jun"/>
    <d v="2015-06-11T11:20:58"/>
    <x v="12"/>
    <n v="5"/>
    <n v="11"/>
    <m/>
  </r>
  <r>
    <n v="252"/>
    <s v="Texas"/>
    <s v="78741"/>
    <d v="2015-06-26T16:04:21"/>
    <d v="2015-06-26T12:04:25"/>
    <n v="1"/>
    <n v="8"/>
    <n v="2"/>
    <n v="2"/>
    <n v="1"/>
    <n v="1"/>
    <n v="28.8"/>
    <s v="Jun"/>
    <d v="2015-06-26T12:04:22"/>
    <x v="27"/>
    <n v="6"/>
    <n v="12"/>
    <m/>
  </r>
  <r>
    <n v="253"/>
    <s v="Connecticut"/>
    <s v="06237"/>
    <d v="2015-05-23T12:20:36"/>
    <d v="2015-05-23T12:20:40"/>
    <n v="1"/>
    <n v="4"/>
    <n v="2"/>
    <n v="7"/>
    <n v="1"/>
    <n v="1"/>
    <n v="57.6"/>
    <s v="May"/>
    <d v="2015-05-23T12:20:37"/>
    <x v="10"/>
    <n v="7"/>
    <n v="12"/>
    <m/>
  </r>
  <r>
    <n v="254"/>
    <s v="Washington"/>
    <s v="98327"/>
    <d v="2015-02-21T09:51:51"/>
    <d v="2015-02-21T09:51:55"/>
    <n v="1"/>
    <n v="0"/>
    <n v="2"/>
    <n v="2"/>
    <n v="1"/>
    <n v="4"/>
    <n v="28.8"/>
    <s v="Feb"/>
    <d v="2015-02-21T09:51:52"/>
    <x v="18"/>
    <n v="7"/>
    <n v="9"/>
    <m/>
  </r>
  <r>
    <n v="255"/>
    <m/>
    <m/>
    <d v="2015-07-20T05:34:03"/>
    <d v="2015-07-20T01:34:04"/>
    <n v="1"/>
    <n v="2"/>
    <n v="3"/>
    <n v="2"/>
    <n v="1"/>
    <n v="2"/>
    <n v="59.84"/>
    <s v="Jul"/>
    <d v="2015-07-20T01:42:41"/>
    <x v="15"/>
    <n v="2"/>
    <n v="1"/>
    <m/>
  </r>
  <r>
    <n v="256"/>
    <m/>
    <m/>
    <d v="2015-02-05T11:00:15"/>
    <d v="2015-02-16T12:59:42"/>
    <n v="2"/>
    <n v="0"/>
    <n v="3"/>
    <n v="5"/>
    <n v="1"/>
    <n v="2"/>
    <n v="18"/>
    <s v="Feb"/>
    <d v="2015-02-05T11:06:27"/>
    <x v="2"/>
    <n v="5"/>
    <n v="11"/>
    <m/>
  </r>
  <r>
    <n v="257"/>
    <s v="Massachusetts"/>
    <s v="01945"/>
    <d v="2015-07-12T15:45:02"/>
    <d v="2015-07-12T11:45:08"/>
    <n v="1"/>
    <n v="10"/>
    <n v="16"/>
    <n v="2"/>
    <n v="1"/>
    <n v="7"/>
    <n v="47.2"/>
    <s v="Jul"/>
    <d v="2015-07-12T11:45:04"/>
    <x v="5"/>
    <n v="1"/>
    <n v="11"/>
    <m/>
  </r>
  <r>
    <n v="258"/>
    <s v="Tennessee"/>
    <s v="37075"/>
    <d v="2015-09-11T16:28:36"/>
    <d v="2015-09-11T16:28:40"/>
    <n v="1"/>
    <n v="8"/>
    <n v="12"/>
    <n v="2"/>
    <n v="1"/>
    <n v="6"/>
    <n v="68"/>
    <s v="Sep"/>
    <d v="2015-09-11T16:28:36"/>
    <x v="12"/>
    <n v="6"/>
    <n v="16"/>
    <m/>
  </r>
  <r>
    <n v="259"/>
    <s v="Illinois"/>
    <s v="60014"/>
    <d v="2015-07-08T15:33:31"/>
    <d v="2015-07-08T11:33:36"/>
    <n v="1"/>
    <n v="0"/>
    <n v="2"/>
    <n v="4"/>
    <n v="1"/>
    <n v="1"/>
    <n v="27"/>
    <s v="Jul"/>
    <d v="2015-07-08T11:33:32"/>
    <x v="29"/>
    <n v="4"/>
    <n v="11"/>
    <m/>
  </r>
  <r>
    <n v="260"/>
    <s v="California"/>
    <s v="94044"/>
    <d v="2015-07-01T20:25:58"/>
    <d v="2015-07-01T16:26:02"/>
    <n v="1"/>
    <n v="2"/>
    <n v="2"/>
    <n v="2"/>
    <n v="1"/>
    <n v="1"/>
    <n v="36"/>
    <s v="Jul"/>
    <d v="2015-07-01T16:25:59"/>
    <x v="6"/>
    <n v="4"/>
    <n v="16"/>
    <m/>
  </r>
  <r>
    <n v="261"/>
    <s v="Michigan"/>
    <s v="48073"/>
    <d v="2015-06-02T20:02:17"/>
    <d v="2015-06-02T20:02:21"/>
    <n v="1"/>
    <n v="2"/>
    <n v="8"/>
    <n v="2"/>
    <n v="1"/>
    <n v="4"/>
    <n v="36"/>
    <s v="Jun"/>
    <d v="2015-06-02T20:02:18"/>
    <x v="30"/>
    <n v="3"/>
    <n v="20"/>
    <m/>
  </r>
  <r>
    <n v="262"/>
    <s v="Pennsylvania"/>
    <s v="19040"/>
    <d v="2015-02-13T16:56:56"/>
    <d v="2015-02-13T16:57:01"/>
    <n v="1"/>
    <n v="0"/>
    <n v="4"/>
    <n v="1"/>
    <n v="1"/>
    <n v="2"/>
    <n v="9"/>
    <s v="Feb"/>
    <d v="2015-02-13T16:56:57"/>
    <x v="20"/>
    <n v="6"/>
    <n v="16"/>
    <m/>
  </r>
  <r>
    <n v="263"/>
    <s v="California"/>
    <s v="92833"/>
    <d v="2015-06-19T17:41:02"/>
    <d v="2015-06-19T17:41:05"/>
    <n v="1"/>
    <n v="8"/>
    <n v="4"/>
    <n v="2"/>
    <n v="1"/>
    <n v="5"/>
    <n v="45"/>
    <s v="Jun"/>
    <d v="2015-06-19T17:41:03"/>
    <x v="19"/>
    <n v="6"/>
    <n v="17"/>
    <m/>
  </r>
  <r>
    <n v="264"/>
    <s v="Rhode Island"/>
    <s v="02910"/>
    <d v="2015-06-07T17:14:15"/>
    <d v="2015-06-07T13:14:17"/>
    <n v="1"/>
    <n v="4"/>
    <n v="6"/>
    <n v="5"/>
    <n v="1"/>
    <n v="2"/>
    <n v="14.4"/>
    <s v="Jun"/>
    <d v="2015-06-07T13:17:08"/>
    <x v="16"/>
    <n v="1"/>
    <n v="13"/>
    <m/>
  </r>
  <r>
    <n v="265"/>
    <m/>
    <m/>
    <d v="2015-03-19T09:51:24"/>
    <d v="2015-03-19T09:51:29"/>
    <n v="1"/>
    <n v="2"/>
    <n v="13"/>
    <n v="2"/>
    <n v="1"/>
    <n v="8"/>
    <n v="57.6"/>
    <s v="Mar"/>
    <d v="2015-03-19T09:56:52"/>
    <x v="19"/>
    <n v="5"/>
    <n v="9"/>
    <m/>
  </r>
  <r>
    <n v="266"/>
    <s v="Massachusetts"/>
    <s v="01843"/>
    <d v="2015-05-15T23:44:45"/>
    <d v="2015-05-15T23:44:48"/>
    <n v="1"/>
    <n v="0"/>
    <n v="2"/>
    <n v="2"/>
    <n v="1"/>
    <n v="2"/>
    <n v="14.4"/>
    <s v="May"/>
    <d v="2015-05-15T23:44:45"/>
    <x v="0"/>
    <n v="6"/>
    <n v="23"/>
    <m/>
  </r>
  <r>
    <n v="267"/>
    <s v="Florida"/>
    <s v="33444"/>
    <d v="2015-08-30T13:29:40"/>
    <d v="2015-08-30T09:29:46"/>
    <n v="1"/>
    <n v="4"/>
    <n v="4"/>
    <n v="2"/>
    <n v="1"/>
    <n v="3"/>
    <n v="121.44"/>
    <s v="Aug"/>
    <d v="2015-08-30T09:29:41"/>
    <x v="13"/>
    <n v="1"/>
    <n v="9"/>
    <m/>
  </r>
  <r>
    <n v="268"/>
    <s v="Indiana"/>
    <s v="46077"/>
    <d v="2015-02-12T19:57:23"/>
    <d v="2015-02-12T19:57:29"/>
    <n v="1"/>
    <n v="2"/>
    <n v="12"/>
    <n v="1"/>
    <n v="1"/>
    <n v="4"/>
    <n v="30.6"/>
    <s v="Feb"/>
    <d v="2015-02-12T19:57:24"/>
    <x v="5"/>
    <n v="5"/>
    <n v="19"/>
    <m/>
  </r>
  <r>
    <n v="269"/>
    <s v="New York"/>
    <s v="13210"/>
    <d v="2015-06-02T19:07:41"/>
    <d v="2015-06-02T15:07:43"/>
    <n v="1"/>
    <n v="2"/>
    <n v="3"/>
    <n v="1"/>
    <n v="1"/>
    <n v="2"/>
    <n v="14.4"/>
    <s v="Jun"/>
    <d v="2015-06-02T15:20:55"/>
    <x v="30"/>
    <n v="3"/>
    <n v="15"/>
    <m/>
  </r>
  <r>
    <n v="270"/>
    <s v="California"/>
    <s v="90012"/>
    <d v="2015-07-27T17:21:57"/>
    <d v="2015-07-28T13:14:29"/>
    <n v="2"/>
    <n v="2"/>
    <n v="4"/>
    <n v="3"/>
    <n v="1"/>
    <n v="2"/>
    <n v="112.64"/>
    <s v="Jul"/>
    <d v="2015-07-27T13:21:58"/>
    <x v="28"/>
    <n v="2"/>
    <n v="13"/>
    <m/>
  </r>
  <r>
    <n v="271"/>
    <s v="Texas"/>
    <s v="76567"/>
    <d v="2015-01-26T23:44:50"/>
    <d v="2015-02-26T08:15:27"/>
    <n v="10"/>
    <n v="0"/>
    <n v="14"/>
    <n v="11"/>
    <n v="2"/>
    <n v="8"/>
    <n v="30.6"/>
    <s v="Jan"/>
    <d v="2015-01-26T23:44:52"/>
    <x v="27"/>
    <n v="2"/>
    <n v="23"/>
    <m/>
  </r>
  <r>
    <n v="272"/>
    <s v="Maryland"/>
    <s v="21704"/>
    <d v="2015-03-30T10:01:34"/>
    <d v="2015-03-30T10:01:39"/>
    <n v="1"/>
    <n v="1"/>
    <n v="4"/>
    <n v="1"/>
    <n v="1"/>
    <n v="2"/>
    <n v="18"/>
    <s v="Mar"/>
    <d v="2015-03-30T10:01:35"/>
    <x v="13"/>
    <n v="2"/>
    <n v="10"/>
    <m/>
  </r>
  <r>
    <n v="273"/>
    <s v="Texas"/>
    <s v="78840"/>
    <d v="2015-05-21T16:14:52"/>
    <d v="2015-05-21T16:14:56"/>
    <n v="1"/>
    <n v="2"/>
    <n v="4"/>
    <n v="6"/>
    <n v="1"/>
    <n v="1"/>
    <n v="57.6"/>
    <s v="May"/>
    <d v="2015-05-21T16:14:53"/>
    <x v="18"/>
    <n v="5"/>
    <n v="16"/>
    <m/>
  </r>
  <r>
    <n v="274"/>
    <s v="New Jersey"/>
    <s v="07039"/>
    <d v="2015-05-26T14:30:49"/>
    <d v="2015-05-26T14:30:52"/>
    <n v="1"/>
    <n v="4"/>
    <n v="6"/>
    <n v="2"/>
    <n v="1"/>
    <n v="4"/>
    <n v="36"/>
    <s v="May"/>
    <d v="2015-05-26T14:30:50"/>
    <x v="27"/>
    <n v="3"/>
    <n v="14"/>
    <m/>
  </r>
  <r>
    <n v="275"/>
    <s v="Pennsylvania"/>
    <s v="19122"/>
    <d v="2015-03-11T23:41:30"/>
    <d v="2015-03-12T12:08:40"/>
    <n v="2"/>
    <n v="0"/>
    <n v="6"/>
    <n v="3"/>
    <n v="1"/>
    <n v="2"/>
    <n v="14.4"/>
    <s v="Mar"/>
    <d v="2015-03-11T23:41:31"/>
    <x v="12"/>
    <n v="4"/>
    <n v="23"/>
    <m/>
  </r>
  <r>
    <n v="276"/>
    <s v="Wisconsin"/>
    <s v="53719"/>
    <d v="2015-01-21T14:27:40"/>
    <d v="2015-01-21T14:27:44"/>
    <n v="1"/>
    <n v="2"/>
    <n v="2"/>
    <n v="3"/>
    <n v="1"/>
    <n v="2"/>
    <n v="9"/>
    <s v="Jan"/>
    <d v="2015-01-21T14:27:42"/>
    <x v="18"/>
    <n v="4"/>
    <n v="14"/>
    <m/>
  </r>
  <r>
    <n v="277"/>
    <s v="Ohio"/>
    <s v="45014"/>
    <d v="2015-02-06T12:43:57"/>
    <d v="2015-02-06T12:44:01"/>
    <n v="1"/>
    <n v="0"/>
    <n v="4"/>
    <n v="1"/>
    <n v="1"/>
    <n v="2"/>
    <n v="9"/>
    <s v="Feb"/>
    <d v="2015-02-06T12:43:58"/>
    <x v="17"/>
    <n v="6"/>
    <n v="12"/>
    <m/>
  </r>
  <r>
    <n v="278"/>
    <s v="Virginia"/>
    <s v="20148"/>
    <d v="2015-09-09T17:25:18"/>
    <d v="2015-09-10T17:23:07"/>
    <n v="3"/>
    <n v="0"/>
    <n v="2"/>
    <n v="3"/>
    <n v="1"/>
    <n v="1"/>
    <n v="29.92"/>
    <s v="Sep"/>
    <d v="2015-09-09T17:25:18"/>
    <x v="21"/>
    <n v="4"/>
    <n v="17"/>
    <m/>
  </r>
  <r>
    <n v="279"/>
    <s v="Massachusetts"/>
    <s v="02472"/>
    <d v="2015-06-30T15:41:30"/>
    <d v="2015-06-30T11:41:35"/>
    <n v="1"/>
    <n v="2"/>
    <n v="2"/>
    <n v="2"/>
    <n v="1"/>
    <n v="1"/>
    <n v="38.4"/>
    <s v="Jun"/>
    <d v="2015-06-30T11:41:31"/>
    <x v="13"/>
    <n v="3"/>
    <n v="11"/>
    <m/>
  </r>
  <r>
    <n v="280"/>
    <m/>
    <m/>
    <d v="2015-07-16T20:37:26"/>
    <d v="2015-07-16T16:37:27"/>
    <n v="2"/>
    <n v="4"/>
    <n v="6"/>
    <n v="3"/>
    <n v="1"/>
    <n v="6"/>
    <n v="45"/>
    <s v="Jul"/>
    <d v="2015-07-16T16:47:49"/>
    <x v="22"/>
    <n v="5"/>
    <n v="16"/>
    <m/>
  </r>
  <r>
    <n v="281"/>
    <m/>
    <m/>
    <d v="2015-09-17T23:05:59"/>
    <d v="2015-09-17T23:06:00"/>
    <n v="1"/>
    <n v="6"/>
    <n v="8"/>
    <n v="7"/>
    <n v="1"/>
    <n v="1"/>
    <n v="56.32"/>
    <s v="Sep"/>
    <d v="2015-09-17T23:12:33"/>
    <x v="8"/>
    <n v="5"/>
    <n v="23"/>
    <m/>
  </r>
  <r>
    <n v="282"/>
    <s v="Oklahoma"/>
    <s v="73034"/>
    <d v="2015-03-25T10:48:33"/>
    <d v="2015-03-25T10:48:40"/>
    <n v="1"/>
    <n v="6"/>
    <n v="18"/>
    <n v="7"/>
    <n v="1"/>
    <n v="4"/>
    <n v="27.2"/>
    <s v="Mar"/>
    <d v="2015-03-25T10:48:34"/>
    <x v="3"/>
    <n v="4"/>
    <n v="10"/>
    <m/>
  </r>
  <r>
    <n v="283"/>
    <s v="California"/>
    <s v="94164"/>
    <d v="2015-01-23T15:28:19"/>
    <d v="2015-01-23T15:28:32"/>
    <n v="1"/>
    <n v="0"/>
    <n v="6"/>
    <n v="3"/>
    <n v="1"/>
    <n v="4"/>
    <n v="36"/>
    <s v="Jan"/>
    <d v="2015-01-23T15:28:29"/>
    <x v="10"/>
    <n v="6"/>
    <n v="15"/>
    <m/>
  </r>
  <r>
    <n v="284"/>
    <s v="Michigan"/>
    <s v="49629"/>
    <d v="2015-08-11T10:17:25"/>
    <d v="2015-08-11T06:17:30"/>
    <n v="1"/>
    <n v="4"/>
    <n v="2"/>
    <n v="2"/>
    <n v="1"/>
    <n v="1"/>
    <n v="56.32"/>
    <s v="Aug"/>
    <d v="2015-08-11T06:17:26"/>
    <x v="12"/>
    <n v="3"/>
    <n v="6"/>
    <m/>
  </r>
  <r>
    <n v="285"/>
    <s v="Iowa"/>
    <s v="52601"/>
    <d v="2015-07-26T05:31:17"/>
    <d v="2015-07-26T01:31:23"/>
    <n v="1"/>
    <n v="8"/>
    <n v="6"/>
    <n v="2"/>
    <n v="1"/>
    <n v="4"/>
    <n v="35.200000000000003"/>
    <s v="Jul"/>
    <d v="2015-07-26T01:31:18"/>
    <x v="27"/>
    <n v="1"/>
    <n v="1"/>
    <m/>
  </r>
  <r>
    <n v="286"/>
    <s v="Oregon"/>
    <s v="97212"/>
    <d v="2015-01-22T15:01:44"/>
    <d v="2015-01-22T15:01:51"/>
    <n v="1"/>
    <n v="2"/>
    <n v="4"/>
    <n v="3"/>
    <n v="1"/>
    <n v="4"/>
    <n v="28.8"/>
    <s v="Jan"/>
    <d v="2015-01-22T15:01:48"/>
    <x v="1"/>
    <n v="5"/>
    <n v="15"/>
    <m/>
  </r>
  <r>
    <n v="288"/>
    <m/>
    <m/>
    <d v="2015-07-23T12:55:14"/>
    <d v="2015-07-23T08:55:15"/>
    <n v="1"/>
    <n v="2"/>
    <n v="10"/>
    <n v="13"/>
    <n v="1"/>
    <n v="4"/>
    <n v="70.400000000000006"/>
    <s v="Jul"/>
    <d v="2015-07-23T08:57:34"/>
    <x v="10"/>
    <n v="5"/>
    <n v="8"/>
    <m/>
  </r>
  <r>
    <n v="289"/>
    <s v="California"/>
    <s v="92127"/>
    <d v="2015-06-08T16:23:46"/>
    <d v="2015-06-08T12:23:52"/>
    <n v="1"/>
    <n v="4"/>
    <n v="8"/>
    <n v="2"/>
    <n v="1"/>
    <n v="4"/>
    <n v="28.8"/>
    <s v="Jun"/>
    <d v="2015-06-08T12:23:49"/>
    <x v="29"/>
    <n v="2"/>
    <n v="12"/>
    <m/>
  </r>
  <r>
    <n v="290"/>
    <s v="Pennsylvania"/>
    <s v="19422"/>
    <d v="2015-03-09T09:35:41"/>
    <d v="2015-03-09T09:35:47"/>
    <n v="1"/>
    <n v="4"/>
    <n v="4"/>
    <n v="1"/>
    <n v="1"/>
    <n v="2"/>
    <n v="36"/>
    <s v="Mar"/>
    <d v="2015-03-09T09:35:42"/>
    <x v="21"/>
    <n v="2"/>
    <n v="9"/>
    <m/>
  </r>
  <r>
    <n v="291"/>
    <s v="District of Columbia"/>
    <s v="20017"/>
    <d v="2015-06-21T16:10:06"/>
    <d v="2015-06-21T16:10:10"/>
    <n v="1"/>
    <n v="4"/>
    <n v="2"/>
    <n v="2"/>
    <n v="1"/>
    <n v="1"/>
    <n v="28.8"/>
    <s v="Jun"/>
    <d v="2015-06-21T16:10:07"/>
    <x v="18"/>
    <n v="1"/>
    <n v="16"/>
    <m/>
  </r>
  <r>
    <n v="292"/>
    <s v="Illinois"/>
    <s v="60130"/>
    <d v="2015-04-06T15:13:26"/>
    <d v="2015-04-06T15:13:30"/>
    <n v="1"/>
    <n v="2"/>
    <n v="10"/>
    <n v="4"/>
    <n v="1"/>
    <n v="4"/>
    <n v="28.8"/>
    <s v="Apr"/>
    <d v="2015-04-06T15:15:18"/>
    <x v="17"/>
    <n v="2"/>
    <n v="15"/>
    <m/>
  </r>
  <r>
    <n v="293"/>
    <s v="Oregon"/>
    <s v="97455"/>
    <d v="2014-12-18T21:54:10"/>
    <d v="2015-09-20T18:10:19"/>
    <n v="3"/>
    <n v="2"/>
    <n v="2"/>
    <n v="4"/>
    <n v="1"/>
    <n v="2"/>
    <n v="140.80000000000001"/>
    <s v="Sep"/>
    <d v="2015-09-20T18:12:55"/>
    <x v="15"/>
    <n v="1"/>
    <n v="18"/>
    <m/>
  </r>
  <r>
    <n v="294"/>
    <s v="Kansas"/>
    <s v="66207"/>
    <d v="2015-06-09T22:26:50"/>
    <d v="2015-06-09T22:26:54"/>
    <n v="1"/>
    <n v="10"/>
    <n v="12"/>
    <n v="5"/>
    <n v="1"/>
    <n v="6"/>
    <n v="45.6"/>
    <s v="Jun"/>
    <d v="2015-06-09T22:26:51"/>
    <x v="21"/>
    <n v="3"/>
    <n v="22"/>
    <m/>
  </r>
  <r>
    <n v="295"/>
    <s v="California"/>
    <s v="90024"/>
    <d v="2015-05-01T20:07:37"/>
    <d v="2015-05-01T20:07:42"/>
    <n v="1"/>
    <n v="0"/>
    <n v="6"/>
    <n v="1"/>
    <n v="1"/>
    <n v="5"/>
    <n v="36"/>
    <s v="May"/>
    <d v="2015-05-01T20:07:38"/>
    <x v="6"/>
    <n v="6"/>
    <n v="20"/>
    <m/>
  </r>
  <r>
    <n v="296"/>
    <s v="Wisconsin"/>
    <s v="54304"/>
    <d v="2015-04-01T13:55:15"/>
    <d v="2015-04-01T13:55:19"/>
    <n v="1"/>
    <n v="0"/>
    <n v="2"/>
    <n v="1"/>
    <n v="1"/>
    <n v="1"/>
    <n v="36"/>
    <s v="Apr"/>
    <d v="2015-04-01T13:55:15"/>
    <x v="6"/>
    <n v="4"/>
    <n v="13"/>
    <m/>
  </r>
  <r>
    <n v="297"/>
    <s v="New York"/>
    <s v="14150"/>
    <d v="2015-01-10T20:59:49"/>
    <d v="2015-01-10T20:59:53"/>
    <n v="1"/>
    <n v="4"/>
    <n v="16"/>
    <n v="4"/>
    <n v="1"/>
    <n v="5"/>
    <n v="36"/>
    <s v="Jan"/>
    <d v="2015-01-10T21:04:23"/>
    <x v="7"/>
    <n v="7"/>
    <n v="21"/>
    <m/>
  </r>
  <r>
    <n v="298"/>
    <s v="North Carolina"/>
    <s v="28078"/>
    <d v="2015-07-02T21:19:35"/>
    <d v="2015-09-12T22:38:15"/>
    <n v="2"/>
    <n v="3"/>
    <n v="4"/>
    <n v="2"/>
    <n v="1"/>
    <n v="2"/>
    <n v="74.8"/>
    <s v="Sep"/>
    <d v="2015-09-12T22:44:24"/>
    <x v="5"/>
    <n v="7"/>
    <n v="22"/>
    <m/>
  </r>
  <r>
    <n v="299"/>
    <s v="Minnesota"/>
    <s v="55014"/>
    <d v="2015-09-19T17:12:53"/>
    <d v="2015-09-19T21:39:29"/>
    <n v="7"/>
    <n v="8"/>
    <n v="2"/>
    <n v="2"/>
    <n v="1"/>
    <n v="1"/>
    <n v="56.32"/>
    <s v="Sep"/>
    <d v="2015-09-19T17:12:54"/>
    <x v="19"/>
    <n v="7"/>
    <n v="17"/>
    <m/>
  </r>
  <r>
    <n v="300"/>
    <s v="Connecticut"/>
    <s v="06854"/>
    <d v="2015-01-15T20:04:57"/>
    <d v="2015-02-07T19:49:26"/>
    <n v="2"/>
    <n v="1"/>
    <n v="7"/>
    <n v="4"/>
    <n v="2"/>
    <n v="4"/>
    <n v="9"/>
    <s v="Jan"/>
    <d v="2015-01-15T20:04:59"/>
    <x v="0"/>
    <n v="5"/>
    <n v="20"/>
    <m/>
  </r>
  <r>
    <n v="301"/>
    <s v="Wisconsin"/>
    <s v="54911"/>
    <d v="2015-02-28T16:05:47"/>
    <d v="2015-02-28T16:05:52"/>
    <n v="1"/>
    <n v="4"/>
    <n v="2"/>
    <n v="1"/>
    <n v="1"/>
    <n v="2"/>
    <n v="9"/>
    <s v="Feb"/>
    <d v="2015-02-28T16:05:48"/>
    <x v="4"/>
    <n v="7"/>
    <n v="16"/>
    <m/>
  </r>
  <r>
    <n v="302"/>
    <s v="New York"/>
    <s v="11215"/>
    <d v="2015-01-14T12:24:43"/>
    <d v="2015-01-14T12:24:47"/>
    <n v="1"/>
    <n v="0"/>
    <n v="2"/>
    <n v="2"/>
    <n v="1"/>
    <n v="2"/>
    <n v="9"/>
    <s v="Jan"/>
    <d v="2015-01-14T12:24:44"/>
    <x v="25"/>
    <n v="4"/>
    <n v="12"/>
    <m/>
  </r>
  <r>
    <n v="303"/>
    <m/>
    <m/>
    <d v="2015-05-20T00:45:06"/>
    <d v="2015-05-19T20:45:08"/>
    <n v="1"/>
    <n v="2"/>
    <n v="2"/>
    <n v="2"/>
    <n v="1"/>
    <n v="5"/>
    <n v="36"/>
    <s v="May"/>
    <d v="2015-05-19T20:49:25"/>
    <x v="19"/>
    <n v="3"/>
    <n v="20"/>
    <m/>
  </r>
  <r>
    <n v="304"/>
    <m/>
    <m/>
    <d v="2015-08-15T05:58:01"/>
    <d v="2015-08-15T01:58:02"/>
    <n v="1"/>
    <n v="2"/>
    <n v="6"/>
    <n v="4"/>
    <n v="1"/>
    <n v="1"/>
    <n v="29.92"/>
    <s v="Aug"/>
    <d v="2015-08-15T02:01:36"/>
    <x v="0"/>
    <n v="7"/>
    <n v="2"/>
    <m/>
  </r>
  <r>
    <n v="305"/>
    <s v="Maryland"/>
    <s v="21231"/>
    <d v="2015-07-10T16:07:05"/>
    <d v="2015-07-10T16:07:09"/>
    <n v="1"/>
    <n v="2"/>
    <n v="2"/>
    <n v="2"/>
    <n v="1"/>
    <n v="1"/>
    <n v="28.8"/>
    <s v="Jul"/>
    <d v="2015-07-10T16:07:06"/>
    <x v="7"/>
    <n v="6"/>
    <n v="16"/>
    <m/>
  </r>
  <r>
    <n v="306"/>
    <s v="New York"/>
    <s v="10017"/>
    <d v="2013-09-20T19:18:58"/>
    <d v="2015-01-23T10:12:06"/>
    <n v="3"/>
    <n v="2"/>
    <n v="2"/>
    <n v="2"/>
    <n v="1"/>
    <n v="2"/>
    <n v="9"/>
    <s v="Jan"/>
    <d v="2015-01-20T14:13:02"/>
    <x v="15"/>
    <n v="3"/>
    <n v="14"/>
    <m/>
  </r>
  <r>
    <n v="308"/>
    <s v="Tennessee"/>
    <s v="37090"/>
    <d v="2015-02-18T19:42:45"/>
    <d v="2015-03-10T22:09:32"/>
    <n v="3"/>
    <n v="1"/>
    <n v="14"/>
    <n v="10"/>
    <n v="3"/>
    <n v="7"/>
    <n v="8"/>
    <s v="Feb"/>
    <d v="2015-02-18T19:46:45"/>
    <x v="9"/>
    <n v="4"/>
    <n v="19"/>
    <m/>
  </r>
  <r>
    <n v="309"/>
    <s v="Michigan"/>
    <s v="49684"/>
    <d v="2015-08-29T16:44:31"/>
    <d v="2015-08-29T16:44:34"/>
    <n v="1"/>
    <n v="2"/>
    <n v="2"/>
    <n v="2"/>
    <n v="1"/>
    <n v="1"/>
    <n v="40.799999999999997"/>
    <s v="Aug"/>
    <d v="2015-08-29T16:44:31"/>
    <x v="26"/>
    <n v="7"/>
    <n v="16"/>
    <m/>
  </r>
  <r>
    <n v="310"/>
    <s v="Texas"/>
    <s v="75002"/>
    <d v="2015-05-31T15:09:36"/>
    <d v="2015-05-31T11:09:37"/>
    <n v="1"/>
    <n v="6"/>
    <n v="2"/>
    <n v="4"/>
    <n v="1"/>
    <n v="4"/>
    <n v="25.6"/>
    <s v="May"/>
    <d v="2015-05-31T11:12:30"/>
    <x v="14"/>
    <n v="1"/>
    <n v="11"/>
    <m/>
  </r>
  <r>
    <n v="311"/>
    <s v="South Carolina"/>
    <s v="29902"/>
    <d v="2015-09-02T16:36:12"/>
    <d v="2015-09-02T16:36:19"/>
    <n v="1"/>
    <n v="0"/>
    <n v="2"/>
    <n v="2"/>
    <n v="1"/>
    <n v="1"/>
    <n v="29.92"/>
    <s v="Sep"/>
    <d v="2015-09-02T16:36:12"/>
    <x v="30"/>
    <n v="4"/>
    <n v="16"/>
    <m/>
  </r>
  <r>
    <n v="312"/>
    <s v="New York"/>
    <s v="11754"/>
    <d v="2015-01-30T22:00:08"/>
    <d v="2015-01-30T22:00:20"/>
    <n v="1"/>
    <n v="2"/>
    <n v="10"/>
    <n v="1"/>
    <n v="1"/>
    <n v="5"/>
    <n v="36"/>
    <s v="Jan"/>
    <d v="2015-01-30T22:00:10"/>
    <x v="13"/>
    <n v="6"/>
    <n v="22"/>
    <m/>
  </r>
  <r>
    <n v="313"/>
    <m/>
    <m/>
    <d v="2015-06-06T18:00:24"/>
    <d v="2015-06-06T14:00:28"/>
    <n v="1"/>
    <n v="0"/>
    <n v="2"/>
    <n v="3"/>
    <n v="1"/>
    <n v="1"/>
    <n v="28.8"/>
    <s v="Jun"/>
    <d v="2015-06-06T14:04:56"/>
    <x v="17"/>
    <n v="7"/>
    <n v="14"/>
    <m/>
  </r>
  <r>
    <n v="314"/>
    <s v="New Jersey"/>
    <s v="07733"/>
    <d v="2015-04-23T08:34:38"/>
    <d v="2015-04-23T17:10:38"/>
    <n v="4"/>
    <n v="0"/>
    <n v="4"/>
    <n v="2"/>
    <n v="1"/>
    <n v="2"/>
    <n v="14.4"/>
    <s v="Apr"/>
    <d v="2015-04-23T08:34:39"/>
    <x v="10"/>
    <n v="5"/>
    <n v="8"/>
    <m/>
  </r>
  <r>
    <n v="315"/>
    <s v="Pennsylvania"/>
    <s v="15853"/>
    <d v="2015-01-21T12:57:02"/>
    <d v="2015-01-26T10:08:29"/>
    <n v="4"/>
    <n v="0"/>
    <n v="8"/>
    <n v="4"/>
    <n v="1"/>
    <n v="4"/>
    <n v="28.8"/>
    <s v="Jan"/>
    <d v="2015-01-21T12:57:03"/>
    <x v="18"/>
    <n v="4"/>
    <n v="12"/>
    <m/>
  </r>
  <r>
    <n v="316"/>
    <s v="Texas"/>
    <s v="78411"/>
    <d v="2015-06-27T21:47:57"/>
    <d v="2015-06-27T21:48:01"/>
    <n v="1"/>
    <n v="4"/>
    <n v="2"/>
    <n v="2"/>
    <n v="1"/>
    <n v="1"/>
    <n v="28.8"/>
    <s v="Jun"/>
    <d v="2015-06-27T21:47:57"/>
    <x v="28"/>
    <n v="7"/>
    <n v="21"/>
    <m/>
  </r>
  <r>
    <n v="317"/>
    <s v="Maryland"/>
    <s v="20774"/>
    <d v="2015-03-04T21:10:42"/>
    <d v="2015-03-04T21:10:47"/>
    <n v="1"/>
    <n v="0"/>
    <n v="4"/>
    <n v="1"/>
    <n v="1"/>
    <n v="4"/>
    <n v="36"/>
    <s v="Mar"/>
    <d v="2015-03-04T21:10:43"/>
    <x v="24"/>
    <n v="4"/>
    <n v="21"/>
    <m/>
  </r>
  <r>
    <n v="318"/>
    <s v="Kansas"/>
    <s v="66611"/>
    <d v="2015-07-18T22:20:59"/>
    <d v="2015-07-18T18:21:02"/>
    <n v="1"/>
    <n v="2"/>
    <n v="4"/>
    <n v="2"/>
    <n v="1"/>
    <n v="1"/>
    <n v="29.92"/>
    <s v="Jul"/>
    <d v="2015-07-18T18:21:00"/>
    <x v="9"/>
    <n v="7"/>
    <n v="18"/>
    <m/>
  </r>
  <r>
    <n v="319"/>
    <s v="Tennessee"/>
    <s v="37129"/>
    <d v="2015-04-16T20:34:21"/>
    <d v="2015-04-16T20:34:24"/>
    <n v="1"/>
    <n v="0"/>
    <n v="2"/>
    <n v="1"/>
    <n v="1"/>
    <n v="3"/>
    <n v="27"/>
    <s v="Apr"/>
    <d v="2015-04-16T20:34:21"/>
    <x v="22"/>
    <n v="5"/>
    <n v="20"/>
    <m/>
  </r>
  <r>
    <n v="320"/>
    <s v="New York"/>
    <s v="11747"/>
    <d v="2015-01-28T15:18:42"/>
    <d v="2015-01-28T15:19:21"/>
    <n v="1"/>
    <n v="4"/>
    <n v="2"/>
    <n v="3"/>
    <n v="1"/>
    <n v="1"/>
    <n v="57.6"/>
    <s v="Jan"/>
    <d v="2015-01-28T15:19:17"/>
    <x v="4"/>
    <n v="4"/>
    <n v="15"/>
    <m/>
  </r>
  <r>
    <n v="321"/>
    <s v="Florida"/>
    <s v="32459"/>
    <d v="2015-06-30T23:33:52"/>
    <d v="2015-06-30T23:33:56"/>
    <n v="1"/>
    <n v="4"/>
    <n v="4"/>
    <n v="4"/>
    <n v="1"/>
    <n v="2"/>
    <n v="32.799999999999997"/>
    <s v="Jun"/>
    <d v="2015-06-30T23:33:53"/>
    <x v="13"/>
    <n v="3"/>
    <n v="23"/>
    <m/>
  </r>
  <r>
    <n v="322"/>
    <s v="New York"/>
    <s v="11554"/>
    <d v="2015-08-19T21:23:22"/>
    <d v="2015-08-26T08:13:58"/>
    <n v="3"/>
    <n v="3"/>
    <n v="3"/>
    <n v="5"/>
    <n v="1"/>
    <n v="1"/>
    <n v="26.4"/>
    <s v="Aug"/>
    <d v="2015-08-26T08:17:14"/>
    <x v="27"/>
    <n v="4"/>
    <n v="8"/>
    <m/>
  </r>
  <r>
    <n v="323"/>
    <s v="Kentucky"/>
    <s v="40444"/>
    <d v="2015-07-20T14:45:37"/>
    <d v="2015-07-20T10:45:41"/>
    <n v="1"/>
    <n v="6"/>
    <n v="2"/>
    <n v="2"/>
    <n v="1"/>
    <n v="1"/>
    <n v="29.92"/>
    <s v="Jul"/>
    <d v="2015-07-20T10:45:39"/>
    <x v="15"/>
    <n v="2"/>
    <n v="10"/>
    <m/>
  </r>
  <r>
    <n v="324"/>
    <s v="Alabama"/>
    <s v="35601"/>
    <d v="2015-06-03T07:11:26"/>
    <d v="2015-06-03T07:11:29"/>
    <n v="1"/>
    <n v="0"/>
    <n v="4"/>
    <n v="2"/>
    <n v="1"/>
    <n v="2"/>
    <n v="18"/>
    <s v="Jun"/>
    <d v="2015-06-03T07:11:27"/>
    <x v="23"/>
    <n v="4"/>
    <n v="7"/>
    <m/>
  </r>
  <r>
    <n v="325"/>
    <s v="New Jersey"/>
    <s v="07030"/>
    <d v="2015-02-14T11:06:54"/>
    <d v="2015-02-17T12:55:31"/>
    <n v="5"/>
    <n v="0"/>
    <n v="6"/>
    <n v="3"/>
    <n v="1"/>
    <n v="2"/>
    <n v="9"/>
    <s v="Feb"/>
    <d v="2015-02-14T11:06:55"/>
    <x v="25"/>
    <n v="7"/>
    <n v="11"/>
    <m/>
  </r>
  <r>
    <n v="326"/>
    <s v="Virginia"/>
    <s v="22206"/>
    <d v="2015-05-19T11:13:32"/>
    <d v="2015-05-19T11:13:35"/>
    <n v="1"/>
    <n v="6"/>
    <n v="7"/>
    <n v="2"/>
    <n v="1"/>
    <n v="1"/>
    <n v="28.8"/>
    <s v="May"/>
    <d v="2015-05-19T11:13:33"/>
    <x v="19"/>
    <n v="3"/>
    <n v="11"/>
    <m/>
  </r>
  <r>
    <n v="327"/>
    <s v="Virginia"/>
    <s v="23805"/>
    <d v="2015-03-03T14:36:54"/>
    <d v="2015-03-03T14:36:59"/>
    <n v="1"/>
    <n v="0"/>
    <n v="2"/>
    <n v="1"/>
    <n v="1"/>
    <n v="1"/>
    <n v="36"/>
    <s v="Mar"/>
    <d v="2015-03-03T14:36:55"/>
    <x v="23"/>
    <n v="3"/>
    <n v="14"/>
    <m/>
  </r>
  <r>
    <n v="328"/>
    <s v="Texas"/>
    <s v="79423"/>
    <d v="2015-03-24T20:10:26"/>
    <d v="2015-03-24T22:11:57"/>
    <n v="3"/>
    <n v="0"/>
    <n v="10"/>
    <n v="1"/>
    <n v="1"/>
    <n v="4"/>
    <n v="28.8"/>
    <s v="Mar"/>
    <d v="2015-03-24T20:10:27"/>
    <x v="11"/>
    <n v="3"/>
    <n v="20"/>
    <m/>
  </r>
  <r>
    <n v="329"/>
    <s v="New York"/>
    <s v="11210"/>
    <d v="2015-05-25T23:12:26"/>
    <d v="2015-05-25T19:12:28"/>
    <n v="1"/>
    <n v="4"/>
    <n v="2"/>
    <n v="2"/>
    <n v="1"/>
    <n v="1"/>
    <n v="28.8"/>
    <s v="May"/>
    <d v="2015-05-25T19:14:16"/>
    <x v="3"/>
    <n v="2"/>
    <n v="19"/>
    <m/>
  </r>
  <r>
    <n v="330"/>
    <s v="Florida"/>
    <s v="32835"/>
    <d v="2015-07-20T12:19:18"/>
    <d v="2015-07-20T08:19:23"/>
    <n v="1"/>
    <n v="14"/>
    <n v="10"/>
    <n v="2"/>
    <n v="1"/>
    <n v="4"/>
    <n v="35.200000000000003"/>
    <s v="Jul"/>
    <d v="2015-07-20T08:19:20"/>
    <x v="15"/>
    <n v="2"/>
    <n v="8"/>
    <m/>
  </r>
  <r>
    <n v="331"/>
    <s v="California"/>
    <s v="94028"/>
    <d v="2015-08-30T14:43:34"/>
    <d v="2015-08-30T14:43:38"/>
    <n v="1"/>
    <n v="2"/>
    <n v="2"/>
    <n v="2"/>
    <n v="1"/>
    <n v="1"/>
    <n v="56.32"/>
    <s v="Aug"/>
    <d v="2015-08-30T14:43:34"/>
    <x v="13"/>
    <n v="1"/>
    <n v="14"/>
    <m/>
  </r>
  <r>
    <n v="332"/>
    <s v="New Jersey"/>
    <s v="07642"/>
    <d v="2015-04-28T23:33:21"/>
    <d v="2015-04-28T23:33:26"/>
    <n v="1"/>
    <n v="0"/>
    <n v="4"/>
    <n v="1"/>
    <n v="1"/>
    <n v="4"/>
    <n v="36"/>
    <s v="Apr"/>
    <d v="2015-04-28T23:33:21"/>
    <x v="4"/>
    <n v="3"/>
    <n v="23"/>
    <m/>
  </r>
  <r>
    <n v="333"/>
    <s v="District of Columbia"/>
    <s v="20010"/>
    <d v="2015-06-03T20:53:51"/>
    <d v="2015-06-03T20:53:55"/>
    <n v="1"/>
    <n v="6"/>
    <n v="4"/>
    <n v="2"/>
    <n v="1"/>
    <n v="2"/>
    <n v="57.6"/>
    <s v="Jun"/>
    <d v="2015-06-03T20:53:52"/>
    <x v="23"/>
    <n v="4"/>
    <n v="20"/>
    <m/>
  </r>
  <r>
    <n v="334"/>
    <m/>
    <m/>
    <d v="2015-02-19T16:12:06"/>
    <d v="2015-02-19T16:12:11"/>
    <n v="1"/>
    <n v="0"/>
    <n v="6"/>
    <n v="2"/>
    <n v="1"/>
    <n v="3"/>
    <n v="18"/>
    <s v="Feb"/>
    <d v="2015-02-19T16:12:07"/>
    <x v="19"/>
    <n v="5"/>
    <n v="16"/>
    <m/>
  </r>
  <r>
    <n v="335"/>
    <m/>
    <m/>
    <d v="2015-02-26T12:32:17"/>
    <d v="2015-03-27T09:41:29"/>
    <n v="3"/>
    <n v="3"/>
    <n v="5"/>
    <n v="4"/>
    <n v="1"/>
    <n v="1"/>
    <n v="36"/>
    <s v="Mar"/>
    <d v="2015-03-27T09:43:52"/>
    <x v="28"/>
    <n v="6"/>
    <n v="9"/>
    <m/>
  </r>
  <r>
    <n v="336"/>
    <s v="New York"/>
    <s v="10022"/>
    <d v="2015-05-19T20:42:51"/>
    <d v="2015-05-19T16:42:53"/>
    <n v="1"/>
    <n v="6"/>
    <n v="6"/>
    <n v="2"/>
    <n v="1"/>
    <n v="12"/>
    <n v="86.4"/>
    <s v="May"/>
    <d v="2015-05-19T16:53:05"/>
    <x v="19"/>
    <n v="3"/>
    <n v="16"/>
    <m/>
  </r>
  <r>
    <n v="337"/>
    <s v="California"/>
    <s v="92866"/>
    <d v="2015-02-08T17:33:27"/>
    <d v="2015-02-08T17:33:31"/>
    <n v="1"/>
    <n v="0"/>
    <n v="4"/>
    <n v="3"/>
    <n v="1"/>
    <n v="2"/>
    <n v="9"/>
    <s v="Feb"/>
    <d v="2015-02-08T17:33:28"/>
    <x v="29"/>
    <n v="1"/>
    <n v="17"/>
    <m/>
  </r>
  <r>
    <n v="338"/>
    <s v="California"/>
    <s v="90013"/>
    <d v="2015-05-30T03:55:18"/>
    <d v="2015-05-30T03:55:22"/>
    <n v="1"/>
    <n v="2"/>
    <n v="2"/>
    <n v="2"/>
    <n v="1"/>
    <n v="1"/>
    <n v="28.8"/>
    <s v="May"/>
    <d v="2015-05-30T03:55:19"/>
    <x v="13"/>
    <n v="7"/>
    <n v="3"/>
    <m/>
  </r>
  <r>
    <n v="339"/>
    <m/>
    <m/>
    <d v="2015-03-08T16:59:55"/>
    <d v="2015-03-09T19:19:40"/>
    <n v="5"/>
    <n v="2"/>
    <n v="3"/>
    <n v="2"/>
    <n v="1"/>
    <n v="2"/>
    <n v="64.8"/>
    <s v="Mar"/>
    <d v="2015-03-08T17:05:16"/>
    <x v="29"/>
    <n v="1"/>
    <n v="17"/>
    <m/>
  </r>
  <r>
    <n v="340"/>
    <s v="California"/>
    <s v="93065"/>
    <d v="2015-01-16T14:49:10"/>
    <d v="2015-01-16T14:49:14"/>
    <n v="1"/>
    <n v="0"/>
    <n v="8"/>
    <n v="2"/>
    <n v="1"/>
    <n v="4"/>
    <n v="28.8"/>
    <s v="Jan"/>
    <d v="2015-01-16T14:49:11"/>
    <x v="22"/>
    <n v="6"/>
    <n v="14"/>
    <m/>
  </r>
  <r>
    <n v="341"/>
    <s v="North Carolina"/>
    <s v="27603"/>
    <d v="2015-03-17T10:24:03"/>
    <d v="2015-03-17T10:24:09"/>
    <n v="1"/>
    <n v="0"/>
    <n v="8"/>
    <n v="1"/>
    <n v="1"/>
    <n v="4"/>
    <n v="28.8"/>
    <s v="Mar"/>
    <d v="2015-03-17T10:24:04"/>
    <x v="8"/>
    <n v="3"/>
    <n v="10"/>
    <m/>
  </r>
  <r>
    <n v="342"/>
    <m/>
    <m/>
    <d v="2015-05-07T19:54:34"/>
    <d v="2015-05-07T19:25:54"/>
    <n v="2"/>
    <n v="2"/>
    <n v="2"/>
    <n v="5"/>
    <n v="1"/>
    <n v="1"/>
    <n v="57.6"/>
    <s v="May"/>
    <d v="2015-05-07T16:02:37"/>
    <x v="16"/>
    <n v="5"/>
    <n v="16"/>
    <m/>
  </r>
  <r>
    <n v="343"/>
    <s v="Virginia"/>
    <s v="20176"/>
    <d v="2015-01-16T09:18:39"/>
    <d v="2015-01-22T12:19:52"/>
    <n v="3"/>
    <n v="2"/>
    <n v="2"/>
    <n v="3"/>
    <n v="1"/>
    <n v="1"/>
    <n v="28.8"/>
    <s v="Jan"/>
    <d v="2015-01-16T09:18:40"/>
    <x v="22"/>
    <n v="6"/>
    <n v="9"/>
    <m/>
  </r>
  <r>
    <n v="344"/>
    <s v="Texas"/>
    <s v="77059"/>
    <d v="2015-09-19T11:12:59"/>
    <d v="2015-09-21T13:06:24"/>
    <n v="2"/>
    <n v="2"/>
    <n v="2"/>
    <n v="3"/>
    <n v="1"/>
    <n v="1"/>
    <n v="29.92"/>
    <s v="Sep"/>
    <d v="2015-09-19T11:12:59"/>
    <x v="19"/>
    <n v="7"/>
    <n v="11"/>
    <m/>
  </r>
  <r>
    <n v="345"/>
    <s v="New York"/>
    <s v="10567"/>
    <d v="2015-07-06T22:40:32"/>
    <d v="2015-07-06T18:40:34"/>
    <n v="1"/>
    <n v="4"/>
    <n v="10"/>
    <n v="6"/>
    <n v="1"/>
    <n v="3"/>
    <n v="86.4"/>
    <s v="Jul"/>
    <d v="2015-07-06T19:18:54"/>
    <x v="17"/>
    <n v="2"/>
    <n v="19"/>
    <m/>
  </r>
  <r>
    <n v="346"/>
    <s v="Illinois"/>
    <s v="60074"/>
    <d v="2015-05-21T17:06:10"/>
    <d v="2015-05-21T17:06:14"/>
    <n v="1"/>
    <n v="6"/>
    <n v="8"/>
    <n v="2"/>
    <n v="1"/>
    <n v="4"/>
    <n v="27.2"/>
    <s v="May"/>
    <d v="2015-05-21T17:06:11"/>
    <x v="18"/>
    <n v="5"/>
    <n v="17"/>
    <m/>
  </r>
  <r>
    <n v="347"/>
    <s v="Oregon"/>
    <s v="97006"/>
    <d v="2015-06-15T08:01:45"/>
    <d v="2015-06-15T08:01:48"/>
    <n v="1"/>
    <n v="4"/>
    <n v="2"/>
    <n v="2"/>
    <n v="1"/>
    <n v="1"/>
    <n v="25.6"/>
    <s v="Jun"/>
    <d v="2015-06-15T08:01:45"/>
    <x v="0"/>
    <n v="2"/>
    <n v="8"/>
    <m/>
  </r>
  <r>
    <n v="348"/>
    <s v="Connecticut"/>
    <s v="06880"/>
    <d v="2015-02-13T09:41:45"/>
    <d v="2015-02-13T09:41:49"/>
    <n v="1"/>
    <n v="0"/>
    <n v="4"/>
    <n v="10"/>
    <n v="1"/>
    <n v="2"/>
    <n v="9"/>
    <s v="Feb"/>
    <d v="2015-02-13T09:41:46"/>
    <x v="20"/>
    <n v="6"/>
    <n v="9"/>
    <m/>
  </r>
  <r>
    <n v="349"/>
    <s v="Vermont"/>
    <s v="5486"/>
    <d v="2015-09-03T18:09:48"/>
    <d v="2015-09-03T14:09:53"/>
    <n v="1"/>
    <n v="3"/>
    <n v="4"/>
    <n v="2"/>
    <n v="1"/>
    <n v="4"/>
    <n v="119.68"/>
    <s v="Sep"/>
    <d v="2015-09-03T14:09:49"/>
    <x v="23"/>
    <n v="5"/>
    <n v="14"/>
    <m/>
  </r>
  <r>
    <n v="350"/>
    <s v="Missouri"/>
    <s v="63368"/>
    <d v="2015-02-24T19:11:13"/>
    <d v="2015-02-24T19:11:18"/>
    <n v="1"/>
    <n v="0"/>
    <n v="8"/>
    <n v="1"/>
    <n v="1"/>
    <n v="4"/>
    <n v="28.8"/>
    <s v="Feb"/>
    <d v="2015-02-24T19:11:14"/>
    <x v="11"/>
    <n v="3"/>
    <n v="19"/>
    <m/>
  </r>
  <r>
    <n v="351"/>
    <m/>
    <m/>
    <d v="2015-01-04T15:58:52"/>
    <d v="2015-01-04T15:58:55"/>
    <n v="1"/>
    <n v="0"/>
    <n v="6"/>
    <n v="7"/>
    <n v="1"/>
    <n v="2"/>
    <n v="9"/>
    <s v="Jan"/>
    <d v="2015-01-04T16:01:08"/>
    <x v="24"/>
    <n v="1"/>
    <n v="16"/>
    <m/>
  </r>
  <r>
    <n v="352"/>
    <s v="New York"/>
    <s v="11218"/>
    <d v="2015-03-03T15:56:04"/>
    <d v="2015-03-03T15:56:09"/>
    <n v="1"/>
    <n v="2"/>
    <n v="2"/>
    <n v="1"/>
    <n v="1"/>
    <n v="1"/>
    <n v="25.6"/>
    <s v="Mar"/>
    <d v="2015-03-03T15:56:05"/>
    <x v="23"/>
    <n v="3"/>
    <n v="15"/>
    <m/>
  </r>
  <r>
    <n v="353"/>
    <s v="Maryland"/>
    <s v="21702"/>
    <d v="2015-07-08T00:48:33"/>
    <d v="2015-07-07T20:48:37"/>
    <n v="1"/>
    <n v="2"/>
    <n v="4"/>
    <n v="4"/>
    <n v="1"/>
    <n v="1"/>
    <n v="36"/>
    <s v="Jul"/>
    <d v="2015-07-07T20:48:34"/>
    <x v="16"/>
    <n v="3"/>
    <n v="20"/>
    <m/>
  </r>
  <r>
    <n v="354"/>
    <s v="Arizona"/>
    <s v="85392"/>
    <d v="2015-07-16T16:14:34"/>
    <d v="2015-07-16T16:14:39"/>
    <n v="1"/>
    <n v="4"/>
    <n v="4"/>
    <n v="2"/>
    <n v="1"/>
    <n v="2"/>
    <n v="111.2"/>
    <s v="Jul"/>
    <d v="2015-07-16T16:14:35"/>
    <x v="22"/>
    <n v="5"/>
    <n v="16"/>
    <m/>
  </r>
  <r>
    <n v="355"/>
    <s v="Arizona"/>
    <s v="85615"/>
    <d v="2015-05-19T17:50:41"/>
    <d v="2015-05-19T17:50:44"/>
    <n v="1"/>
    <n v="0"/>
    <n v="2"/>
    <n v="2"/>
    <n v="1"/>
    <n v="1"/>
    <n v="27"/>
    <s v="May"/>
    <d v="2015-05-19T17:50:41"/>
    <x v="19"/>
    <n v="3"/>
    <n v="17"/>
    <m/>
  </r>
  <r>
    <n v="356"/>
    <s v="Illinois"/>
    <s v="62704"/>
    <d v="2015-08-16T15:54:26"/>
    <d v="2015-08-16T11:54:31"/>
    <n v="1"/>
    <n v="0"/>
    <n v="2"/>
    <n v="2"/>
    <n v="1"/>
    <n v="1"/>
    <n v="29.92"/>
    <s v="Aug"/>
    <d v="2015-08-16T11:54:27"/>
    <x v="22"/>
    <n v="1"/>
    <n v="11"/>
    <m/>
  </r>
  <r>
    <n v="357"/>
    <s v="Tennessee"/>
    <s v="37221"/>
    <d v="2015-07-09T17:42:12"/>
    <d v="2015-07-09T17:42:24"/>
    <n v="1"/>
    <n v="2"/>
    <n v="8"/>
    <n v="4"/>
    <n v="1"/>
    <n v="4"/>
    <n v="28.8"/>
    <s v="Jul"/>
    <d v="2015-07-09T17:42:12"/>
    <x v="21"/>
    <n v="5"/>
    <n v="17"/>
    <m/>
  </r>
  <r>
    <n v="358"/>
    <s v="Illinois"/>
    <s v="60657"/>
    <d v="2015-02-02T10:21:08"/>
    <d v="2015-02-02T10:21:13"/>
    <n v="1"/>
    <n v="0"/>
    <n v="2"/>
    <n v="2"/>
    <n v="1"/>
    <n v="2"/>
    <n v="18"/>
    <s v="Feb"/>
    <d v="2015-02-02T10:44:50"/>
    <x v="30"/>
    <n v="2"/>
    <n v="10"/>
    <m/>
  </r>
  <r>
    <n v="359"/>
    <s v="Michigan"/>
    <s v="48195"/>
    <d v="2015-08-30T22:42:52"/>
    <d v="2015-09-04T13:23:50"/>
    <n v="6"/>
    <n v="5"/>
    <n v="2"/>
    <n v="3"/>
    <n v="1"/>
    <n v="1"/>
    <n v="29.92"/>
    <s v="Aug"/>
    <d v="2015-08-30T18:42:53"/>
    <x v="13"/>
    <n v="1"/>
    <n v="18"/>
    <m/>
  </r>
  <r>
    <n v="360"/>
    <s v="Utah"/>
    <s v="84040"/>
    <d v="2015-08-10T00:46:38"/>
    <d v="2015-08-10T00:46:41"/>
    <n v="1"/>
    <n v="2"/>
    <n v="2"/>
    <n v="3"/>
    <n v="1"/>
    <n v="1"/>
    <n v="29.92"/>
    <s v="Aug"/>
    <d v="2015-08-10T00:46:38"/>
    <x v="7"/>
    <n v="2"/>
    <n v="0"/>
    <m/>
  </r>
  <r>
    <n v="362"/>
    <s v="Alabama"/>
    <s v="35801"/>
    <d v="2015-01-17T14:47:21"/>
    <d v="2015-01-17T14:47:24"/>
    <n v="1"/>
    <n v="2"/>
    <n v="4"/>
    <n v="2"/>
    <n v="1"/>
    <n v="2"/>
    <n v="36"/>
    <s v="Jan"/>
    <d v="2015-01-17T14:47:22"/>
    <x v="8"/>
    <n v="7"/>
    <n v="14"/>
    <m/>
  </r>
  <r>
    <n v="363"/>
    <s v="North Carolina"/>
    <s v="27127"/>
    <d v="2015-04-07T11:05:16"/>
    <d v="2015-04-07T11:05:22"/>
    <n v="1"/>
    <n v="2"/>
    <n v="8"/>
    <n v="1"/>
    <n v="1"/>
    <n v="4"/>
    <n v="28.8"/>
    <s v="Apr"/>
    <d v="2015-04-07T11:05:17"/>
    <x v="16"/>
    <n v="3"/>
    <n v="11"/>
    <m/>
  </r>
  <r>
    <n v="364"/>
    <s v="New Jersey"/>
    <s v="07078"/>
    <d v="2015-06-18T00:32:13"/>
    <d v="2015-06-18T12:41:17"/>
    <n v="2"/>
    <n v="6"/>
    <n v="24"/>
    <n v="6"/>
    <n v="1"/>
    <n v="12"/>
    <n v="81"/>
    <s v="Jun"/>
    <d v="2015-06-17T20:35:38"/>
    <x v="8"/>
    <n v="4"/>
    <n v="20"/>
    <m/>
  </r>
  <r>
    <n v="365"/>
    <s v="California"/>
    <s v="92123"/>
    <d v="2015-03-29T02:41:41"/>
    <d v="2015-03-29T02:41:53"/>
    <n v="1"/>
    <n v="2"/>
    <n v="4"/>
    <n v="1"/>
    <n v="1"/>
    <n v="2"/>
    <n v="14.4"/>
    <s v="Mar"/>
    <d v="2015-03-29T02:41:42"/>
    <x v="26"/>
    <n v="1"/>
    <n v="2"/>
    <m/>
  </r>
  <r>
    <n v="366"/>
    <s v="Georgia"/>
    <s v="30292"/>
    <d v="2015-03-10T17:26:31"/>
    <d v="2015-07-07T16:29:08"/>
    <n v="6"/>
    <n v="5"/>
    <n v="16"/>
    <n v="5"/>
    <n v="1"/>
    <n v="6"/>
    <n v="73.8"/>
    <s v="Jul"/>
    <d v="2015-07-07T16:34:06"/>
    <x v="16"/>
    <n v="3"/>
    <n v="16"/>
    <m/>
  </r>
  <r>
    <n v="367"/>
    <s v="New York"/>
    <s v="10010"/>
    <d v="2015-03-02T13:46:53"/>
    <d v="2015-03-02T13:47:05"/>
    <n v="1"/>
    <n v="0"/>
    <n v="4"/>
    <n v="1"/>
    <n v="1"/>
    <n v="2"/>
    <n v="18"/>
    <s v="Mar"/>
    <d v="2015-03-02T13:47:01"/>
    <x v="30"/>
    <n v="2"/>
    <n v="13"/>
    <m/>
  </r>
  <r>
    <n v="368"/>
    <m/>
    <m/>
    <d v="2015-08-22T01:26:38"/>
    <d v="2015-08-21T21:26:39"/>
    <n v="1"/>
    <n v="1"/>
    <n v="2"/>
    <n v="1"/>
    <n v="1"/>
    <n v="2"/>
    <n v="11"/>
    <s v="Aug"/>
    <d v="2015-08-21T21:32:08"/>
    <x v="18"/>
    <n v="6"/>
    <n v="21"/>
    <m/>
  </r>
  <r>
    <n v="369"/>
    <s v="Iowa"/>
    <s v="51038"/>
    <d v="2015-08-27T15:48:06"/>
    <d v="2015-08-27T15:48:07"/>
    <n v="1"/>
    <n v="6"/>
    <n v="4"/>
    <n v="2"/>
    <n v="1"/>
    <n v="2"/>
    <n v="22"/>
    <s v="Aug"/>
    <d v="2015-08-27T15:50:57"/>
    <x v="28"/>
    <n v="5"/>
    <n v="15"/>
    <m/>
  </r>
  <r>
    <n v="370"/>
    <m/>
    <m/>
    <d v="2015-01-23T19:41:04"/>
    <d v="2015-01-23T19:41:22"/>
    <n v="1"/>
    <n v="0"/>
    <n v="4"/>
    <n v="5"/>
    <n v="1"/>
    <n v="2"/>
    <n v="9"/>
    <s v="Jan"/>
    <d v="2015-01-23T19:41:18"/>
    <x v="10"/>
    <n v="6"/>
    <n v="19"/>
    <m/>
  </r>
  <r>
    <n v="371"/>
    <s v="Illinois"/>
    <s v="60655"/>
    <d v="2015-02-13T21:25:48"/>
    <d v="2015-02-19T12:44:15"/>
    <n v="3"/>
    <n v="0"/>
    <n v="2"/>
    <n v="2"/>
    <n v="1"/>
    <n v="1"/>
    <n v="30.6"/>
    <s v="Feb"/>
    <d v="2015-02-13T21:25:49"/>
    <x v="20"/>
    <n v="6"/>
    <n v="21"/>
    <m/>
  </r>
  <r>
    <n v="372"/>
    <s v="Virginia"/>
    <s v="22311"/>
    <d v="2015-08-10T16:22:18"/>
    <d v="2015-08-10T16:22:21"/>
    <n v="1"/>
    <n v="8"/>
    <n v="2"/>
    <n v="6"/>
    <n v="1"/>
    <n v="1"/>
    <n v="29.92"/>
    <s v="Aug"/>
    <d v="2015-08-10T16:22:18"/>
    <x v="7"/>
    <n v="2"/>
    <n v="16"/>
    <m/>
  </r>
  <r>
    <n v="373"/>
    <s v="Oregon"/>
    <s v="97420"/>
    <d v="2015-09-10T23:23:21"/>
    <d v="2015-09-10T23:23:23"/>
    <n v="1"/>
    <n v="1"/>
    <n v="4"/>
    <n v="6"/>
    <n v="1"/>
    <n v="1"/>
    <n v="56.32"/>
    <s v="Sep"/>
    <d v="2015-09-10T23:23:21"/>
    <x v="7"/>
    <n v="5"/>
    <n v="23"/>
    <m/>
  </r>
  <r>
    <n v="374"/>
    <s v="North Carolina"/>
    <s v="27012"/>
    <d v="2015-06-29T13:20:23"/>
    <d v="2015-06-29T09:20:41"/>
    <n v="1"/>
    <n v="4"/>
    <n v="2"/>
    <n v="2"/>
    <n v="1"/>
    <n v="1"/>
    <n v="72"/>
    <s v="Jun"/>
    <d v="2015-06-29T09:20:25"/>
    <x v="26"/>
    <n v="2"/>
    <n v="9"/>
    <m/>
  </r>
  <r>
    <n v="375"/>
    <m/>
    <m/>
    <d v="2015-07-06T11:42:08"/>
    <d v="2015-07-06T07:42:09"/>
    <n v="1"/>
    <n v="2"/>
    <n v="10"/>
    <n v="11"/>
    <n v="1"/>
    <n v="2"/>
    <n v="18"/>
    <s v="Jul"/>
    <d v="2015-07-06T07:43:44"/>
    <x v="17"/>
    <n v="2"/>
    <n v="7"/>
    <m/>
  </r>
  <r>
    <n v="376"/>
    <s v="Massachusetts"/>
    <s v="01267"/>
    <d v="2015-07-16T11:21:01"/>
    <d v="2015-07-16T11:21:04"/>
    <n v="1"/>
    <n v="4"/>
    <n v="4"/>
    <n v="2"/>
    <n v="1"/>
    <n v="2"/>
    <n v="18.399999999999999"/>
    <s v="Jul"/>
    <d v="2015-07-16T11:21:01"/>
    <x v="22"/>
    <n v="5"/>
    <n v="11"/>
    <m/>
  </r>
  <r>
    <n v="377"/>
    <s v="Massachusetts"/>
    <s v="02653"/>
    <d v="2015-01-29T21:50:08"/>
    <d v="2015-01-29T21:50:14"/>
    <n v="1"/>
    <n v="2"/>
    <n v="12"/>
    <n v="1"/>
    <n v="1"/>
    <n v="12"/>
    <n v="91.8"/>
    <s v="Jan"/>
    <d v="2015-01-29T21:50:10"/>
    <x v="26"/>
    <n v="5"/>
    <n v="21"/>
    <m/>
  </r>
  <r>
    <n v="378"/>
    <s v="North Carolina"/>
    <s v="28411"/>
    <d v="2015-07-07T08:27:45"/>
    <d v="2015-07-07T08:27:48"/>
    <n v="1"/>
    <n v="0"/>
    <n v="2"/>
    <n v="2"/>
    <n v="1"/>
    <n v="4"/>
    <n v="28.8"/>
    <s v="Jul"/>
    <d v="2015-07-07T08:27:45"/>
    <x v="16"/>
    <n v="3"/>
    <n v="8"/>
    <m/>
  </r>
  <r>
    <n v="379"/>
    <s v="South Carolina"/>
    <s v="29715"/>
    <d v="2015-04-23T10:15:49"/>
    <d v="2015-04-24T09:16:21"/>
    <n v="2"/>
    <n v="1"/>
    <n v="6"/>
    <n v="1"/>
    <n v="1"/>
    <n v="3"/>
    <n v="27"/>
    <s v="Apr"/>
    <d v="2015-04-23T10:15:50"/>
    <x v="10"/>
    <n v="5"/>
    <n v="10"/>
    <m/>
  </r>
  <r>
    <n v="380"/>
    <s v="New Hampshire"/>
    <s v="03755"/>
    <d v="2015-07-09T12:14:58"/>
    <d v="2015-07-09T08:15:04"/>
    <n v="1"/>
    <n v="4"/>
    <n v="6"/>
    <n v="2"/>
    <n v="1"/>
    <n v="3"/>
    <n v="105.6"/>
    <s v="Jul"/>
    <d v="2015-07-09T08:14:59"/>
    <x v="21"/>
    <n v="5"/>
    <n v="8"/>
    <m/>
  </r>
  <r>
    <n v="381"/>
    <s v="Pennsylvania"/>
    <s v="18433"/>
    <d v="2015-06-04T13:21:58"/>
    <d v="2015-06-04T13:22:02"/>
    <n v="1"/>
    <n v="4"/>
    <n v="10"/>
    <n v="2"/>
    <n v="1"/>
    <n v="5"/>
    <n v="36"/>
    <s v="Jun"/>
    <d v="2015-06-04T13:21:58"/>
    <x v="24"/>
    <n v="5"/>
    <n v="13"/>
    <m/>
  </r>
  <r>
    <n v="382"/>
    <m/>
    <m/>
    <d v="2015-02-28T21:08:22"/>
    <d v="2015-02-28T21:08:27"/>
    <n v="1"/>
    <n v="2"/>
    <n v="4"/>
    <n v="4"/>
    <n v="1"/>
    <n v="2"/>
    <n v="18"/>
    <s v="Feb"/>
    <d v="2015-02-28T21:13:24"/>
    <x v="4"/>
    <n v="7"/>
    <n v="21"/>
    <m/>
  </r>
  <r>
    <n v="383"/>
    <s v="Minnesota"/>
    <s v="55419"/>
    <d v="2015-06-29T14:25:53"/>
    <d v="2015-06-30T08:00:08"/>
    <n v="3"/>
    <n v="0"/>
    <n v="2"/>
    <n v="3"/>
    <n v="1"/>
    <n v="1"/>
    <n v="28.8"/>
    <s v="Jun"/>
    <d v="2015-06-29T14:25:53"/>
    <x v="26"/>
    <n v="2"/>
    <n v="14"/>
    <m/>
  </r>
  <r>
    <n v="384"/>
    <s v="Massachusetts"/>
    <s v="01440"/>
    <d v="2015-07-12T10:52:39"/>
    <d v="2015-07-12T10:53:10"/>
    <n v="1"/>
    <n v="2"/>
    <n v="8"/>
    <n v="2"/>
    <n v="1"/>
    <n v="4"/>
    <n v="28.8"/>
    <s v="Jul"/>
    <d v="2015-07-12T10:52:39"/>
    <x v="5"/>
    <n v="1"/>
    <n v="10"/>
    <m/>
  </r>
  <r>
    <n v="385"/>
    <s v="Washington"/>
    <s v="98516"/>
    <d v="2015-02-12T16:22:54"/>
    <d v="2015-02-12T16:22:57"/>
    <n v="1"/>
    <n v="2"/>
    <n v="2"/>
    <n v="1"/>
    <n v="1"/>
    <n v="1"/>
    <n v="28.8"/>
    <s v="Feb"/>
    <d v="2015-02-12T16:22:55"/>
    <x v="5"/>
    <n v="5"/>
    <n v="16"/>
    <m/>
  </r>
  <r>
    <n v="386"/>
    <s v="Ohio"/>
    <s v="43606"/>
    <d v="2015-01-21T08:14:33"/>
    <d v="2015-02-11T08:18:35"/>
    <n v="3"/>
    <n v="0"/>
    <n v="4"/>
    <n v="3"/>
    <n v="1"/>
    <n v="4"/>
    <n v="28.8"/>
    <s v="Jan"/>
    <d v="2015-01-21T08:14:34"/>
    <x v="18"/>
    <n v="4"/>
    <n v="8"/>
    <m/>
  </r>
  <r>
    <n v="387"/>
    <s v="New York"/>
    <s v="14209"/>
    <d v="2015-07-01T13:06:28"/>
    <d v="2015-07-01T13:06:32"/>
    <n v="1"/>
    <n v="2"/>
    <n v="4"/>
    <n v="2"/>
    <n v="1"/>
    <n v="2"/>
    <n v="57.6"/>
    <s v="Jul"/>
    <d v="2015-07-01T13:06:28"/>
    <x v="6"/>
    <n v="4"/>
    <n v="13"/>
    <m/>
  </r>
  <r>
    <n v="388"/>
    <s v="Georgia"/>
    <s v="30813"/>
    <d v="2015-03-22T18:36:03"/>
    <d v="2015-03-22T18:36:09"/>
    <n v="1"/>
    <n v="0"/>
    <n v="6"/>
    <n v="1"/>
    <n v="1"/>
    <n v="6"/>
    <n v="43.2"/>
    <s v="Mar"/>
    <d v="2015-03-22T18:36:04"/>
    <x v="1"/>
    <n v="1"/>
    <n v="18"/>
    <m/>
  </r>
  <r>
    <n v="389"/>
    <s v="Florida"/>
    <s v="32164"/>
    <d v="2015-01-23T07:23:13"/>
    <d v="2015-01-23T07:23:18"/>
    <n v="1"/>
    <n v="10"/>
    <n v="6"/>
    <n v="2"/>
    <n v="1"/>
    <n v="2"/>
    <n v="9"/>
    <s v="Jan"/>
    <d v="2015-01-23T07:23:15"/>
    <x v="10"/>
    <n v="6"/>
    <n v="7"/>
    <m/>
  </r>
  <r>
    <n v="390"/>
    <s v="California"/>
    <s v="94544"/>
    <d v="2015-05-22T10:38:17"/>
    <d v="2015-05-22T10:38:20"/>
    <n v="1"/>
    <n v="2"/>
    <n v="2"/>
    <n v="2"/>
    <n v="1"/>
    <n v="1"/>
    <n v="28.8"/>
    <s v="May"/>
    <d v="2015-05-22T10:38:18"/>
    <x v="1"/>
    <n v="6"/>
    <n v="10"/>
    <m/>
  </r>
  <r>
    <n v="391"/>
    <s v="California"/>
    <s v="94122"/>
    <d v="2015-03-10T21:17:07"/>
    <d v="2015-03-11T00:57:03"/>
    <n v="2"/>
    <n v="2"/>
    <n v="8"/>
    <n v="1"/>
    <n v="1"/>
    <n v="4"/>
    <n v="28.8"/>
    <s v="Mar"/>
    <d v="2015-03-10T21:17:09"/>
    <x v="7"/>
    <n v="3"/>
    <n v="21"/>
    <m/>
  </r>
  <r>
    <n v="392"/>
    <s v="Florida"/>
    <s v="32792"/>
    <d v="2015-02-20T18:04:43"/>
    <d v="2015-02-20T18:04:48"/>
    <n v="1"/>
    <n v="0"/>
    <n v="6"/>
    <n v="1"/>
    <n v="1"/>
    <n v="3"/>
    <n v="18"/>
    <s v="Feb"/>
    <d v="2015-02-20T18:04:44"/>
    <x v="15"/>
    <n v="6"/>
    <n v="18"/>
    <m/>
  </r>
  <r>
    <n v="393"/>
    <m/>
    <m/>
    <d v="2015-01-22T12:27:07"/>
    <d v="2015-01-22T12:27:13"/>
    <n v="1"/>
    <n v="0"/>
    <n v="6"/>
    <n v="12"/>
    <n v="1"/>
    <n v="2"/>
    <n v="9"/>
    <s v="Jan"/>
    <d v="2015-01-22T12:29:33"/>
    <x v="1"/>
    <n v="5"/>
    <n v="12"/>
    <m/>
  </r>
  <r>
    <n v="394"/>
    <s v="Missouri"/>
    <s v="63127"/>
    <d v="2015-02-25T18:33:20"/>
    <d v="2015-02-25T18:33:26"/>
    <n v="1"/>
    <n v="0"/>
    <n v="2"/>
    <n v="1"/>
    <n v="1"/>
    <n v="4"/>
    <n v="28.8"/>
    <s v="Feb"/>
    <d v="2015-02-25T18:33:21"/>
    <x v="3"/>
    <n v="4"/>
    <n v="18"/>
    <m/>
  </r>
  <r>
    <n v="395"/>
    <s v="Michigan"/>
    <s v="48045"/>
    <d v="2015-08-12T22:49:41"/>
    <d v="2015-08-12T18:49:45"/>
    <n v="1"/>
    <n v="8"/>
    <n v="6"/>
    <n v="4"/>
    <n v="1"/>
    <n v="3"/>
    <n v="52"/>
    <s v="Aug"/>
    <d v="2015-08-12T18:49:41"/>
    <x v="5"/>
    <n v="4"/>
    <n v="18"/>
    <m/>
  </r>
  <r>
    <n v="397"/>
    <s v="Idaho"/>
    <s v="83702"/>
    <d v="2015-02-02T23:56:04"/>
    <d v="2015-02-02T23:56:10"/>
    <n v="1"/>
    <n v="0"/>
    <n v="4"/>
    <n v="1"/>
    <n v="1"/>
    <n v="2"/>
    <n v="9"/>
    <s v="Feb"/>
    <d v="2015-02-02T23:56:06"/>
    <x v="30"/>
    <n v="2"/>
    <n v="23"/>
    <m/>
  </r>
  <r>
    <n v="398"/>
    <s v="Nevada"/>
    <s v="89121"/>
    <d v="2015-06-09T06:05:56"/>
    <d v="2015-06-09T02:06:01"/>
    <n v="1"/>
    <n v="2"/>
    <n v="2"/>
    <n v="2"/>
    <n v="1"/>
    <n v="4"/>
    <n v="28.8"/>
    <s v="Jun"/>
    <d v="2015-06-09T02:05:58"/>
    <x v="21"/>
    <n v="3"/>
    <n v="2"/>
    <m/>
  </r>
  <r>
    <n v="399"/>
    <m/>
    <m/>
    <d v="2015-08-06T17:28:16"/>
    <d v="2015-08-20T22:56:44"/>
    <n v="2"/>
    <n v="4"/>
    <n v="4"/>
    <n v="4"/>
    <n v="1"/>
    <n v="1"/>
    <n v="28.05"/>
    <s v="Aug"/>
    <d v="2015-08-20T22:58:49"/>
    <x v="15"/>
    <n v="5"/>
    <n v="22"/>
    <m/>
  </r>
  <r>
    <n v="400"/>
    <m/>
    <m/>
    <d v="2015-02-15T02:48:02"/>
    <d v="2015-02-18T18:25:45"/>
    <n v="4"/>
    <n v="4"/>
    <n v="2"/>
    <n v="3"/>
    <n v="1"/>
    <n v="1"/>
    <n v="57.6"/>
    <s v="Feb"/>
    <d v="2015-02-15T02:48:03"/>
    <x v="0"/>
    <n v="1"/>
    <n v="2"/>
    <m/>
  </r>
  <r>
    <n v="401"/>
    <s v="Georgia"/>
    <s v="31047"/>
    <d v="2015-04-18T23:14:29"/>
    <d v="2015-04-18T23:14:35"/>
    <n v="1"/>
    <n v="0"/>
    <n v="10"/>
    <n v="2"/>
    <n v="1"/>
    <n v="6"/>
    <n v="54"/>
    <s v="Apr"/>
    <d v="2015-04-18T23:14:31"/>
    <x v="9"/>
    <n v="7"/>
    <n v="23"/>
    <m/>
  </r>
  <r>
    <n v="402"/>
    <s v="Maryland"/>
    <s v="21218"/>
    <d v="2015-03-16T09:05:56"/>
    <d v="2015-03-16T09:06:04"/>
    <n v="1"/>
    <n v="2"/>
    <n v="2"/>
    <n v="1"/>
    <n v="1"/>
    <n v="1"/>
    <n v="28.8"/>
    <s v="Mar"/>
    <d v="2015-03-16T09:05:57"/>
    <x v="22"/>
    <n v="2"/>
    <n v="9"/>
    <m/>
  </r>
  <r>
    <n v="403"/>
    <s v="Maryland"/>
    <s v="20882"/>
    <d v="2015-06-12T15:03:19"/>
    <d v="2015-06-12T15:03:24"/>
    <n v="1"/>
    <n v="10"/>
    <n v="16"/>
    <n v="2"/>
    <n v="1"/>
    <n v="7"/>
    <n v="72"/>
    <s v="Jun"/>
    <d v="2015-06-12T15:03:20"/>
    <x v="5"/>
    <n v="6"/>
    <n v="15"/>
    <m/>
  </r>
  <r>
    <n v="404"/>
    <s v="New York"/>
    <s v="11375"/>
    <d v="2015-03-17T01:04:09"/>
    <d v="2015-03-17T01:04:15"/>
    <n v="1"/>
    <n v="2"/>
    <n v="8"/>
    <n v="1"/>
    <n v="1"/>
    <n v="4"/>
    <n v="28.8"/>
    <s v="Mar"/>
    <d v="2015-03-17T01:04:10"/>
    <x v="8"/>
    <n v="3"/>
    <n v="1"/>
    <m/>
  </r>
  <r>
    <n v="405"/>
    <s v="Iowa"/>
    <s v="50325"/>
    <d v="2015-05-18T22:16:03"/>
    <d v="2015-05-18T22:16:06"/>
    <n v="1"/>
    <n v="0"/>
    <n v="6"/>
    <n v="2"/>
    <n v="1"/>
    <n v="3"/>
    <n v="21.6"/>
    <s v="May"/>
    <d v="2015-05-18T22:16:04"/>
    <x v="9"/>
    <n v="2"/>
    <n v="22"/>
    <m/>
  </r>
  <r>
    <n v="406"/>
    <s v="Arizona"/>
    <s v="85016"/>
    <d v="2015-05-18T11:53:54"/>
    <d v="2015-05-19T09:37:58"/>
    <n v="3"/>
    <n v="4"/>
    <n v="4"/>
    <n v="3"/>
    <n v="1"/>
    <n v="6"/>
    <n v="43.2"/>
    <s v="May"/>
    <d v="2015-05-18T11:53:56"/>
    <x v="9"/>
    <n v="2"/>
    <n v="11"/>
    <m/>
  </r>
  <r>
    <n v="407"/>
    <s v="Minnesota"/>
    <s v="55416"/>
    <d v="2015-01-29T12:56:30"/>
    <d v="2015-01-29T12:56:35"/>
    <n v="1"/>
    <n v="4"/>
    <n v="4"/>
    <n v="1"/>
    <n v="1"/>
    <n v="2"/>
    <n v="9"/>
    <s v="Jan"/>
    <d v="2015-01-29T12:56:31"/>
    <x v="26"/>
    <n v="5"/>
    <n v="12"/>
    <m/>
  </r>
  <r>
    <n v="408"/>
    <s v="California"/>
    <s v="94117"/>
    <d v="2015-06-17T02:49:23"/>
    <d v="2015-06-17T02:49:26"/>
    <n v="1"/>
    <n v="2"/>
    <n v="2"/>
    <n v="2"/>
    <n v="1"/>
    <n v="4"/>
    <n v="28.8"/>
    <s v="Jun"/>
    <d v="2015-06-17T02:49:24"/>
    <x v="8"/>
    <n v="4"/>
    <n v="2"/>
    <m/>
  </r>
  <r>
    <n v="409"/>
    <s v="Virginia"/>
    <s v="20136"/>
    <d v="2015-09-19T14:44:03"/>
    <d v="2015-09-19T10:44:07"/>
    <n v="1"/>
    <n v="4"/>
    <n v="4"/>
    <n v="2"/>
    <n v="1"/>
    <n v="2"/>
    <n v="74.8"/>
    <s v="Sep"/>
    <d v="2015-09-19T10:44:04"/>
    <x v="19"/>
    <n v="7"/>
    <n v="10"/>
    <m/>
  </r>
  <r>
    <n v="410"/>
    <s v="California"/>
    <s v="91107"/>
    <d v="2015-02-15T19:52:05"/>
    <d v="2015-02-15T19:52:11"/>
    <n v="1"/>
    <n v="2"/>
    <n v="4"/>
    <n v="1"/>
    <n v="1"/>
    <n v="2"/>
    <n v="57.6"/>
    <s v="Feb"/>
    <d v="2015-02-15T19:52:06"/>
    <x v="0"/>
    <n v="1"/>
    <n v="19"/>
    <m/>
  </r>
  <r>
    <n v="411"/>
    <s v="North Carolina"/>
    <s v="28305"/>
    <d v="2015-09-01T07:37:53"/>
    <d v="2015-09-01T14:59:18"/>
    <n v="5"/>
    <n v="9"/>
    <n v="8"/>
    <n v="10"/>
    <n v="1"/>
    <n v="3"/>
    <n v="86.8"/>
    <s v="Sep"/>
    <d v="2015-09-01T12:43:55"/>
    <x v="6"/>
    <n v="3"/>
    <n v="12"/>
    <m/>
  </r>
  <r>
    <n v="412"/>
    <m/>
    <m/>
    <d v="2015-08-24T16:03:22"/>
    <d v="2015-08-24T12:03:24"/>
    <n v="1"/>
    <n v="6"/>
    <n v="4"/>
    <n v="5"/>
    <n v="1"/>
    <n v="1"/>
    <n v="29.92"/>
    <s v="Aug"/>
    <d v="2015-08-24T12:05:32"/>
    <x v="11"/>
    <n v="2"/>
    <n v="12"/>
    <m/>
  </r>
  <r>
    <n v="413"/>
    <s v="California"/>
    <s v="94521"/>
    <d v="2015-08-17T21:30:54"/>
    <d v="2015-08-17T21:31:00"/>
    <n v="1"/>
    <n v="6"/>
    <n v="8"/>
    <n v="2"/>
    <n v="1"/>
    <n v="4"/>
    <n v="77.55"/>
    <s v="Aug"/>
    <d v="2015-08-17T21:30:55"/>
    <x v="8"/>
    <n v="2"/>
    <n v="21"/>
    <m/>
  </r>
  <r>
    <n v="414"/>
    <s v="Massachusetts"/>
    <s v="02019"/>
    <d v="2015-06-28T19:11:27"/>
    <d v="2015-06-28T21:25:29"/>
    <n v="3"/>
    <n v="6"/>
    <n v="4"/>
    <n v="2"/>
    <n v="1"/>
    <n v="2"/>
    <n v="144"/>
    <s v="Jun"/>
    <d v="2015-06-28T19:11:27"/>
    <x v="4"/>
    <n v="1"/>
    <n v="19"/>
    <m/>
  </r>
  <r>
    <n v="415"/>
    <m/>
    <m/>
    <d v="2015-01-16T19:13:32"/>
    <d v="2015-01-16T19:13:37"/>
    <n v="1"/>
    <n v="0"/>
    <n v="8"/>
    <n v="10"/>
    <n v="1"/>
    <n v="2"/>
    <n v="57.6"/>
    <s v="Jan"/>
    <d v="2015-01-16T19:16:51"/>
    <x v="22"/>
    <n v="6"/>
    <n v="19"/>
    <m/>
  </r>
  <r>
    <n v="416"/>
    <m/>
    <m/>
    <d v="2015-03-05T17:59:14"/>
    <d v="2015-03-05T17:59:19"/>
    <n v="1"/>
    <n v="0"/>
    <n v="4"/>
    <n v="7"/>
    <n v="1"/>
    <n v="2"/>
    <n v="14.4"/>
    <s v="Mar"/>
    <d v="2015-03-05T17:59:15"/>
    <x v="2"/>
    <n v="5"/>
    <n v="17"/>
    <m/>
  </r>
  <r>
    <n v="417"/>
    <s v="North Carolina"/>
    <s v="28374"/>
    <d v="2015-07-16T10:54:32"/>
    <d v="2015-07-16T10:54:36"/>
    <n v="1"/>
    <n v="0"/>
    <n v="2"/>
    <n v="2"/>
    <n v="1"/>
    <n v="1"/>
    <n v="37.4"/>
    <s v="Jul"/>
    <d v="2015-07-16T10:54:33"/>
    <x v="22"/>
    <n v="5"/>
    <n v="10"/>
    <m/>
  </r>
  <r>
    <n v="418"/>
    <s v="Georgia"/>
    <s v="30721"/>
    <d v="2015-02-24T01:32:15"/>
    <d v="2015-03-02T02:11:21"/>
    <n v="2"/>
    <n v="0"/>
    <n v="4"/>
    <n v="2"/>
    <n v="1"/>
    <n v="2"/>
    <n v="9"/>
    <s v="Feb"/>
    <d v="2015-02-24T01:32:16"/>
    <x v="11"/>
    <n v="3"/>
    <n v="1"/>
    <m/>
  </r>
  <r>
    <n v="419"/>
    <m/>
    <m/>
    <d v="2015-06-11T21:40:44"/>
    <d v="2015-06-11T17:40:48"/>
    <n v="1"/>
    <n v="0"/>
    <n v="4"/>
    <n v="4"/>
    <n v="1"/>
    <n v="2"/>
    <n v="12"/>
    <s v="Jun"/>
    <d v="2015-06-11T17:41:52"/>
    <x v="12"/>
    <n v="5"/>
    <n v="17"/>
    <m/>
  </r>
  <r>
    <n v="420"/>
    <s v="Georgia"/>
    <s v="30224"/>
    <d v="2015-08-21T11:22:52"/>
    <d v="2015-08-21T11:22:56"/>
    <n v="1"/>
    <n v="6"/>
    <n v="6"/>
    <n v="4"/>
    <n v="1"/>
    <n v="2"/>
    <n v="80.849999999999994"/>
    <s v="Aug"/>
    <d v="2015-08-21T11:22:52"/>
    <x v="18"/>
    <n v="6"/>
    <n v="11"/>
    <m/>
  </r>
  <r>
    <n v="421"/>
    <s v="Ohio"/>
    <s v="43228"/>
    <d v="2015-06-06T16:14:38"/>
    <d v="2015-06-06T12:14:44"/>
    <n v="1"/>
    <n v="4"/>
    <n v="6"/>
    <n v="2"/>
    <n v="1"/>
    <n v="3"/>
    <n v="81.599999999999994"/>
    <s v="Jun"/>
    <d v="2015-06-06T12:14:41"/>
    <x v="17"/>
    <n v="7"/>
    <n v="12"/>
    <m/>
  </r>
  <r>
    <n v="422"/>
    <s v="Ohio"/>
    <s v="43952"/>
    <d v="2015-07-13T10:24:43"/>
    <d v="2015-07-13T12:39:04"/>
    <n v="6"/>
    <n v="0"/>
    <n v="2"/>
    <n v="2"/>
    <n v="1"/>
    <n v="1"/>
    <n v="36"/>
    <s v="Jul"/>
    <d v="2015-07-13T10:24:43"/>
    <x v="20"/>
    <n v="2"/>
    <n v="10"/>
    <m/>
  </r>
  <r>
    <n v="423"/>
    <s v="Washington"/>
    <s v="98074"/>
    <d v="2015-08-03T12:43:20"/>
    <d v="2015-08-03T12:43:23"/>
    <n v="1"/>
    <n v="2"/>
    <n v="2"/>
    <n v="2"/>
    <n v="1"/>
    <n v="1"/>
    <n v="56.32"/>
    <s v="Aug"/>
    <d v="2015-08-03T12:43:20"/>
    <x v="23"/>
    <n v="2"/>
    <n v="12"/>
    <m/>
  </r>
  <r>
    <n v="424"/>
    <s v="Florida"/>
    <s v="33314"/>
    <d v="2015-01-25T16:08:00"/>
    <d v="2015-01-25T16:08:04"/>
    <n v="1"/>
    <n v="0"/>
    <n v="6"/>
    <n v="4"/>
    <n v="1"/>
    <n v="2"/>
    <n v="9"/>
    <s v="Jan"/>
    <d v="2015-01-25T16:08:01"/>
    <x v="3"/>
    <n v="1"/>
    <n v="16"/>
    <m/>
  </r>
  <r>
    <n v="425"/>
    <m/>
    <m/>
    <d v="2015-07-29T13:59:20"/>
    <d v="2015-07-29T09:59:21"/>
    <n v="1"/>
    <n v="2"/>
    <n v="3"/>
    <n v="4"/>
    <n v="1"/>
    <n v="2"/>
    <n v="11"/>
    <s v="Jul"/>
    <d v="2015-07-29T10:07:13"/>
    <x v="26"/>
    <n v="4"/>
    <n v="10"/>
    <m/>
  </r>
  <r>
    <n v="426"/>
    <s v="Alabama"/>
    <s v="35213"/>
    <d v="2015-05-22T11:21:00"/>
    <d v="2015-05-22T11:21:03"/>
    <n v="1"/>
    <n v="2"/>
    <n v="2"/>
    <n v="2"/>
    <n v="1"/>
    <n v="1"/>
    <n v="28.8"/>
    <s v="May"/>
    <d v="2015-05-22T11:21:00"/>
    <x v="1"/>
    <n v="6"/>
    <n v="11"/>
    <m/>
  </r>
  <r>
    <n v="427"/>
    <s v="Arizona"/>
    <s v="85304"/>
    <d v="2015-06-12T17:27:59"/>
    <d v="2015-06-12T13:28:04"/>
    <n v="1"/>
    <n v="8"/>
    <n v="8"/>
    <n v="2"/>
    <n v="1"/>
    <n v="4"/>
    <n v="28.8"/>
    <s v="Jun"/>
    <d v="2015-06-12T13:28:01"/>
    <x v="5"/>
    <n v="6"/>
    <n v="13"/>
    <m/>
  </r>
  <r>
    <n v="428"/>
    <s v="Kansas"/>
    <s v="66202"/>
    <d v="2015-08-15T13:58:54"/>
    <d v="2015-08-15T13:58:57"/>
    <n v="1"/>
    <n v="2"/>
    <n v="2"/>
    <n v="2"/>
    <n v="1"/>
    <n v="1"/>
    <n v="29.92"/>
    <s v="Aug"/>
    <d v="2015-08-15T13:58:55"/>
    <x v="0"/>
    <n v="7"/>
    <n v="13"/>
    <m/>
  </r>
  <r>
    <n v="429"/>
    <s v="New Jersey"/>
    <s v="7752"/>
    <d v="2015-03-14T07:41:27"/>
    <d v="2015-03-14T07:41:39"/>
    <n v="1"/>
    <n v="2"/>
    <n v="4"/>
    <n v="2"/>
    <n v="1"/>
    <n v="2"/>
    <n v="18"/>
    <s v="Mar"/>
    <d v="2015-03-14T07:41:28"/>
    <x v="25"/>
    <n v="7"/>
    <n v="7"/>
    <m/>
  </r>
  <r>
    <n v="430"/>
    <s v="Virginia"/>
    <s v="22101"/>
    <d v="2015-06-12T01:10:16"/>
    <d v="2015-06-11T21:10:22"/>
    <n v="1"/>
    <n v="2"/>
    <n v="4"/>
    <n v="2"/>
    <n v="1"/>
    <n v="2"/>
    <n v="57.6"/>
    <s v="Jun"/>
    <d v="2015-06-11T21:10:18"/>
    <x v="12"/>
    <n v="5"/>
    <n v="21"/>
    <m/>
  </r>
  <r>
    <n v="431"/>
    <s v="Wisconsin"/>
    <s v="54165"/>
    <d v="2015-06-26T18:48:00"/>
    <d v="2015-06-26T14:48:05"/>
    <n v="1"/>
    <n v="4"/>
    <n v="8"/>
    <n v="2"/>
    <n v="1"/>
    <n v="4"/>
    <n v="28.8"/>
    <s v="Jun"/>
    <d v="2015-06-26T14:48:01"/>
    <x v="27"/>
    <n v="6"/>
    <n v="14"/>
    <m/>
  </r>
  <r>
    <n v="432"/>
    <s v="California"/>
    <s v="92504"/>
    <d v="2015-09-18T17:15:30"/>
    <d v="2015-09-18T17:15:34"/>
    <n v="1"/>
    <n v="2"/>
    <n v="2"/>
    <n v="2"/>
    <n v="1"/>
    <n v="1"/>
    <n v="29.92"/>
    <s v="Sep"/>
    <d v="2015-09-18T17:15:30"/>
    <x v="9"/>
    <n v="6"/>
    <n v="17"/>
    <m/>
  </r>
  <r>
    <n v="433"/>
    <s v="Texas"/>
    <s v="78732"/>
    <d v="2015-07-24T14:23:33"/>
    <d v="2015-07-24T14:23:37"/>
    <n v="1"/>
    <n v="2"/>
    <n v="6"/>
    <n v="2"/>
    <n v="1"/>
    <n v="2"/>
    <n v="22"/>
    <s v="Jul"/>
    <d v="2015-07-24T14:23:33"/>
    <x v="11"/>
    <n v="6"/>
    <n v="14"/>
    <m/>
  </r>
  <r>
    <n v="434"/>
    <s v="Ohio"/>
    <s v="44140"/>
    <d v="2015-07-03T00:13:39"/>
    <d v="2015-07-02T20:13:41"/>
    <n v="1"/>
    <n v="2"/>
    <n v="16"/>
    <n v="4"/>
    <n v="1"/>
    <n v="4"/>
    <n v="28.8"/>
    <s v="Jul"/>
    <d v="2015-07-02T20:15:23"/>
    <x v="30"/>
    <n v="5"/>
    <n v="20"/>
    <m/>
  </r>
  <r>
    <n v="435"/>
    <m/>
    <m/>
    <d v="2015-01-19T13:27:21"/>
    <d v="2015-02-25T21:26:29"/>
    <n v="3"/>
    <n v="0"/>
    <n v="1"/>
    <n v="2"/>
    <n v="1"/>
    <n v="4"/>
    <n v="28.8"/>
    <s v="Feb"/>
    <d v="2015-02-25T21:29:02"/>
    <x v="3"/>
    <n v="4"/>
    <n v="21"/>
    <m/>
  </r>
  <r>
    <n v="436"/>
    <s v="Maryland"/>
    <s v="21042"/>
    <d v="2015-01-21T22:02:27"/>
    <d v="2015-01-21T22:02:30"/>
    <n v="1"/>
    <n v="0"/>
    <n v="2"/>
    <n v="2"/>
    <n v="1"/>
    <n v="1"/>
    <n v="57.6"/>
    <s v="Jan"/>
    <d v="2015-01-21T22:02:28"/>
    <x v="18"/>
    <n v="4"/>
    <n v="22"/>
    <m/>
  </r>
  <r>
    <n v="437"/>
    <m/>
    <m/>
    <d v="2015-05-20T13:16:51"/>
    <d v="2015-05-20T09:16:54"/>
    <n v="1"/>
    <n v="0"/>
    <n v="10"/>
    <n v="10"/>
    <n v="1"/>
    <n v="1"/>
    <n v="28.8"/>
    <s v="May"/>
    <d v="2015-05-20T09:18:59"/>
    <x v="15"/>
    <n v="4"/>
    <n v="9"/>
    <m/>
  </r>
  <r>
    <n v="438"/>
    <s v="Connecticut"/>
    <s v="06825"/>
    <d v="2015-03-04T10:36:22"/>
    <d v="2015-03-04T10:36:28"/>
    <n v="1"/>
    <n v="0"/>
    <n v="14"/>
    <n v="1"/>
    <n v="1"/>
    <n v="7"/>
    <n v="50.4"/>
    <s v="Mar"/>
    <d v="2015-03-04T10:36:24"/>
    <x v="24"/>
    <n v="4"/>
    <n v="10"/>
    <m/>
  </r>
  <r>
    <n v="439"/>
    <s v="Pennsylvania"/>
    <s v="18643"/>
    <d v="2015-01-26T11:33:40"/>
    <d v="2015-02-23T17:01:16"/>
    <n v="16"/>
    <n v="12"/>
    <n v="10"/>
    <n v="12"/>
    <n v="1"/>
    <n v="7"/>
    <n v="50.4"/>
    <s v="Jan"/>
    <d v="2015-01-26T12:01:58"/>
    <x v="27"/>
    <n v="2"/>
    <n v="12"/>
    <m/>
  </r>
  <r>
    <n v="440"/>
    <s v="Indiana"/>
    <s v="47803"/>
    <d v="2015-03-12T09:36:35"/>
    <d v="2015-03-12T09:36:40"/>
    <n v="1"/>
    <n v="0"/>
    <n v="8"/>
    <n v="1"/>
    <n v="1"/>
    <n v="4"/>
    <n v="28.8"/>
    <s v="Mar"/>
    <d v="2015-03-12T09:36:36"/>
    <x v="5"/>
    <n v="5"/>
    <n v="9"/>
    <m/>
  </r>
  <r>
    <n v="441"/>
    <s v="Florida"/>
    <s v="34275"/>
    <d v="2015-06-07T20:42:53"/>
    <d v="2015-06-07T16:43:00"/>
    <n v="1"/>
    <n v="0"/>
    <n v="4"/>
    <n v="2"/>
    <n v="1"/>
    <n v="2"/>
    <n v="36"/>
    <s v="Jun"/>
    <d v="2015-06-07T16:42:55"/>
    <x v="16"/>
    <n v="1"/>
    <n v="16"/>
    <m/>
  </r>
  <r>
    <n v="442"/>
    <s v="Maine"/>
    <s v="04105"/>
    <d v="2015-05-16T05:06:51"/>
    <d v="2015-05-16T05:06:54"/>
    <n v="1"/>
    <n v="2"/>
    <n v="2"/>
    <n v="5"/>
    <n v="1"/>
    <n v="4"/>
    <n v="28.8"/>
    <s v="May"/>
    <d v="2015-05-16T05:06:51"/>
    <x v="22"/>
    <n v="7"/>
    <n v="5"/>
    <m/>
  </r>
  <r>
    <n v="444"/>
    <s v="Maryland"/>
    <s v="21042"/>
    <d v="2013-09-20T19:25:06"/>
    <d v="2015-07-06T23:18:47"/>
    <n v="2"/>
    <n v="0"/>
    <n v="2"/>
    <n v="3"/>
    <n v="1"/>
    <n v="1"/>
    <n v="28.8"/>
    <s v="Jul"/>
    <d v="2015-07-06T23:20:26"/>
    <x v="17"/>
    <n v="2"/>
    <n v="23"/>
    <m/>
  </r>
  <r>
    <n v="445"/>
    <m/>
    <m/>
    <d v="2015-02-12T14:58:25"/>
    <d v="2015-02-12T17:35:52"/>
    <n v="3"/>
    <n v="0"/>
    <n v="2"/>
    <n v="3"/>
    <n v="1"/>
    <n v="1"/>
    <n v="27"/>
    <s v="Feb"/>
    <d v="2015-02-12T14:59:49"/>
    <x v="5"/>
    <n v="5"/>
    <n v="14"/>
    <m/>
  </r>
  <r>
    <n v="446"/>
    <s v="California"/>
    <s v="91942"/>
    <d v="2015-03-25T16:51:42"/>
    <d v="2015-03-25T16:51:45"/>
    <n v="1"/>
    <n v="1"/>
    <n v="8"/>
    <n v="3"/>
    <n v="1"/>
    <n v="2"/>
    <n v="52.8"/>
    <s v="Mar"/>
    <d v="2015-03-25T16:58:28"/>
    <x v="3"/>
    <n v="4"/>
    <n v="16"/>
    <m/>
  </r>
  <r>
    <n v="447"/>
    <s v="New York"/>
    <s v="11229"/>
    <d v="2015-01-27T15:34:11"/>
    <d v="2015-03-13T18:19:45"/>
    <n v="6"/>
    <n v="1"/>
    <n v="11"/>
    <n v="9"/>
    <n v="3"/>
    <n v="9"/>
    <n v="18"/>
    <s v="Jan"/>
    <d v="2015-01-27T15:34:13"/>
    <x v="28"/>
    <n v="3"/>
    <n v="15"/>
    <m/>
  </r>
  <r>
    <n v="448"/>
    <s v="Pennsylvania"/>
    <s v="17601"/>
    <d v="2015-09-12T20:40:43"/>
    <d v="2015-09-13T15:23:25"/>
    <n v="2"/>
    <n v="0"/>
    <n v="2"/>
    <n v="23"/>
    <n v="1"/>
    <n v="1"/>
    <n v="29.92"/>
    <s v="Sep"/>
    <d v="2015-09-12T20:41:56"/>
    <x v="5"/>
    <n v="7"/>
    <n v="20"/>
    <m/>
  </r>
  <r>
    <n v="449"/>
    <s v="New Jersey"/>
    <s v="08515"/>
    <d v="2015-02-04T08:01:23"/>
    <d v="2015-02-04T08:01:29"/>
    <n v="1"/>
    <n v="2"/>
    <n v="4"/>
    <n v="1"/>
    <n v="1"/>
    <n v="2"/>
    <n v="18"/>
    <s v="Feb"/>
    <d v="2015-02-04T08:01:25"/>
    <x v="24"/>
    <n v="4"/>
    <n v="8"/>
    <m/>
  </r>
  <r>
    <n v="450"/>
    <s v="Connecticut"/>
    <s v="06801"/>
    <d v="2015-07-27T16:10:31"/>
    <d v="2015-07-27T16:10:35"/>
    <n v="1"/>
    <n v="0"/>
    <n v="2"/>
    <n v="2"/>
    <n v="1"/>
    <n v="1"/>
    <n v="29.92"/>
    <s v="Jul"/>
    <d v="2015-07-27T16:10:32"/>
    <x v="28"/>
    <n v="2"/>
    <n v="16"/>
    <m/>
  </r>
  <r>
    <n v="451"/>
    <s v="South Carolina"/>
    <s v="29148"/>
    <d v="2015-04-27T11:22:19"/>
    <d v="2015-04-30T21:15:31"/>
    <n v="4"/>
    <n v="1"/>
    <n v="7"/>
    <n v="8"/>
    <n v="1"/>
    <n v="2"/>
    <n v="18"/>
    <s v="Apr"/>
    <d v="2015-04-28T08:53:06"/>
    <x v="4"/>
    <n v="3"/>
    <n v="8"/>
    <m/>
  </r>
  <r>
    <n v="452"/>
    <s v="Washington"/>
    <s v="98030"/>
    <d v="2015-03-07T22:22:29"/>
    <d v="2015-03-07T22:22:35"/>
    <n v="1"/>
    <n v="0"/>
    <n v="10"/>
    <n v="2"/>
    <n v="1"/>
    <n v="4"/>
    <n v="28.8"/>
    <s v="Mar"/>
    <d v="2015-03-07T22:22:30"/>
    <x v="16"/>
    <n v="7"/>
    <n v="22"/>
    <m/>
  </r>
  <r>
    <n v="453"/>
    <m/>
    <m/>
    <d v="2015-07-26T02:30:30"/>
    <d v="2015-07-25T22:30:31"/>
    <n v="1"/>
    <n v="5"/>
    <n v="7"/>
    <n v="1"/>
    <n v="1"/>
    <n v="2"/>
    <n v="59.84"/>
    <s v="Jul"/>
    <d v="2015-07-25T22:41:08"/>
    <x v="3"/>
    <n v="7"/>
    <n v="22"/>
    <m/>
  </r>
  <r>
    <n v="454"/>
    <s v="California"/>
    <s v="90049"/>
    <d v="2015-05-31T11:45:31"/>
    <d v="2015-05-31T11:45:40"/>
    <n v="1"/>
    <n v="2"/>
    <n v="4"/>
    <n v="2"/>
    <n v="1"/>
    <n v="2"/>
    <n v="14.4"/>
    <s v="May"/>
    <d v="2015-05-31T11:45:32"/>
    <x v="14"/>
    <n v="1"/>
    <n v="11"/>
    <m/>
  </r>
  <r>
    <n v="455"/>
    <m/>
    <m/>
    <d v="2015-01-14T13:17:48"/>
    <d v="2015-01-27T16:33:28"/>
    <n v="16"/>
    <n v="0"/>
    <n v="2"/>
    <n v="13"/>
    <n v="1"/>
    <n v="2"/>
    <n v="115.2"/>
    <s v="Jan"/>
    <d v="2015-01-17T10:24:46"/>
    <x v="8"/>
    <n v="7"/>
    <n v="10"/>
    <m/>
  </r>
  <r>
    <n v="456"/>
    <s v="Indiana"/>
    <s v="46168"/>
    <d v="2015-09-12T07:30:29"/>
    <d v="2015-09-12T07:30:33"/>
    <n v="1"/>
    <n v="0"/>
    <n v="4"/>
    <n v="2"/>
    <n v="1"/>
    <n v="1"/>
    <n v="29.92"/>
    <s v="Sep"/>
    <d v="2015-09-12T07:30:29"/>
    <x v="5"/>
    <n v="7"/>
    <n v="7"/>
    <m/>
  </r>
  <r>
    <n v="457"/>
    <s v="Connecticut"/>
    <s v="06483"/>
    <d v="2015-03-18T07:35:29"/>
    <d v="2015-03-18T07:35:34"/>
    <n v="1"/>
    <n v="0"/>
    <n v="2"/>
    <n v="2"/>
    <n v="1"/>
    <n v="1"/>
    <n v="57.6"/>
    <s v="Mar"/>
    <d v="2015-03-18T07:35:30"/>
    <x v="9"/>
    <n v="4"/>
    <n v="7"/>
    <m/>
  </r>
  <r>
    <n v="458"/>
    <s v="Colorado"/>
    <s v="80022"/>
    <d v="2015-07-06T18:13:30"/>
    <d v="2015-07-06T18:13:33"/>
    <n v="1"/>
    <n v="2"/>
    <n v="6"/>
    <n v="3"/>
    <n v="1"/>
    <n v="1"/>
    <n v="28.8"/>
    <s v="Jul"/>
    <d v="2015-07-06T18:13:30"/>
    <x v="17"/>
    <n v="2"/>
    <n v="18"/>
    <m/>
  </r>
  <r>
    <n v="459"/>
    <s v="Georgia"/>
    <s v="31501"/>
    <d v="2015-03-06T12:26:03"/>
    <d v="2015-03-06T12:26:12"/>
    <n v="1"/>
    <n v="0"/>
    <n v="10"/>
    <n v="11"/>
    <n v="1"/>
    <n v="1"/>
    <n v="28.8"/>
    <s v="Mar"/>
    <d v="2015-03-06T12:26:03"/>
    <x v="17"/>
    <n v="6"/>
    <n v="12"/>
    <m/>
  </r>
  <r>
    <n v="460"/>
    <s v="Florida"/>
    <s v="32583"/>
    <d v="2015-07-21T03:15:36"/>
    <d v="2015-07-20T23:15:37"/>
    <n v="2"/>
    <n v="0"/>
    <n v="1"/>
    <n v="2"/>
    <n v="1"/>
    <n v="1"/>
    <n v="30.6"/>
    <s v="Jul"/>
    <d v="2015-07-20T23:17:54"/>
    <x v="15"/>
    <n v="2"/>
    <n v="23"/>
    <m/>
  </r>
  <r>
    <n v="461"/>
    <s v="Washington"/>
    <s v="98371"/>
    <d v="2015-08-14T10:13:56"/>
    <d v="2015-08-14T21:56:45"/>
    <n v="6"/>
    <n v="4"/>
    <n v="4"/>
    <n v="2"/>
    <n v="1"/>
    <n v="1"/>
    <n v="37.4"/>
    <s v="Aug"/>
    <d v="2015-08-14T10:13:56"/>
    <x v="25"/>
    <n v="6"/>
    <n v="10"/>
    <m/>
  </r>
  <r>
    <n v="462"/>
    <s v="Nevada"/>
    <s v="89179"/>
    <d v="2015-06-11T23:00:22"/>
    <d v="2015-06-11T23:00:30"/>
    <n v="1"/>
    <n v="10"/>
    <n v="13"/>
    <n v="3"/>
    <n v="1"/>
    <n v="8"/>
    <n v="54"/>
    <s v="Jun"/>
    <d v="2015-06-11T23:00:23"/>
    <x v="12"/>
    <n v="5"/>
    <n v="23"/>
    <m/>
  </r>
  <r>
    <n v="463"/>
    <s v="North Carolina"/>
    <s v="28314"/>
    <d v="2015-01-18T11:52:27"/>
    <d v="2015-01-23T07:35:12"/>
    <n v="2"/>
    <n v="0"/>
    <n v="4"/>
    <n v="4"/>
    <n v="1"/>
    <n v="2"/>
    <n v="9"/>
    <s v="Jan"/>
    <d v="2015-01-18T11:52:29"/>
    <x v="9"/>
    <n v="1"/>
    <n v="11"/>
    <m/>
  </r>
  <r>
    <n v="464"/>
    <s v="Maryland"/>
    <s v="21201"/>
    <d v="2015-08-11T19:23:41"/>
    <d v="2015-08-11T15:23:46"/>
    <n v="1"/>
    <n v="0"/>
    <n v="2"/>
    <n v="2"/>
    <n v="1"/>
    <n v="1"/>
    <n v="32.64"/>
    <s v="Aug"/>
    <d v="2015-08-11T15:23:41"/>
    <x v="12"/>
    <n v="3"/>
    <n v="15"/>
    <m/>
  </r>
  <r>
    <n v="465"/>
    <s v="Massachusetts"/>
    <s v="01057"/>
    <d v="2015-01-29T20:51:41"/>
    <d v="2015-01-30T20:09:29"/>
    <n v="2"/>
    <n v="0"/>
    <n v="5"/>
    <n v="5"/>
    <n v="1"/>
    <n v="2"/>
    <n v="14.4"/>
    <s v="Jan"/>
    <d v="2015-01-29T20:55:02"/>
    <x v="26"/>
    <n v="5"/>
    <n v="20"/>
    <m/>
  </r>
  <r>
    <n v="466"/>
    <s v="Georgia"/>
    <s v="30605"/>
    <d v="2015-06-08T13:45:37"/>
    <d v="2015-06-08T13:45:41"/>
    <n v="1"/>
    <n v="2"/>
    <n v="4"/>
    <n v="6"/>
    <n v="1"/>
    <n v="1"/>
    <n v="28.8"/>
    <s v="Jun"/>
    <d v="2015-06-08T13:45:38"/>
    <x v="29"/>
    <n v="2"/>
    <n v="13"/>
    <m/>
  </r>
  <r>
    <n v="467"/>
    <s v="New York"/>
    <s v="10014"/>
    <d v="2015-06-16T11:12:08"/>
    <d v="2015-06-16T11:12:12"/>
    <n v="1"/>
    <n v="2"/>
    <n v="2"/>
    <n v="2"/>
    <n v="1"/>
    <n v="1"/>
    <n v="28.8"/>
    <s v="Jun"/>
    <d v="2015-06-16T11:12:09"/>
    <x v="22"/>
    <n v="3"/>
    <n v="11"/>
    <m/>
  </r>
  <r>
    <n v="468"/>
    <s v="Florida"/>
    <s v="33315"/>
    <d v="2015-06-04T06:14:41"/>
    <d v="2015-06-04T06:14:44"/>
    <n v="1"/>
    <n v="2"/>
    <n v="2"/>
    <n v="2"/>
    <n v="1"/>
    <n v="1"/>
    <n v="28.8"/>
    <s v="Jun"/>
    <d v="2015-06-04T06:14:42"/>
    <x v="24"/>
    <n v="5"/>
    <n v="6"/>
    <m/>
  </r>
  <r>
    <n v="469"/>
    <s v="New York"/>
    <s v="11367"/>
    <d v="2015-06-17T12:27:11"/>
    <d v="2015-06-17T08:27:17"/>
    <n v="1"/>
    <n v="4"/>
    <n v="6"/>
    <n v="2"/>
    <n v="1"/>
    <n v="3"/>
    <n v="21.6"/>
    <s v="Jun"/>
    <d v="2015-06-17T08:27:13"/>
    <x v="8"/>
    <n v="4"/>
    <n v="8"/>
    <m/>
  </r>
  <r>
    <n v="470"/>
    <s v="New Jersey"/>
    <s v="08527"/>
    <d v="2015-01-28T10:33:37"/>
    <d v="2015-02-14T13:59:09"/>
    <n v="2"/>
    <n v="4"/>
    <n v="12"/>
    <n v="5"/>
    <n v="2"/>
    <n v="5"/>
    <n v="21.6"/>
    <s v="Jan"/>
    <d v="2015-01-28T10:33:39"/>
    <x v="4"/>
    <n v="4"/>
    <n v="10"/>
    <m/>
  </r>
  <r>
    <n v="471"/>
    <s v="California"/>
    <s v="94070"/>
    <d v="2015-05-21T19:36:58"/>
    <d v="2015-05-21T19:37:03"/>
    <n v="1"/>
    <n v="2"/>
    <n v="2"/>
    <n v="2"/>
    <n v="1"/>
    <n v="1"/>
    <n v="28.8"/>
    <s v="May"/>
    <d v="2015-05-21T19:37:00"/>
    <x v="18"/>
    <n v="5"/>
    <n v="19"/>
    <m/>
  </r>
  <r>
    <n v="472"/>
    <s v="Pennsylvania"/>
    <s v="19041"/>
    <d v="2015-09-18T12:12:32"/>
    <d v="2015-09-18T12:12:37"/>
    <n v="1"/>
    <n v="6"/>
    <n v="2"/>
    <n v="2"/>
    <n v="1"/>
    <n v="1"/>
    <n v="29.92"/>
    <s v="Sep"/>
    <d v="2015-09-18T12:12:33"/>
    <x v="9"/>
    <n v="6"/>
    <n v="12"/>
    <m/>
  </r>
  <r>
    <n v="473"/>
    <s v="Arizona"/>
    <s v="85035"/>
    <d v="2015-01-13T16:43:27"/>
    <d v="2015-01-20T16:05:23"/>
    <n v="3"/>
    <n v="0"/>
    <n v="2"/>
    <n v="3"/>
    <n v="1"/>
    <n v="1"/>
    <n v="28.8"/>
    <s v="Jan"/>
    <d v="2015-01-13T16:43:28"/>
    <x v="20"/>
    <n v="3"/>
    <n v="16"/>
    <m/>
  </r>
  <r>
    <n v="474"/>
    <s v="New Jersey"/>
    <s v="7631"/>
    <d v="2015-06-16T19:25:15"/>
    <d v="2015-06-16T15:25:22"/>
    <n v="1"/>
    <n v="0"/>
    <n v="4"/>
    <n v="2"/>
    <n v="1"/>
    <n v="2"/>
    <n v="18"/>
    <s v="Jun"/>
    <d v="2015-06-16T15:25:18"/>
    <x v="22"/>
    <n v="3"/>
    <n v="15"/>
    <m/>
  </r>
  <r>
    <n v="475"/>
    <s v="Alabama"/>
    <s v="35210"/>
    <d v="2015-08-18T11:05:05"/>
    <d v="2015-08-18T11:05:08"/>
    <n v="1"/>
    <n v="0"/>
    <n v="2"/>
    <n v="4"/>
    <n v="1"/>
    <n v="1"/>
    <n v="56.32"/>
    <s v="Aug"/>
    <d v="2015-08-18T11:05:05"/>
    <x v="9"/>
    <n v="3"/>
    <n v="11"/>
    <m/>
  </r>
  <r>
    <n v="476"/>
    <s v="Michigan"/>
    <s v="49221"/>
    <d v="2015-08-27T09:00:56"/>
    <d v="2015-08-27T09:01:00"/>
    <n v="1"/>
    <n v="2"/>
    <n v="2"/>
    <n v="2"/>
    <n v="1"/>
    <n v="1"/>
    <n v="56.32"/>
    <s v="Aug"/>
    <d v="2015-08-27T09:00:56"/>
    <x v="28"/>
    <n v="5"/>
    <n v="9"/>
    <m/>
  </r>
  <r>
    <n v="477"/>
    <s v="Oklahoma"/>
    <s v="74135"/>
    <d v="2015-06-20T15:07:48"/>
    <d v="2015-06-20T11:07:49"/>
    <n v="1"/>
    <n v="1"/>
    <n v="6"/>
    <n v="1"/>
    <n v="1"/>
    <n v="4"/>
    <n v="39"/>
    <s v="Jun"/>
    <d v="2015-06-20T11:23:34"/>
    <x v="15"/>
    <n v="7"/>
    <n v="11"/>
    <m/>
  </r>
  <r>
    <n v="478"/>
    <s v="Illinois"/>
    <s v="61739"/>
    <d v="2015-08-17T08:12:02"/>
    <d v="2015-08-17T08:12:05"/>
    <n v="1"/>
    <n v="2"/>
    <n v="2"/>
    <n v="2"/>
    <n v="1"/>
    <n v="4"/>
    <n v="35.200000000000003"/>
    <s v="Aug"/>
    <d v="2015-08-17T08:12:03"/>
    <x v="8"/>
    <n v="2"/>
    <n v="8"/>
    <m/>
  </r>
  <r>
    <n v="480"/>
    <s v="New York"/>
    <s v="12210"/>
    <d v="2015-04-05T11:50:48"/>
    <d v="2015-04-05T11:50:53"/>
    <n v="1"/>
    <n v="0"/>
    <n v="4"/>
    <n v="1"/>
    <n v="1"/>
    <n v="2"/>
    <n v="18"/>
    <s v="Apr"/>
    <d v="2015-04-05T11:50:49"/>
    <x v="2"/>
    <n v="1"/>
    <n v="11"/>
    <m/>
  </r>
  <r>
    <n v="481"/>
    <s v="Wisconsin"/>
    <s v="54481"/>
    <d v="2015-05-14T12:43:56"/>
    <d v="2015-05-14T12:44:00"/>
    <n v="1"/>
    <n v="4"/>
    <n v="12"/>
    <n v="2"/>
    <n v="1"/>
    <n v="6"/>
    <n v="43.2"/>
    <s v="May"/>
    <d v="2015-05-14T12:43:57"/>
    <x v="25"/>
    <n v="5"/>
    <n v="12"/>
    <m/>
  </r>
  <r>
    <n v="483"/>
    <s v="California"/>
    <s v="92122"/>
    <d v="2015-06-02T16:10:08"/>
    <d v="2015-06-02T16:10:14"/>
    <n v="1"/>
    <n v="6"/>
    <n v="2"/>
    <n v="2"/>
    <n v="1"/>
    <n v="1"/>
    <n v="57.6"/>
    <s v="Jun"/>
    <d v="2015-06-02T16:10:09"/>
    <x v="30"/>
    <n v="3"/>
    <n v="16"/>
    <m/>
  </r>
  <r>
    <n v="484"/>
    <s v="Indiana"/>
    <s v="46074"/>
    <d v="2015-03-22T09:51:33"/>
    <d v="2015-03-22T09:51:39"/>
    <n v="1"/>
    <n v="0"/>
    <n v="8"/>
    <n v="1"/>
    <n v="1"/>
    <n v="4"/>
    <n v="27"/>
    <s v="Mar"/>
    <d v="2015-03-22T09:51:34"/>
    <x v="1"/>
    <n v="1"/>
    <n v="9"/>
    <m/>
  </r>
  <r>
    <n v="485"/>
    <m/>
    <m/>
    <d v="2015-02-26T13:56:24"/>
    <d v="2015-02-27T16:42:41"/>
    <n v="3"/>
    <n v="4"/>
    <n v="8"/>
    <n v="3"/>
    <n v="1"/>
    <n v="4"/>
    <n v="144"/>
    <s v="Feb"/>
    <d v="2015-02-26T13:56:25"/>
    <x v="27"/>
    <n v="5"/>
    <n v="13"/>
    <m/>
  </r>
  <r>
    <n v="486"/>
    <s v="Delaware"/>
    <s v="19702"/>
    <d v="2015-01-20T15:44:13"/>
    <d v="2015-01-21T14:06:23"/>
    <n v="2"/>
    <n v="0"/>
    <n v="2"/>
    <n v="4"/>
    <n v="1"/>
    <n v="1"/>
    <n v="28.8"/>
    <s v="Jan"/>
    <d v="2015-01-20T15:44:17"/>
    <x v="15"/>
    <n v="3"/>
    <n v="15"/>
    <m/>
  </r>
  <r>
    <n v="487"/>
    <s v="Illinois"/>
    <s v="62278"/>
    <d v="2015-09-09T11:52:31"/>
    <d v="2015-09-11T13:36:28"/>
    <n v="4"/>
    <n v="8"/>
    <n v="10"/>
    <n v="5"/>
    <n v="1"/>
    <n v="4"/>
    <n v="36"/>
    <s v="Sep"/>
    <d v="2015-09-11T13:37:54"/>
    <x v="12"/>
    <n v="6"/>
    <n v="13"/>
    <m/>
  </r>
  <r>
    <n v="488"/>
    <s v="Pennsylvania"/>
    <s v="18069"/>
    <d v="2015-03-04T19:05:29"/>
    <d v="2015-03-05T10:19:42"/>
    <n v="3"/>
    <n v="2"/>
    <n v="4"/>
    <n v="1"/>
    <n v="1"/>
    <n v="2"/>
    <n v="9"/>
    <s v="Mar"/>
    <d v="2015-03-04T19:05:30"/>
    <x v="24"/>
    <n v="4"/>
    <n v="19"/>
    <m/>
  </r>
  <r>
    <n v="489"/>
    <s v="North Carolina"/>
    <s v="28117"/>
    <d v="2015-02-28T13:10:04"/>
    <d v="2015-03-12T14:22:47"/>
    <n v="2"/>
    <n v="0"/>
    <n v="2"/>
    <n v="3"/>
    <n v="1"/>
    <n v="1"/>
    <n v="27"/>
    <s v="Feb"/>
    <d v="2015-02-28T13:10:05"/>
    <x v="4"/>
    <n v="7"/>
    <n v="13"/>
    <m/>
  </r>
  <r>
    <n v="490"/>
    <s v="Illinois"/>
    <s v="60137"/>
    <d v="2015-02-22T23:09:56"/>
    <d v="2015-02-22T23:10:03"/>
    <n v="1"/>
    <n v="2"/>
    <n v="8"/>
    <n v="1"/>
    <n v="1"/>
    <n v="4"/>
    <n v="28.8"/>
    <s v="Feb"/>
    <d v="2015-02-22T23:09:59"/>
    <x v="1"/>
    <n v="1"/>
    <n v="23"/>
    <m/>
  </r>
  <r>
    <n v="491"/>
    <s v="California"/>
    <s v="94133"/>
    <d v="2015-03-05T14:39:49"/>
    <d v="2015-03-05T14:39:54"/>
    <n v="1"/>
    <n v="0"/>
    <n v="4"/>
    <n v="1"/>
    <n v="1"/>
    <n v="2"/>
    <n v="14.4"/>
    <s v="Mar"/>
    <d v="2015-03-05T14:39:50"/>
    <x v="2"/>
    <n v="5"/>
    <n v="14"/>
    <m/>
  </r>
  <r>
    <n v="493"/>
    <s v="Texas"/>
    <s v="75238"/>
    <d v="2015-01-22T14:05:08"/>
    <d v="2015-01-22T14:05:12"/>
    <n v="1"/>
    <n v="0"/>
    <n v="6"/>
    <n v="2"/>
    <n v="1"/>
    <n v="6"/>
    <n v="41.6"/>
    <s v="Jan"/>
    <d v="2015-01-22T14:05:09"/>
    <x v="1"/>
    <n v="5"/>
    <n v="14"/>
    <m/>
  </r>
  <r>
    <n v="494"/>
    <m/>
    <m/>
    <d v="2015-05-29T14:31:41"/>
    <d v="2015-05-30T17:08:33"/>
    <n v="1"/>
    <n v="1"/>
    <n v="2"/>
    <n v="1"/>
    <n v="1"/>
    <n v="2"/>
    <n v="72"/>
    <s v="May"/>
    <d v="2015-05-30T17:11:18"/>
    <x v="13"/>
    <n v="7"/>
    <n v="17"/>
    <m/>
  </r>
  <r>
    <n v="495"/>
    <s v="Iowa"/>
    <s v="50009"/>
    <d v="2015-06-11T07:14:08"/>
    <d v="2015-06-11T07:14:11"/>
    <n v="1"/>
    <n v="8"/>
    <n v="2"/>
    <n v="4"/>
    <n v="1"/>
    <n v="1"/>
    <n v="28.8"/>
    <s v="Jun"/>
    <d v="2015-06-11T07:14:09"/>
    <x v="12"/>
    <n v="5"/>
    <n v="7"/>
    <m/>
  </r>
  <r>
    <n v="496"/>
    <s v="Illinois"/>
    <s v="60614"/>
    <d v="2015-01-17T14:40:48"/>
    <d v="2015-02-02T20:08:16"/>
    <n v="2"/>
    <n v="2"/>
    <n v="32"/>
    <n v="5"/>
    <n v="2"/>
    <n v="16"/>
    <n v="57.6"/>
    <s v="Jan"/>
    <d v="2015-01-17T14:43:43"/>
    <x v="8"/>
    <n v="7"/>
    <n v="14"/>
    <m/>
  </r>
  <r>
    <n v="497"/>
    <s v="Iowa"/>
    <s v="51533"/>
    <d v="2015-03-03T16:07:28"/>
    <d v="2015-03-04T13:41:36"/>
    <n v="3"/>
    <n v="0"/>
    <n v="4"/>
    <n v="2"/>
    <n v="1"/>
    <n v="2"/>
    <n v="9"/>
    <s v="Mar"/>
    <d v="2015-03-03T16:07:29"/>
    <x v="23"/>
    <n v="3"/>
    <n v="16"/>
    <m/>
  </r>
  <r>
    <n v="498"/>
    <s v="Mississippi"/>
    <s v="38732"/>
    <d v="2015-09-05T08:45:41"/>
    <d v="2015-09-05T19:39:58"/>
    <n v="2"/>
    <n v="2"/>
    <n v="2"/>
    <n v="2"/>
    <n v="1"/>
    <n v="1"/>
    <n v="51.2"/>
    <s v="Sep"/>
    <d v="2015-09-05T08:45:41"/>
    <x v="2"/>
    <n v="7"/>
    <n v="8"/>
    <m/>
  </r>
  <r>
    <n v="499"/>
    <m/>
    <m/>
    <d v="2015-01-22T23:11:17"/>
    <d v="2015-01-22T23:11:24"/>
    <n v="1"/>
    <n v="0"/>
    <n v="8"/>
    <n v="3"/>
    <n v="1"/>
    <n v="4"/>
    <n v="27"/>
    <s v="Jan"/>
    <d v="2015-01-22T23:17:40"/>
    <x v="1"/>
    <n v="5"/>
    <n v="23"/>
    <m/>
  </r>
  <r>
    <n v="500"/>
    <s v="Texas"/>
    <s v="77057"/>
    <d v="2015-08-25T20:26:26"/>
    <d v="2015-08-25T20:26:29"/>
    <n v="1"/>
    <n v="4"/>
    <n v="4"/>
    <n v="2"/>
    <n v="1"/>
    <n v="1"/>
    <n v="56.32"/>
    <s v="Aug"/>
    <d v="2015-08-25T20:26:26"/>
    <x v="3"/>
    <n v="3"/>
    <n v="20"/>
    <m/>
  </r>
  <r>
    <n v="501"/>
    <s v="California"/>
    <s v="90025"/>
    <d v="2015-02-19T21:28:42"/>
    <d v="2015-02-19T21:28:45"/>
    <n v="1"/>
    <n v="4"/>
    <n v="6"/>
    <n v="3"/>
    <n v="1"/>
    <n v="2"/>
    <n v="14.4"/>
    <s v="Feb"/>
    <d v="2015-02-19T21:30:34"/>
    <x v="19"/>
    <n v="5"/>
    <n v="21"/>
    <m/>
  </r>
  <r>
    <n v="502"/>
    <s v="Florida"/>
    <s v="32073"/>
    <d v="2015-02-10T12:06:35"/>
    <d v="2015-02-10T14:28:41"/>
    <n v="2"/>
    <n v="2"/>
    <n v="4"/>
    <n v="5"/>
    <n v="1"/>
    <n v="2"/>
    <n v="9"/>
    <s v="Feb"/>
    <d v="2015-02-10T14:44:14"/>
    <x v="7"/>
    <n v="3"/>
    <n v="14"/>
    <m/>
  </r>
  <r>
    <n v="503"/>
    <s v="Illinois"/>
    <s v="60093"/>
    <d v="2015-06-24T18:33:02"/>
    <d v="2015-06-24T14:33:07"/>
    <n v="1"/>
    <n v="0"/>
    <n v="4"/>
    <n v="3"/>
    <n v="1"/>
    <n v="2"/>
    <n v="18"/>
    <s v="Jun"/>
    <d v="2015-06-24T14:33:04"/>
    <x v="11"/>
    <n v="4"/>
    <n v="14"/>
    <m/>
  </r>
  <r>
    <n v="504"/>
    <s v="Texas"/>
    <s v="75215"/>
    <d v="2015-06-17T15:15:59"/>
    <d v="2015-06-17T13:42:59"/>
    <n v="7"/>
    <n v="4"/>
    <n v="10"/>
    <n v="2"/>
    <n v="1"/>
    <n v="4"/>
    <n v="28.8"/>
    <s v="Jun"/>
    <d v="2015-06-17T11:16:01"/>
    <x v="8"/>
    <n v="4"/>
    <n v="11"/>
    <m/>
  </r>
  <r>
    <n v="505"/>
    <s v="Kansas"/>
    <s v="66801"/>
    <d v="2015-09-06T12:18:05"/>
    <d v="2015-09-06T12:18:08"/>
    <n v="1"/>
    <n v="0"/>
    <n v="2"/>
    <n v="2"/>
    <n v="1"/>
    <n v="1"/>
    <n v="11"/>
    <s v="Sep"/>
    <d v="2015-09-06T12:18:05"/>
    <x v="17"/>
    <n v="1"/>
    <n v="12"/>
    <m/>
  </r>
  <r>
    <n v="506"/>
    <s v="Nebraska"/>
    <s v="68372"/>
    <d v="2015-01-17T15:22:21"/>
    <d v="2015-01-17T15:22:28"/>
    <n v="1"/>
    <n v="0"/>
    <n v="4"/>
    <n v="2"/>
    <n v="1"/>
    <n v="2"/>
    <n v="18"/>
    <s v="Jan"/>
    <d v="2015-01-17T15:22:25"/>
    <x v="8"/>
    <n v="7"/>
    <n v="15"/>
    <m/>
  </r>
  <r>
    <n v="507"/>
    <s v="California"/>
    <s v="95003"/>
    <d v="2015-05-28T23:45:48"/>
    <d v="2015-05-28T23:45:52"/>
    <n v="1"/>
    <n v="2"/>
    <n v="4"/>
    <n v="2"/>
    <n v="1"/>
    <n v="2"/>
    <n v="52.8"/>
    <s v="May"/>
    <d v="2015-05-28T23:45:49"/>
    <x v="4"/>
    <n v="5"/>
    <n v="23"/>
    <m/>
  </r>
  <r>
    <n v="508"/>
    <s v="South Carolina"/>
    <s v="29301"/>
    <d v="2015-08-02T23:36:43"/>
    <d v="2015-08-02T19:36:47"/>
    <n v="1"/>
    <n v="4"/>
    <n v="2"/>
    <n v="2"/>
    <n v="1"/>
    <n v="1"/>
    <n v="29.92"/>
    <s v="Aug"/>
    <d v="2015-08-02T19:36:44"/>
    <x v="30"/>
    <n v="1"/>
    <n v="19"/>
    <m/>
  </r>
  <r>
    <n v="509"/>
    <s v="Massachusetts"/>
    <s v="01776"/>
    <d v="2015-09-04T12:03:55"/>
    <d v="2015-09-04T12:03:58"/>
    <n v="1"/>
    <n v="6"/>
    <n v="4"/>
    <n v="2"/>
    <n v="1"/>
    <n v="2"/>
    <n v="22"/>
    <s v="Sep"/>
    <d v="2015-09-04T12:03:55"/>
    <x v="24"/>
    <n v="6"/>
    <n v="12"/>
    <m/>
  </r>
  <r>
    <n v="510"/>
    <m/>
    <m/>
    <d v="2015-01-23T17:42:24"/>
    <d v="2015-01-27T16:44:02"/>
    <n v="2"/>
    <n v="0"/>
    <n v="4"/>
    <n v="7"/>
    <n v="1"/>
    <n v="1"/>
    <n v="27"/>
    <s v="Jan"/>
    <d v="2015-01-23T17:42:32"/>
    <x v="10"/>
    <n v="6"/>
    <n v="17"/>
    <m/>
  </r>
  <r>
    <n v="511"/>
    <s v="Texas"/>
    <s v="79118"/>
    <d v="2015-04-16T14:56:40"/>
    <d v="2015-04-16T23:49:32"/>
    <n v="4"/>
    <n v="0"/>
    <n v="4"/>
    <n v="1"/>
    <n v="1"/>
    <n v="2"/>
    <n v="18"/>
    <s v="Apr"/>
    <d v="2015-04-16T14:56:40"/>
    <x v="22"/>
    <n v="5"/>
    <n v="14"/>
    <m/>
  </r>
  <r>
    <n v="512"/>
    <s v="California"/>
    <s v="94025"/>
    <d v="2015-05-31T17:46:59"/>
    <d v="2015-05-31T17:47:03"/>
    <n v="1"/>
    <n v="2"/>
    <n v="2"/>
    <n v="2"/>
    <n v="1"/>
    <n v="1"/>
    <n v="28.8"/>
    <s v="May"/>
    <d v="2015-05-31T17:47:00"/>
    <x v="14"/>
    <n v="1"/>
    <n v="17"/>
    <m/>
  </r>
  <r>
    <n v="513"/>
    <s v="Washington"/>
    <s v="98499"/>
    <d v="2015-06-15T05:58:22"/>
    <d v="2015-06-15T01:58:27"/>
    <n v="1"/>
    <n v="2"/>
    <n v="2"/>
    <n v="2"/>
    <n v="1"/>
    <n v="1"/>
    <n v="57.6"/>
    <s v="Jun"/>
    <d v="2015-06-15T01:58:24"/>
    <x v="0"/>
    <n v="2"/>
    <n v="1"/>
    <m/>
  </r>
  <r>
    <n v="514"/>
    <s v="Colorado"/>
    <s v="80104"/>
    <d v="2015-09-04T21:53:53"/>
    <d v="2015-09-04T17:53:58"/>
    <n v="1"/>
    <n v="14"/>
    <n v="10"/>
    <n v="2"/>
    <n v="1"/>
    <n v="5"/>
    <n v="65.92"/>
    <s v="Sep"/>
    <d v="2015-09-04T17:53:54"/>
    <x v="24"/>
    <n v="6"/>
    <n v="17"/>
    <m/>
  </r>
  <r>
    <n v="515"/>
    <s v="California"/>
    <s v="92104"/>
    <d v="2015-03-19T19:03:40"/>
    <d v="2015-03-19T19:03:44"/>
    <n v="1"/>
    <n v="0"/>
    <n v="6"/>
    <n v="1"/>
    <n v="1"/>
    <n v="2"/>
    <n v="9"/>
    <s v="Mar"/>
    <d v="2015-03-19T19:03:41"/>
    <x v="19"/>
    <n v="5"/>
    <n v="19"/>
    <m/>
  </r>
  <r>
    <n v="516"/>
    <s v="California"/>
    <s v="94582"/>
    <d v="2015-01-23T01:59:38"/>
    <d v="2015-01-23T01:59:46"/>
    <n v="1"/>
    <n v="0"/>
    <n v="14"/>
    <n v="2"/>
    <n v="1"/>
    <n v="6"/>
    <n v="43.2"/>
    <s v="Jan"/>
    <d v="2015-01-23T01:59:42"/>
    <x v="10"/>
    <n v="6"/>
    <n v="1"/>
    <m/>
  </r>
  <r>
    <n v="517"/>
    <s v="New York"/>
    <s v="10309"/>
    <d v="2015-03-04T20:09:34"/>
    <d v="2015-03-04T20:09:39"/>
    <n v="1"/>
    <n v="0"/>
    <n v="16"/>
    <n v="1"/>
    <n v="1"/>
    <n v="4"/>
    <n v="28.8"/>
    <s v="Mar"/>
    <d v="2015-03-04T20:09:35"/>
    <x v="24"/>
    <n v="4"/>
    <n v="20"/>
    <m/>
  </r>
  <r>
    <n v="519"/>
    <s v="Wisconsin"/>
    <s v="53142"/>
    <d v="2015-09-22T06:57:08"/>
    <d v="2015-09-22T06:57:12"/>
    <n v="1"/>
    <n v="2"/>
    <n v="2"/>
    <n v="2"/>
    <n v="1"/>
    <n v="1"/>
    <n v="29.92"/>
    <s v="Sep"/>
    <d v="2015-09-22T06:57:08"/>
    <x v="1"/>
    <n v="3"/>
    <n v="6"/>
    <m/>
  </r>
  <r>
    <n v="520"/>
    <s v="Connecticut"/>
    <s v="06902"/>
    <d v="2015-08-31T00:57:46"/>
    <d v="2015-08-30T20:57:49"/>
    <n v="1"/>
    <n v="2"/>
    <n v="2"/>
    <n v="2"/>
    <n v="1"/>
    <n v="1"/>
    <n v="30.6"/>
    <s v="Aug"/>
    <d v="2015-08-30T20:57:46"/>
    <x v="13"/>
    <n v="1"/>
    <n v="20"/>
    <m/>
  </r>
  <r>
    <n v="521"/>
    <s v="Indiana"/>
    <s v="46952"/>
    <d v="2015-06-12T11:22:26"/>
    <d v="2015-06-12T11:22:30"/>
    <n v="1"/>
    <n v="2"/>
    <n v="2"/>
    <n v="4"/>
    <n v="1"/>
    <n v="1"/>
    <n v="28.8"/>
    <s v="Jun"/>
    <d v="2015-06-12T11:22:27"/>
    <x v="5"/>
    <n v="6"/>
    <n v="11"/>
    <m/>
  </r>
  <r>
    <n v="522"/>
    <s v="New York"/>
    <s v="11935"/>
    <d v="2015-02-18T16:22:04"/>
    <d v="2015-02-19T07:58:32"/>
    <n v="2"/>
    <n v="2"/>
    <n v="4"/>
    <n v="1"/>
    <n v="1"/>
    <n v="2"/>
    <n v="18"/>
    <s v="Feb"/>
    <d v="2015-02-18T16:22:05"/>
    <x v="9"/>
    <n v="4"/>
    <n v="16"/>
    <m/>
  </r>
  <r>
    <n v="523"/>
    <s v="Indiana"/>
    <s v="47712"/>
    <d v="2015-09-17T21:15:17"/>
    <d v="2015-09-17T21:15:18"/>
    <n v="1"/>
    <n v="6"/>
    <n v="3"/>
    <n v="1"/>
    <n v="1"/>
    <n v="1"/>
    <n v="56.32"/>
    <s v="Sep"/>
    <d v="2015-09-17T21:36:11"/>
    <x v="8"/>
    <n v="5"/>
    <n v="21"/>
    <m/>
  </r>
  <r>
    <n v="524"/>
    <s v="Texas"/>
    <s v="78028"/>
    <d v="2015-01-18T20:45:38"/>
    <d v="2015-01-19T22:19:45"/>
    <n v="2"/>
    <n v="0"/>
    <n v="2"/>
    <n v="3"/>
    <n v="1"/>
    <n v="1"/>
    <n v="57.6"/>
    <s v="Jan"/>
    <d v="2015-01-18T20:45:40"/>
    <x v="9"/>
    <n v="1"/>
    <n v="20"/>
    <m/>
  </r>
  <r>
    <n v="525"/>
    <s v="Delaware"/>
    <s v="19803"/>
    <d v="2015-04-25T13:30:14"/>
    <d v="2015-04-25T13:30:20"/>
    <n v="1"/>
    <n v="2"/>
    <n v="12"/>
    <n v="1"/>
    <n v="1"/>
    <n v="4"/>
    <n v="28.8"/>
    <s v="Apr"/>
    <d v="2015-04-25T13:30:15"/>
    <x v="3"/>
    <n v="7"/>
    <n v="13"/>
    <m/>
  </r>
  <r>
    <n v="526"/>
    <s v="California"/>
    <s v="95382"/>
    <d v="2015-04-08T03:48:36"/>
    <d v="2015-04-08T15:34:16"/>
    <n v="2"/>
    <n v="10"/>
    <n v="2"/>
    <n v="1"/>
    <n v="1"/>
    <n v="4"/>
    <n v="28.8"/>
    <s v="Apr"/>
    <d v="2015-04-08T15:46:37"/>
    <x v="29"/>
    <n v="4"/>
    <n v="15"/>
    <m/>
  </r>
  <r>
    <n v="527"/>
    <s v="Pennsylvania"/>
    <s v="19107"/>
    <d v="2015-06-01T14:29:52"/>
    <d v="2015-06-01T14:29:55"/>
    <n v="1"/>
    <n v="0"/>
    <n v="2"/>
    <n v="2"/>
    <n v="1"/>
    <n v="3"/>
    <n v="86.4"/>
    <s v="Jun"/>
    <d v="2015-06-01T14:29:53"/>
    <x v="6"/>
    <n v="2"/>
    <n v="14"/>
    <m/>
  </r>
  <r>
    <n v="528"/>
    <s v="New York"/>
    <s v="10028"/>
    <d v="2015-07-13T11:04:21"/>
    <d v="2015-07-13T11:04:25"/>
    <n v="1"/>
    <n v="2"/>
    <n v="4"/>
    <n v="2"/>
    <n v="1"/>
    <n v="2"/>
    <n v="21"/>
    <s v="Jul"/>
    <d v="2015-07-13T11:04:22"/>
    <x v="20"/>
    <n v="2"/>
    <n v="11"/>
    <m/>
  </r>
  <r>
    <n v="529"/>
    <s v="Virginia"/>
    <s v="22060"/>
    <d v="2015-06-19T09:51:12"/>
    <d v="2015-06-19T09:51:17"/>
    <n v="1"/>
    <n v="6"/>
    <n v="10"/>
    <n v="2"/>
    <n v="1"/>
    <n v="5"/>
    <n v="40.799999999999997"/>
    <s v="Jun"/>
    <d v="2015-06-19T09:51:13"/>
    <x v="19"/>
    <n v="6"/>
    <n v="9"/>
    <m/>
  </r>
  <r>
    <n v="530"/>
    <s v="Pennsylvania"/>
    <s v="15012"/>
    <d v="2015-01-04T19:07:06"/>
    <d v="2015-01-04T19:07:12"/>
    <n v="1"/>
    <n v="0"/>
    <n v="4"/>
    <n v="2"/>
    <n v="1"/>
    <n v="8"/>
    <n v="72"/>
    <s v="Jan"/>
    <d v="2015-01-04T19:07:08"/>
    <x v="24"/>
    <n v="1"/>
    <n v="19"/>
    <m/>
  </r>
  <r>
    <n v="531"/>
    <s v="Texas"/>
    <s v="76051"/>
    <d v="2015-09-03T03:02:35"/>
    <d v="2015-09-02T23:02:39"/>
    <n v="1"/>
    <n v="8"/>
    <n v="4"/>
    <n v="6"/>
    <n v="1"/>
    <n v="2"/>
    <n v="22"/>
    <s v="Sep"/>
    <d v="2015-09-02T23:02:35"/>
    <x v="30"/>
    <n v="4"/>
    <n v="23"/>
    <m/>
  </r>
  <r>
    <n v="532"/>
    <s v="Virginia"/>
    <s v="22199"/>
    <d v="2015-02-18T15:12:56"/>
    <d v="2015-02-18T15:13:00"/>
    <n v="1"/>
    <n v="0"/>
    <n v="2"/>
    <n v="1"/>
    <n v="1"/>
    <n v="1"/>
    <n v="28.8"/>
    <s v="Feb"/>
    <d v="2015-02-18T15:12:57"/>
    <x v="9"/>
    <n v="4"/>
    <n v="15"/>
    <m/>
  </r>
  <r>
    <n v="533"/>
    <s v="Alabama"/>
    <s v="36305"/>
    <d v="2015-08-12T12:45:46"/>
    <d v="2015-08-12T08:45:51"/>
    <n v="1"/>
    <n v="2"/>
    <n v="2"/>
    <n v="2"/>
    <n v="1"/>
    <n v="1"/>
    <n v="29.92"/>
    <s v="Aug"/>
    <d v="2015-08-12T08:45:47"/>
    <x v="5"/>
    <n v="4"/>
    <n v="8"/>
    <m/>
  </r>
  <r>
    <n v="534"/>
    <s v="Wisconsin"/>
    <s v="53511"/>
    <d v="2015-07-06T01:10:43"/>
    <d v="2015-07-05T21:10:44"/>
    <n v="1"/>
    <n v="2"/>
    <n v="1"/>
    <n v="1"/>
    <n v="1"/>
    <n v="1"/>
    <n v="28.8"/>
    <s v="Jul"/>
    <d v="2015-07-05T21:13:48"/>
    <x v="2"/>
    <n v="1"/>
    <n v="21"/>
    <m/>
  </r>
  <r>
    <n v="535"/>
    <s v="New Jersey"/>
    <s v="08223"/>
    <d v="2015-04-30T20:05:16"/>
    <d v="2015-04-30T20:05:20"/>
    <n v="1"/>
    <n v="2"/>
    <n v="2"/>
    <n v="2"/>
    <n v="1"/>
    <n v="1"/>
    <n v="28.8"/>
    <s v="Apr"/>
    <d v="2015-04-30T20:05:17"/>
    <x v="13"/>
    <n v="5"/>
    <n v="20"/>
    <m/>
  </r>
  <r>
    <n v="536"/>
    <m/>
    <m/>
    <d v="2015-05-01T00:48:30"/>
    <d v="2015-05-01T00:48:35"/>
    <n v="1"/>
    <n v="6"/>
    <n v="4"/>
    <n v="1"/>
    <n v="1"/>
    <n v="1"/>
    <n v="36"/>
    <s v="May"/>
    <d v="2015-05-01T00:48:32"/>
    <x v="6"/>
    <n v="6"/>
    <n v="0"/>
    <m/>
  </r>
  <r>
    <n v="537"/>
    <s v="New York"/>
    <s v="11561"/>
    <d v="2015-07-28T00:16:53"/>
    <d v="2015-07-28T00:16:57"/>
    <n v="1"/>
    <n v="6"/>
    <n v="4"/>
    <n v="2"/>
    <n v="1"/>
    <n v="1"/>
    <n v="30.6"/>
    <s v="Jul"/>
    <d v="2015-07-28T00:16:54"/>
    <x v="4"/>
    <n v="3"/>
    <n v="0"/>
    <m/>
  </r>
  <r>
    <n v="538"/>
    <s v="Connecticut"/>
    <s v="06511"/>
    <d v="2015-04-28T22:02:46"/>
    <d v="2015-04-28T22:02:50"/>
    <n v="1"/>
    <n v="0"/>
    <n v="4"/>
    <n v="2"/>
    <n v="1"/>
    <n v="2"/>
    <n v="18"/>
    <s v="Apr"/>
    <d v="2015-04-28T22:02:46"/>
    <x v="4"/>
    <n v="3"/>
    <n v="22"/>
    <m/>
  </r>
  <r>
    <n v="539"/>
    <s v="New York"/>
    <s v="10598"/>
    <d v="2015-06-19T00:33:12"/>
    <d v="2015-06-18T20:33:19"/>
    <n v="1"/>
    <n v="7"/>
    <n v="8"/>
    <n v="2"/>
    <n v="1"/>
    <n v="5"/>
    <n v="36"/>
    <s v="Jun"/>
    <d v="2015-06-18T20:33:14"/>
    <x v="9"/>
    <n v="5"/>
    <n v="20"/>
    <m/>
  </r>
  <r>
    <n v="540"/>
    <s v="Illinois"/>
    <s v="60626"/>
    <d v="2015-03-08T20:37:40"/>
    <d v="2015-03-08T20:37:45"/>
    <n v="1"/>
    <n v="0"/>
    <n v="2"/>
    <n v="1"/>
    <n v="1"/>
    <n v="1"/>
    <n v="57.6"/>
    <s v="Mar"/>
    <d v="2015-03-08T20:37:41"/>
    <x v="29"/>
    <n v="1"/>
    <n v="20"/>
    <m/>
  </r>
  <r>
    <n v="541"/>
    <s v="California"/>
    <s v="95126"/>
    <d v="2015-06-01T21:24:31"/>
    <d v="2015-06-02T11:52:33"/>
    <n v="2"/>
    <n v="0"/>
    <n v="2"/>
    <n v="2"/>
    <n v="1"/>
    <n v="4"/>
    <n v="36"/>
    <s v="Jun"/>
    <d v="2015-06-01T21:24:32"/>
    <x v="6"/>
    <n v="2"/>
    <n v="21"/>
    <m/>
  </r>
  <r>
    <n v="542"/>
    <s v="California"/>
    <s v="91335"/>
    <d v="2015-05-05T15:19:10"/>
    <d v="2015-05-05T15:19:14"/>
    <n v="1"/>
    <n v="0"/>
    <n v="2"/>
    <n v="2"/>
    <n v="1"/>
    <n v="1"/>
    <n v="28.8"/>
    <s v="May"/>
    <d v="2015-05-05T15:19:11"/>
    <x v="2"/>
    <n v="3"/>
    <n v="15"/>
    <m/>
  </r>
  <r>
    <n v="543"/>
    <s v="Alabama"/>
    <s v="35640"/>
    <d v="2015-03-24T14:16:09"/>
    <d v="2015-03-24T14:16:16"/>
    <n v="1"/>
    <n v="0"/>
    <n v="8"/>
    <n v="4"/>
    <n v="1"/>
    <n v="4"/>
    <n v="28.8"/>
    <s v="Mar"/>
    <d v="2015-03-24T14:16:10"/>
    <x v="11"/>
    <n v="3"/>
    <n v="14"/>
    <m/>
  </r>
  <r>
    <n v="544"/>
    <s v="Indiana"/>
    <s v="46544"/>
    <d v="2015-05-22T20:32:48"/>
    <d v="2015-05-22T16:33:03"/>
    <n v="1"/>
    <n v="6"/>
    <n v="6"/>
    <n v="2"/>
    <n v="1"/>
    <n v="3"/>
    <n v="43.2"/>
    <s v="May"/>
    <d v="2015-05-22T16:35:23"/>
    <x v="1"/>
    <n v="6"/>
    <n v="16"/>
    <m/>
  </r>
  <r>
    <n v="545"/>
    <s v="Florida"/>
    <s v="32750"/>
    <d v="2015-06-15T14:40:31"/>
    <d v="2015-06-15T14:40:34"/>
    <n v="1"/>
    <n v="0"/>
    <n v="4"/>
    <n v="2"/>
    <n v="1"/>
    <n v="8"/>
    <n v="57.6"/>
    <s v="Jun"/>
    <d v="2015-06-15T14:40:32"/>
    <x v="0"/>
    <n v="2"/>
    <n v="14"/>
    <m/>
  </r>
  <r>
    <n v="546"/>
    <m/>
    <m/>
    <d v="2015-04-03T21:26:35"/>
    <d v="2015-04-03T21:26:39"/>
    <n v="1"/>
    <n v="0"/>
    <n v="4"/>
    <n v="3"/>
    <n v="1"/>
    <n v="2"/>
    <n v="18"/>
    <s v="Apr"/>
    <d v="2015-04-03T21:29:13"/>
    <x v="23"/>
    <n v="6"/>
    <n v="21"/>
    <m/>
  </r>
  <r>
    <n v="547"/>
    <s v="Connecticut"/>
    <s v="06460"/>
    <d v="2015-01-29T10:08:45"/>
    <d v="2015-01-29T10:08:49"/>
    <n v="1"/>
    <n v="2"/>
    <n v="4"/>
    <n v="2"/>
    <n v="1"/>
    <n v="2"/>
    <n v="9"/>
    <s v="Jan"/>
    <d v="2015-01-29T10:08:46"/>
    <x v="26"/>
    <n v="5"/>
    <n v="10"/>
    <m/>
  </r>
  <r>
    <n v="548"/>
    <s v="Texas"/>
    <s v="75065"/>
    <d v="2015-04-04T15:58:06"/>
    <d v="2015-04-04T15:58:11"/>
    <n v="1"/>
    <n v="2"/>
    <n v="2"/>
    <n v="1"/>
    <n v="1"/>
    <n v="1"/>
    <n v="28.8"/>
    <s v="Apr"/>
    <d v="2015-04-04T15:58:07"/>
    <x v="24"/>
    <n v="7"/>
    <n v="15"/>
    <m/>
  </r>
  <r>
    <n v="549"/>
    <m/>
    <m/>
    <d v="2015-01-19T17:55:48"/>
    <d v="2015-01-19T17:55:55"/>
    <n v="1"/>
    <n v="1"/>
    <n v="4"/>
    <n v="2"/>
    <n v="1"/>
    <n v="2"/>
    <n v="9"/>
    <s v="Jan"/>
    <d v="2015-01-19T17:55:53"/>
    <x v="19"/>
    <n v="2"/>
    <n v="17"/>
    <m/>
  </r>
  <r>
    <n v="550"/>
    <s v="Iowa"/>
    <s v="50111"/>
    <d v="2015-06-16T04:23:32"/>
    <d v="2015-06-16T00:23:34"/>
    <n v="1"/>
    <n v="2"/>
    <n v="4"/>
    <n v="2"/>
    <n v="1"/>
    <n v="2"/>
    <n v="21"/>
    <s v="Jun"/>
    <d v="2015-06-16T00:26:43"/>
    <x v="22"/>
    <n v="3"/>
    <n v="0"/>
    <m/>
  </r>
  <r>
    <n v="551"/>
    <s v="Pennsylvania"/>
    <s v="19087"/>
    <d v="2015-07-12T01:22:27"/>
    <d v="2015-07-11T21:22:29"/>
    <n v="1"/>
    <n v="3"/>
    <n v="3"/>
    <n v="2"/>
    <n v="1"/>
    <n v="2"/>
    <n v="36"/>
    <s v="Jul"/>
    <d v="2015-07-11T21:25:58"/>
    <x v="12"/>
    <n v="7"/>
    <n v="21"/>
    <m/>
  </r>
  <r>
    <n v="552"/>
    <m/>
    <m/>
    <d v="2015-08-30T16:06:48"/>
    <d v="2015-08-30T16:06:49"/>
    <n v="1"/>
    <n v="2"/>
    <n v="8"/>
    <n v="4"/>
    <n v="1"/>
    <n v="4"/>
    <n v="36"/>
    <s v="Aug"/>
    <d v="2015-08-30T16:07:59"/>
    <x v="13"/>
    <n v="1"/>
    <n v="16"/>
    <m/>
  </r>
  <r>
    <n v="553"/>
    <s v="Pennsylvania"/>
    <s v="16134"/>
    <d v="2015-08-15T13:27:07"/>
    <d v="2015-08-15T09:27:11"/>
    <n v="1"/>
    <n v="7"/>
    <n v="10"/>
    <n v="3"/>
    <n v="1"/>
    <n v="1"/>
    <n v="56.32"/>
    <s v="Aug"/>
    <d v="2015-08-15T09:27:07"/>
    <x v="0"/>
    <n v="7"/>
    <n v="9"/>
    <m/>
  </r>
  <r>
    <n v="554"/>
    <s v="Illinois"/>
    <s v="60004"/>
    <d v="2015-05-10T00:48:52"/>
    <d v="2015-05-10T11:33:42"/>
    <n v="2"/>
    <n v="10"/>
    <n v="8"/>
    <n v="2"/>
    <n v="1"/>
    <n v="4"/>
    <n v="28.8"/>
    <s v="May"/>
    <d v="2015-05-10T00:48:53"/>
    <x v="7"/>
    <n v="1"/>
    <n v="0"/>
    <m/>
  </r>
  <r>
    <n v="555"/>
    <s v="Colorado"/>
    <s v="80016"/>
    <d v="2015-06-27T23:36:39"/>
    <d v="2015-06-27T23:36:43"/>
    <n v="1"/>
    <n v="0"/>
    <n v="2"/>
    <n v="3"/>
    <n v="1"/>
    <n v="1"/>
    <n v="28.8"/>
    <s v="Jun"/>
    <d v="2015-06-27T23:36:40"/>
    <x v="28"/>
    <n v="7"/>
    <n v="23"/>
    <m/>
  </r>
  <r>
    <n v="556"/>
    <s v="Minnesota"/>
    <s v="55417"/>
    <d v="2015-08-10T14:33:30"/>
    <d v="2015-08-10T14:33:33"/>
    <n v="1"/>
    <n v="0"/>
    <n v="2"/>
    <n v="2"/>
    <n v="1"/>
    <n v="1"/>
    <n v="29.92"/>
    <s v="Aug"/>
    <d v="2015-08-10T14:33:31"/>
    <x v="7"/>
    <n v="2"/>
    <n v="14"/>
    <m/>
  </r>
  <r>
    <n v="557"/>
    <m/>
    <m/>
    <d v="2015-06-02T17:44:10"/>
    <d v="2015-06-02T13:44:11"/>
    <n v="1"/>
    <n v="3"/>
    <n v="2"/>
    <n v="2"/>
    <n v="1"/>
    <n v="5"/>
    <n v="36"/>
    <s v="Jun"/>
    <d v="2015-06-02T13:59:35"/>
    <x v="30"/>
    <n v="3"/>
    <n v="13"/>
    <m/>
  </r>
  <r>
    <n v="558"/>
    <s v="Pennsylvania"/>
    <s v="19605"/>
    <d v="2015-09-07T15:13:36"/>
    <d v="2015-09-07T15:13:39"/>
    <n v="1"/>
    <n v="6"/>
    <n v="2"/>
    <n v="2"/>
    <n v="1"/>
    <n v="1"/>
    <n v="11"/>
    <s v="Sep"/>
    <d v="2015-09-07T15:13:36"/>
    <x v="16"/>
    <n v="2"/>
    <n v="15"/>
    <m/>
  </r>
  <r>
    <n v="560"/>
    <s v="Michigan"/>
    <s v="48186"/>
    <d v="2015-05-21T15:26:03"/>
    <d v="2015-05-21T11:26:05"/>
    <n v="1"/>
    <n v="4"/>
    <n v="6"/>
    <n v="7"/>
    <n v="1"/>
    <n v="1"/>
    <n v="28.8"/>
    <s v="May"/>
    <d v="2015-05-21T11:41:10"/>
    <x v="18"/>
    <n v="5"/>
    <n v="11"/>
    <m/>
  </r>
  <r>
    <n v="561"/>
    <s v="California"/>
    <s v="94061"/>
    <d v="2015-03-23T04:56:30"/>
    <d v="2015-03-23T04:56:34"/>
    <n v="1"/>
    <n v="8"/>
    <n v="6"/>
    <n v="2"/>
    <n v="1"/>
    <n v="4"/>
    <n v="28.8"/>
    <s v="Mar"/>
    <d v="2015-03-23T04:56:31"/>
    <x v="10"/>
    <n v="2"/>
    <n v="4"/>
    <m/>
  </r>
  <r>
    <n v="562"/>
    <s v="Indiana"/>
    <s v="47630"/>
    <d v="2015-02-28T20:33:30"/>
    <d v="2015-03-01T11:37:52"/>
    <n v="3"/>
    <n v="2"/>
    <n v="5"/>
    <n v="2"/>
    <n v="2"/>
    <n v="5"/>
    <n v="36"/>
    <s v="Feb"/>
    <d v="2015-02-28T20:33:31"/>
    <x v="4"/>
    <n v="7"/>
    <n v="20"/>
    <m/>
  </r>
  <r>
    <n v="563"/>
    <s v="Oregon"/>
    <s v="97080"/>
    <d v="2015-09-13T16:14:02"/>
    <d v="2015-09-13T12:14:08"/>
    <n v="1"/>
    <n v="2"/>
    <n v="4"/>
    <n v="2"/>
    <n v="1"/>
    <n v="2"/>
    <n v="86.24"/>
    <s v="Sep"/>
    <d v="2015-09-13T12:14:03"/>
    <x v="20"/>
    <n v="1"/>
    <n v="12"/>
    <m/>
  </r>
  <r>
    <n v="564"/>
    <s v="Tennessee"/>
    <s v="38120"/>
    <d v="2015-04-23T12:31:50"/>
    <d v="2015-04-23T12:32:05"/>
    <n v="1"/>
    <n v="0"/>
    <n v="1"/>
    <n v="1"/>
    <n v="1"/>
    <n v="1"/>
    <n v="57.6"/>
    <s v="Apr"/>
    <d v="2015-04-23T12:36:55"/>
    <x v="10"/>
    <n v="5"/>
    <n v="12"/>
    <m/>
  </r>
  <r>
    <n v="565"/>
    <s v="Wisconsin"/>
    <s v="54403"/>
    <d v="2015-07-12T19:31:19"/>
    <d v="2015-07-12T15:31:23"/>
    <n v="1"/>
    <n v="2"/>
    <n v="6"/>
    <n v="2"/>
    <n v="1"/>
    <n v="4"/>
    <n v="153.6"/>
    <s v="Jul"/>
    <d v="2015-07-12T15:31:20"/>
    <x v="5"/>
    <n v="1"/>
    <n v="15"/>
    <m/>
  </r>
  <r>
    <n v="567"/>
    <s v="New Jersey"/>
    <s v="07052"/>
    <d v="2015-01-18T20:02:21"/>
    <d v="2015-01-18T20:02:35"/>
    <n v="1"/>
    <n v="6"/>
    <n v="14"/>
    <n v="3"/>
    <n v="1"/>
    <n v="8"/>
    <n v="57.6"/>
    <s v="Jan"/>
    <d v="2015-01-18T20:02:22"/>
    <x v="9"/>
    <n v="1"/>
    <n v="20"/>
    <m/>
  </r>
  <r>
    <n v="568"/>
    <s v="North Carolina"/>
    <s v="27284"/>
    <d v="2015-03-22T09:08:27"/>
    <d v="2015-03-22T09:08:31"/>
    <n v="1"/>
    <n v="0"/>
    <n v="2"/>
    <n v="1"/>
    <n v="1"/>
    <n v="2"/>
    <n v="18"/>
    <s v="Mar"/>
    <d v="2015-03-22T09:08:28"/>
    <x v="1"/>
    <n v="1"/>
    <n v="9"/>
    <m/>
  </r>
  <r>
    <n v="569"/>
    <s v="Colorado"/>
    <s v="80443"/>
    <d v="2015-08-01T19:11:21"/>
    <d v="2015-08-01T19:11:24"/>
    <n v="1"/>
    <n v="14"/>
    <n v="2"/>
    <n v="4"/>
    <n v="1"/>
    <n v="1"/>
    <n v="29.92"/>
    <s v="Aug"/>
    <d v="2015-08-01T19:11:21"/>
    <x v="6"/>
    <n v="7"/>
    <n v="19"/>
    <m/>
  </r>
  <r>
    <n v="570"/>
    <s v="Texas"/>
    <s v="76034"/>
    <d v="2015-05-18T19:29:40"/>
    <d v="2015-05-18T19:29:43"/>
    <n v="1"/>
    <n v="0"/>
    <n v="2"/>
    <n v="2"/>
    <n v="1"/>
    <n v="4"/>
    <n v="28.8"/>
    <s v="May"/>
    <d v="2015-05-18T19:29:40"/>
    <x v="9"/>
    <n v="2"/>
    <n v="19"/>
    <m/>
  </r>
  <r>
    <n v="571"/>
    <s v="Massachusetts"/>
    <s v="02453"/>
    <d v="2015-04-30T09:14:25"/>
    <d v="2015-04-30T09:14:29"/>
    <n v="1"/>
    <n v="6"/>
    <n v="6"/>
    <n v="2"/>
    <n v="1"/>
    <n v="5"/>
    <n v="36"/>
    <s v="Apr"/>
    <d v="2015-04-30T09:14:26"/>
    <x v="13"/>
    <n v="5"/>
    <n v="9"/>
    <m/>
  </r>
  <r>
    <n v="572"/>
    <s v="Wisconsin"/>
    <s v="53228"/>
    <d v="2015-09-04T11:22:46"/>
    <d v="2015-09-04T11:22:49"/>
    <n v="1"/>
    <n v="2"/>
    <n v="2"/>
    <n v="2"/>
    <n v="1"/>
    <n v="1"/>
    <n v="12"/>
    <s v="Sep"/>
    <d v="2015-09-04T11:22:46"/>
    <x v="24"/>
    <n v="6"/>
    <n v="11"/>
    <m/>
  </r>
  <r>
    <n v="573"/>
    <s v="Maryland"/>
    <s v="21403"/>
    <d v="2015-01-02T02:27:15"/>
    <d v="2015-01-02T02:27:18"/>
    <n v="1"/>
    <n v="2"/>
    <n v="4"/>
    <n v="4"/>
    <n v="1"/>
    <n v="2"/>
    <n v="7"/>
    <s v="Jan"/>
    <d v="2015-01-02T02:27:16"/>
    <x v="30"/>
    <n v="6"/>
    <n v="2"/>
    <m/>
  </r>
  <r>
    <n v="574"/>
    <s v="Pennsylvania"/>
    <s v="15301"/>
    <d v="2015-06-11T15:34:48"/>
    <d v="2015-06-11T11:34:53"/>
    <n v="1"/>
    <n v="0"/>
    <n v="2"/>
    <n v="2"/>
    <n v="1"/>
    <n v="4"/>
    <n v="28.8"/>
    <s v="Jun"/>
    <d v="2015-06-11T11:34:50"/>
    <x v="12"/>
    <n v="5"/>
    <n v="11"/>
    <m/>
  </r>
  <r>
    <n v="575"/>
    <s v="Maryland"/>
    <s v="20910"/>
    <d v="2015-09-06T15:51:00"/>
    <d v="2015-09-06T11:51:04"/>
    <n v="1"/>
    <n v="4"/>
    <n v="2"/>
    <n v="2"/>
    <n v="1"/>
    <n v="1"/>
    <n v="37.4"/>
    <s v="Sep"/>
    <d v="2015-09-06T11:51:01"/>
    <x v="17"/>
    <n v="1"/>
    <n v="11"/>
    <m/>
  </r>
  <r>
    <n v="576"/>
    <m/>
    <m/>
    <d v="2015-08-30T21:55:26"/>
    <d v="2015-08-30T21:55:27"/>
    <n v="1"/>
    <n v="1"/>
    <n v="3"/>
    <n v="1"/>
    <n v="1"/>
    <n v="2"/>
    <n v="22"/>
    <s v="Aug"/>
    <d v="2015-08-30T21:59:30"/>
    <x v="13"/>
    <n v="1"/>
    <n v="21"/>
    <m/>
  </r>
  <r>
    <n v="577"/>
    <s v="Indiana"/>
    <s v="46250"/>
    <d v="2015-06-09T13:28:55"/>
    <d v="2015-06-09T09:29:01"/>
    <n v="1"/>
    <n v="0"/>
    <n v="2"/>
    <n v="2"/>
    <n v="1"/>
    <n v="1"/>
    <n v="27"/>
    <s v="Jun"/>
    <d v="2015-06-09T09:28:57"/>
    <x v="21"/>
    <n v="3"/>
    <n v="9"/>
    <m/>
  </r>
  <r>
    <n v="578"/>
    <m/>
    <m/>
    <d v="2015-03-08T18:12:08"/>
    <d v="2015-03-08T18:12:18"/>
    <n v="1"/>
    <n v="2"/>
    <n v="6"/>
    <n v="1"/>
    <n v="1"/>
    <n v="4"/>
    <n v="28.8"/>
    <s v="Mar"/>
    <d v="2015-03-08T18:12:11"/>
    <x v="29"/>
    <n v="1"/>
    <n v="18"/>
    <m/>
  </r>
  <r>
    <n v="579"/>
    <s v="Wisconsin"/>
    <s v="53593"/>
    <d v="2015-08-12T11:08:34"/>
    <d v="2015-08-12T11:08:37"/>
    <n v="1"/>
    <n v="6"/>
    <n v="2"/>
    <n v="2"/>
    <n v="1"/>
    <n v="1"/>
    <n v="29.92"/>
    <s v="Aug"/>
    <d v="2015-08-12T11:08:34"/>
    <x v="5"/>
    <n v="4"/>
    <n v="11"/>
    <m/>
  </r>
  <r>
    <n v="580"/>
    <s v="Kentucky"/>
    <s v="40014"/>
    <d v="2015-09-20T22:14:34"/>
    <d v="2015-09-20T22:14:38"/>
    <n v="1"/>
    <n v="8"/>
    <n v="6"/>
    <n v="4"/>
    <n v="1"/>
    <n v="3"/>
    <n v="68.64"/>
    <s v="Sep"/>
    <d v="2015-09-20T22:14:34"/>
    <x v="15"/>
    <n v="1"/>
    <n v="22"/>
    <m/>
  </r>
  <r>
    <n v="581"/>
    <s v="Arizona"/>
    <s v="85298"/>
    <d v="2015-01-27T12:01:57"/>
    <d v="2015-01-31T15:47:24"/>
    <n v="4"/>
    <n v="0"/>
    <n v="2"/>
    <n v="4"/>
    <n v="1"/>
    <n v="1"/>
    <n v="30.6"/>
    <s v="Jan"/>
    <d v="2015-01-27T12:01:58"/>
    <x v="28"/>
    <n v="3"/>
    <n v="12"/>
    <m/>
  </r>
  <r>
    <n v="582"/>
    <m/>
    <m/>
    <d v="2015-01-26T21:42:24"/>
    <d v="2015-01-30T19:58:24"/>
    <n v="2"/>
    <n v="2"/>
    <n v="2"/>
    <n v="3"/>
    <n v="1"/>
    <n v="1"/>
    <n v="27"/>
    <s v="Jan"/>
    <d v="2015-01-30T20:00:48"/>
    <x v="13"/>
    <n v="6"/>
    <n v="20"/>
    <m/>
  </r>
  <r>
    <n v="583"/>
    <s v="North Carolina"/>
    <s v="28173"/>
    <d v="2015-01-24T07:35:43"/>
    <d v="2015-02-05T20:56:14"/>
    <n v="2"/>
    <n v="2"/>
    <n v="7"/>
    <n v="6"/>
    <n v="2"/>
    <n v="5"/>
    <n v="18"/>
    <s v="Jan"/>
    <d v="2015-01-24T07:35:44"/>
    <x v="11"/>
    <n v="7"/>
    <n v="7"/>
    <m/>
  </r>
  <r>
    <n v="584"/>
    <s v="California"/>
    <s v="94002"/>
    <d v="2015-06-17T13:17:13"/>
    <d v="2015-06-17T13:17:17"/>
    <n v="1"/>
    <n v="4"/>
    <n v="4"/>
    <n v="3"/>
    <n v="1"/>
    <n v="1"/>
    <n v="27"/>
    <s v="Jun"/>
    <d v="2015-06-17T13:17:14"/>
    <x v="8"/>
    <n v="4"/>
    <n v="13"/>
    <m/>
  </r>
  <r>
    <n v="585"/>
    <s v="Arizona"/>
    <s v="85254"/>
    <d v="2015-02-23T22:50:39"/>
    <d v="2015-02-23T22:50:44"/>
    <n v="1"/>
    <n v="0"/>
    <n v="6"/>
    <n v="1"/>
    <n v="1"/>
    <n v="3"/>
    <n v="18"/>
    <s v="Feb"/>
    <d v="2015-02-23T22:50:40"/>
    <x v="10"/>
    <n v="2"/>
    <n v="22"/>
    <m/>
  </r>
  <r>
    <n v="586"/>
    <s v="Illinois"/>
    <s v="60189"/>
    <d v="2015-06-29T20:38:24"/>
    <d v="2015-06-29T16:38:31"/>
    <n v="1"/>
    <n v="10"/>
    <n v="12"/>
    <n v="2"/>
    <n v="1"/>
    <n v="10"/>
    <n v="72"/>
    <s v="Jun"/>
    <d v="2015-06-29T16:38:26"/>
    <x v="26"/>
    <n v="2"/>
    <n v="16"/>
    <m/>
  </r>
  <r>
    <n v="587"/>
    <m/>
    <m/>
    <d v="2015-02-15T08:21:21"/>
    <d v="2015-02-15T10:33:46"/>
    <n v="3"/>
    <n v="4"/>
    <n v="8"/>
    <n v="4"/>
    <n v="1"/>
    <n v="4"/>
    <n v="30.6"/>
    <s v="Feb"/>
    <d v="2015-02-15T10:37:36"/>
    <x v="0"/>
    <n v="1"/>
    <n v="10"/>
    <m/>
  </r>
  <r>
    <n v="588"/>
    <m/>
    <m/>
    <d v="2015-04-26T17:55:55"/>
    <d v="2015-04-26T17:55:58"/>
    <n v="1"/>
    <n v="2"/>
    <n v="3"/>
    <n v="1"/>
    <n v="1"/>
    <n v="2"/>
    <n v="57.6"/>
    <s v="Apr"/>
    <d v="2015-04-26T18:13:40"/>
    <x v="27"/>
    <n v="1"/>
    <n v="18"/>
    <m/>
  </r>
  <r>
    <n v="589"/>
    <s v="New York"/>
    <s v="10011"/>
    <d v="2015-02-06T18:43:52"/>
    <d v="2015-02-06T18:43:56"/>
    <n v="1"/>
    <n v="0"/>
    <n v="4"/>
    <n v="3"/>
    <n v="1"/>
    <n v="2"/>
    <n v="9"/>
    <s v="Feb"/>
    <d v="2015-02-06T18:43:53"/>
    <x v="17"/>
    <n v="6"/>
    <n v="18"/>
    <m/>
  </r>
  <r>
    <n v="590"/>
    <s v="South Carolina"/>
    <s v="29072"/>
    <d v="2015-01-27T17:50:40"/>
    <d v="2015-01-27T17:50:44"/>
    <n v="1"/>
    <n v="4"/>
    <n v="4"/>
    <n v="2"/>
    <n v="1"/>
    <n v="1"/>
    <n v="28.8"/>
    <s v="Jan"/>
    <d v="2015-01-27T17:50:42"/>
    <x v="28"/>
    <n v="3"/>
    <n v="17"/>
    <m/>
  </r>
  <r>
    <n v="591"/>
    <m/>
    <m/>
    <d v="2015-07-06T20:26:12"/>
    <d v="2015-07-07T08:19:44"/>
    <n v="2"/>
    <n v="10"/>
    <n v="22"/>
    <n v="13"/>
    <n v="1"/>
    <n v="5"/>
    <n v="172.8"/>
    <s v="Jul"/>
    <d v="2015-07-07T08:28:18"/>
    <x v="16"/>
    <n v="3"/>
    <n v="8"/>
    <m/>
  </r>
  <r>
    <n v="592"/>
    <s v="California"/>
    <s v="90807"/>
    <d v="2015-09-11T00:33:12"/>
    <d v="2015-09-11T00:33:15"/>
    <n v="1"/>
    <n v="2"/>
    <n v="2"/>
    <n v="3"/>
    <n v="1"/>
    <n v="1"/>
    <n v="29.92"/>
    <s v="Sep"/>
    <d v="2015-09-11T00:33:12"/>
    <x v="12"/>
    <n v="6"/>
    <n v="0"/>
    <m/>
  </r>
  <r>
    <n v="593"/>
    <s v="California"/>
    <s v="92782"/>
    <d v="2015-09-09T15:54:13"/>
    <d v="2015-09-09T15:54:17"/>
    <n v="1"/>
    <n v="0"/>
    <n v="2"/>
    <n v="2"/>
    <n v="1"/>
    <n v="1"/>
    <n v="56.32"/>
    <s v="Sep"/>
    <d v="2015-09-09T15:54:13"/>
    <x v="21"/>
    <n v="4"/>
    <n v="15"/>
    <m/>
  </r>
  <r>
    <n v="594"/>
    <s v="Connecticut"/>
    <s v="06492"/>
    <d v="2015-02-27T19:55:49"/>
    <d v="2015-03-10T18:04:40"/>
    <n v="3"/>
    <n v="6"/>
    <n v="14"/>
    <n v="3"/>
    <n v="1"/>
    <n v="7"/>
    <n v="50.4"/>
    <s v="Feb"/>
    <d v="2015-02-27T19:55:50"/>
    <x v="28"/>
    <n v="6"/>
    <n v="19"/>
    <m/>
  </r>
  <r>
    <n v="595"/>
    <s v="District of Columbia"/>
    <s v="20005"/>
    <d v="2015-05-03T16:24:37"/>
    <d v="2015-05-03T16:24:40"/>
    <n v="1"/>
    <n v="4"/>
    <n v="8"/>
    <n v="1"/>
    <n v="1"/>
    <n v="2"/>
    <n v="72"/>
    <s v="May"/>
    <d v="2015-05-03T16:24:38"/>
    <x v="23"/>
    <n v="1"/>
    <n v="16"/>
    <m/>
  </r>
  <r>
    <n v="596"/>
    <m/>
    <m/>
    <d v="2015-05-19T22:12:07"/>
    <d v="2015-05-19T18:12:09"/>
    <n v="1"/>
    <n v="4"/>
    <n v="4"/>
    <n v="2"/>
    <n v="1"/>
    <n v="1"/>
    <n v="57.6"/>
    <s v="May"/>
    <d v="2015-05-19T18:15:34"/>
    <x v="19"/>
    <n v="3"/>
    <n v="18"/>
    <m/>
  </r>
  <r>
    <n v="597"/>
    <s v="Kentucky"/>
    <s v="40503"/>
    <d v="2015-06-05T11:37:17"/>
    <d v="2015-06-05T16:16:41"/>
    <n v="3"/>
    <n v="2"/>
    <n v="4"/>
    <n v="2"/>
    <n v="2"/>
    <n v="4"/>
    <n v="9"/>
    <s v="Jun"/>
    <d v="2015-06-05T11:37:18"/>
    <x v="2"/>
    <n v="6"/>
    <n v="11"/>
    <m/>
  </r>
  <r>
    <n v="598"/>
    <m/>
    <m/>
    <d v="2015-08-28T11:40:43"/>
    <d v="2015-08-28T11:40:47"/>
    <n v="1"/>
    <n v="31"/>
    <n v="8"/>
    <n v="6"/>
    <n v="1"/>
    <n v="3"/>
    <n v="108.9"/>
    <s v="Aug"/>
    <d v="2015-08-28T11:43:35"/>
    <x v="4"/>
    <n v="6"/>
    <n v="11"/>
    <m/>
  </r>
  <r>
    <n v="599"/>
    <s v="South Carolina"/>
    <s v="29180"/>
    <d v="2015-03-14T09:02:04"/>
    <d v="2015-03-14T09:02:09"/>
    <n v="1"/>
    <n v="0"/>
    <n v="8"/>
    <n v="2"/>
    <n v="1"/>
    <n v="4"/>
    <n v="36"/>
    <s v="Mar"/>
    <d v="2015-03-14T09:02:05"/>
    <x v="25"/>
    <n v="7"/>
    <n v="9"/>
    <m/>
  </r>
  <r>
    <n v="600"/>
    <m/>
    <m/>
    <d v="2015-01-20T09:26:12"/>
    <d v="2015-01-20T09:26:15"/>
    <n v="1"/>
    <n v="0"/>
    <n v="4"/>
    <n v="10"/>
    <n v="1"/>
    <n v="4"/>
    <n v="28.8"/>
    <s v="Jan"/>
    <d v="2015-01-20T09:27:46"/>
    <x v="15"/>
    <n v="3"/>
    <n v="9"/>
    <m/>
  </r>
  <r>
    <n v="602"/>
    <s v="Maryland"/>
    <s v="21102"/>
    <d v="2015-07-22T02:31:28"/>
    <d v="2015-07-21T22:31:32"/>
    <n v="1"/>
    <n v="0"/>
    <n v="2"/>
    <n v="2"/>
    <n v="1"/>
    <n v="1"/>
    <n v="12"/>
    <s v="Jul"/>
    <d v="2015-07-21T22:31:29"/>
    <x v="18"/>
    <n v="3"/>
    <n v="22"/>
    <m/>
  </r>
  <r>
    <n v="603"/>
    <s v="Michigan"/>
    <s v="49418"/>
    <d v="2015-03-20T08:18:47"/>
    <d v="2015-03-20T08:18:53"/>
    <n v="1"/>
    <n v="4"/>
    <n v="8"/>
    <n v="2"/>
    <n v="1"/>
    <n v="4"/>
    <n v="28.8"/>
    <s v="Mar"/>
    <d v="2015-03-20T08:18:48"/>
    <x v="15"/>
    <n v="6"/>
    <n v="8"/>
    <m/>
  </r>
  <r>
    <n v="604"/>
    <s v="Georgia"/>
    <s v="30141"/>
    <d v="2015-05-18T08:27:41"/>
    <d v="2015-05-18T08:27:47"/>
    <n v="1"/>
    <n v="4"/>
    <n v="2"/>
    <n v="2"/>
    <n v="1"/>
    <n v="1"/>
    <n v="28.8"/>
    <s v="May"/>
    <d v="2015-05-18T08:27:42"/>
    <x v="9"/>
    <n v="2"/>
    <n v="8"/>
    <m/>
  </r>
  <r>
    <n v="605"/>
    <s v="Pennsylvania"/>
    <s v="17815"/>
    <d v="2015-07-09T20:15:15"/>
    <d v="2015-07-09T16:15:19"/>
    <n v="1"/>
    <n v="0"/>
    <n v="2"/>
    <n v="2"/>
    <n v="1"/>
    <n v="1"/>
    <n v="28.8"/>
    <s v="Jul"/>
    <d v="2015-07-09T16:15:16"/>
    <x v="21"/>
    <n v="5"/>
    <n v="16"/>
    <m/>
  </r>
  <r>
    <n v="606"/>
    <s v="Wisconsin"/>
    <s v="54956"/>
    <d v="2015-04-19T22:06:24"/>
    <d v="2015-04-19T22:06:29"/>
    <n v="1"/>
    <n v="0"/>
    <n v="4"/>
    <n v="3"/>
    <n v="1"/>
    <n v="2"/>
    <n v="18"/>
    <s v="Apr"/>
    <d v="2015-04-19T22:06:25"/>
    <x v="19"/>
    <n v="1"/>
    <n v="22"/>
    <m/>
  </r>
  <r>
    <n v="607"/>
    <s v="Wisconsin"/>
    <s v="53211"/>
    <d v="2015-06-19T01:12:10"/>
    <d v="2015-06-18T21:12:14"/>
    <n v="1"/>
    <n v="2"/>
    <n v="4"/>
    <n v="2"/>
    <n v="1"/>
    <n v="4"/>
    <n v="27"/>
    <s v="Jun"/>
    <d v="2015-06-18T21:12:12"/>
    <x v="9"/>
    <n v="5"/>
    <n v="21"/>
    <m/>
  </r>
  <r>
    <n v="608"/>
    <m/>
    <m/>
    <d v="2015-07-25T19:15:34"/>
    <d v="2015-07-25T15:15:35"/>
    <n v="1"/>
    <n v="2"/>
    <n v="2"/>
    <n v="1"/>
    <n v="1"/>
    <n v="2"/>
    <n v="22"/>
    <s v="Jul"/>
    <d v="2015-07-25T15:27:14"/>
    <x v="3"/>
    <n v="7"/>
    <n v="15"/>
    <m/>
  </r>
  <r>
    <n v="609"/>
    <s v="Missouri"/>
    <s v="63139"/>
    <d v="2015-02-19T18:59:41"/>
    <d v="2015-02-22T16:54:07"/>
    <n v="4"/>
    <n v="2"/>
    <n v="4"/>
    <n v="4"/>
    <n v="1"/>
    <n v="1"/>
    <n v="28.8"/>
    <s v="Feb"/>
    <d v="2015-02-19T18:59:42"/>
    <x v="19"/>
    <n v="5"/>
    <n v="18"/>
    <m/>
  </r>
  <r>
    <n v="610"/>
    <s v="Texas"/>
    <s v="77651"/>
    <d v="2015-08-14T11:28:48"/>
    <d v="2015-08-14T07:28:53"/>
    <n v="1"/>
    <n v="0"/>
    <n v="6"/>
    <n v="2"/>
    <n v="1"/>
    <n v="4"/>
    <n v="35.200000000000003"/>
    <s v="Aug"/>
    <d v="2015-08-14T07:28:49"/>
    <x v="25"/>
    <n v="6"/>
    <n v="7"/>
    <m/>
  </r>
  <r>
    <n v="611"/>
    <s v="Michigan"/>
    <s v="48323"/>
    <d v="2015-01-15T13:07:50"/>
    <d v="2015-01-15T13:07:56"/>
    <n v="1"/>
    <n v="0"/>
    <n v="4"/>
    <n v="2"/>
    <n v="1"/>
    <n v="2"/>
    <n v="9"/>
    <s v="Jan"/>
    <d v="2015-01-15T13:07:53"/>
    <x v="0"/>
    <n v="5"/>
    <n v="13"/>
    <m/>
  </r>
  <r>
    <n v="612"/>
    <s v="California"/>
    <s v="94558"/>
    <d v="2015-07-29T20:11:14"/>
    <d v="2015-07-29T20:11:19"/>
    <n v="1"/>
    <n v="2"/>
    <n v="4"/>
    <n v="2"/>
    <n v="1"/>
    <n v="2"/>
    <n v="88.6"/>
    <s v="Jul"/>
    <d v="2015-07-29T20:11:14"/>
    <x v="26"/>
    <n v="4"/>
    <n v="20"/>
    <m/>
  </r>
  <r>
    <n v="613"/>
    <s v="Ohio"/>
    <s v="43214"/>
    <d v="2015-03-11T02:00:35"/>
    <d v="2015-03-11T02:00:40"/>
    <n v="1"/>
    <n v="0"/>
    <n v="6"/>
    <n v="1"/>
    <n v="1"/>
    <n v="2"/>
    <n v="14.4"/>
    <s v="Mar"/>
    <d v="2015-03-11T02:00:36"/>
    <x v="12"/>
    <n v="4"/>
    <n v="2"/>
    <m/>
  </r>
  <r>
    <n v="614"/>
    <s v="California"/>
    <s v="94041"/>
    <d v="2015-06-29T14:35:34"/>
    <d v="2015-06-29T14:35:38"/>
    <n v="1"/>
    <n v="8"/>
    <n v="4"/>
    <n v="3"/>
    <n v="1"/>
    <n v="1"/>
    <n v="57.6"/>
    <s v="Jun"/>
    <d v="2015-06-29T14:35:35"/>
    <x v="26"/>
    <n v="2"/>
    <n v="14"/>
    <m/>
  </r>
  <r>
    <n v="615"/>
    <s v="Colorado"/>
    <s v="80021"/>
    <d v="2015-08-15T04:41:25"/>
    <d v="2015-08-16T16:05:08"/>
    <n v="4"/>
    <n v="3"/>
    <n v="4"/>
    <n v="3"/>
    <n v="1"/>
    <n v="1"/>
    <n v="37.4"/>
    <s v="Aug"/>
    <d v="2015-08-16T16:06:22"/>
    <x v="22"/>
    <n v="1"/>
    <n v="16"/>
    <m/>
  </r>
  <r>
    <n v="616"/>
    <s v="Texas"/>
    <s v="78734"/>
    <d v="2015-09-06T10:54:02"/>
    <d v="2015-09-06T10:54:05"/>
    <n v="1"/>
    <n v="2"/>
    <n v="2"/>
    <n v="3"/>
    <n v="1"/>
    <n v="2"/>
    <n v="22"/>
    <s v="Sep"/>
    <d v="2015-09-06T10:54:02"/>
    <x v="17"/>
    <n v="1"/>
    <n v="10"/>
    <m/>
  </r>
  <r>
    <n v="617"/>
    <s v="Wisconsin"/>
    <s v="53711"/>
    <d v="2015-01-26T18:51:26"/>
    <d v="2015-01-26T18:51:31"/>
    <n v="1"/>
    <n v="0"/>
    <n v="8"/>
    <n v="2"/>
    <n v="1"/>
    <n v="4"/>
    <n v="28.8"/>
    <s v="Jan"/>
    <d v="2015-01-26T18:51:27"/>
    <x v="27"/>
    <n v="2"/>
    <n v="18"/>
    <m/>
  </r>
  <r>
    <n v="618"/>
    <s v="Florida"/>
    <s v="33324"/>
    <d v="2015-08-10T15:22:23"/>
    <d v="2015-08-10T15:22:26"/>
    <n v="1"/>
    <n v="4"/>
    <n v="4"/>
    <n v="2"/>
    <n v="1"/>
    <n v="2"/>
    <n v="22"/>
    <s v="Aug"/>
    <d v="2015-08-10T15:22:23"/>
    <x v="7"/>
    <n v="2"/>
    <n v="15"/>
    <m/>
  </r>
  <r>
    <n v="619"/>
    <s v="South Carolina"/>
    <s v="29605"/>
    <d v="2015-04-19T17:01:58"/>
    <d v="2015-04-19T17:02:03"/>
    <n v="1"/>
    <n v="2"/>
    <n v="14"/>
    <n v="1"/>
    <n v="1"/>
    <n v="9"/>
    <n v="64.8"/>
    <s v="Apr"/>
    <d v="2015-04-19T17:01:59"/>
    <x v="19"/>
    <n v="1"/>
    <n v="17"/>
    <m/>
  </r>
  <r>
    <n v="620"/>
    <s v="Michigan"/>
    <s v="48072"/>
    <d v="2015-02-23T18:32:34"/>
    <d v="2015-02-23T18:32:40"/>
    <n v="1"/>
    <n v="0"/>
    <n v="8"/>
    <n v="1"/>
    <n v="1"/>
    <n v="4"/>
    <n v="28.8"/>
    <s v="Feb"/>
    <d v="2015-02-23T18:32:35"/>
    <x v="10"/>
    <n v="2"/>
    <n v="18"/>
    <m/>
  </r>
  <r>
    <n v="621"/>
    <s v="Texas"/>
    <s v="75070"/>
    <d v="2015-01-30T17:15:37"/>
    <d v="2015-02-02T08:40:37"/>
    <n v="2"/>
    <n v="0"/>
    <n v="5"/>
    <n v="3"/>
    <n v="1"/>
    <n v="2"/>
    <n v="9"/>
    <s v="Jan"/>
    <d v="2015-01-30T17:15:39"/>
    <x v="13"/>
    <n v="6"/>
    <n v="17"/>
    <m/>
  </r>
  <r>
    <n v="622"/>
    <s v="Maryland"/>
    <s v="21215"/>
    <d v="2015-02-01T13:52:49"/>
    <d v="2015-02-01T13:52:55"/>
    <n v="1"/>
    <n v="0"/>
    <n v="6"/>
    <n v="2"/>
    <n v="1"/>
    <n v="2"/>
    <n v="9"/>
    <s v="Feb"/>
    <d v="2015-02-01T13:52:51"/>
    <x v="6"/>
    <n v="1"/>
    <n v="13"/>
    <m/>
  </r>
  <r>
    <n v="623"/>
    <s v="Oklahoma"/>
    <s v="73064"/>
    <d v="2015-07-09T16:18:26"/>
    <d v="2015-07-09T16:18:29"/>
    <n v="1"/>
    <n v="4"/>
    <n v="4"/>
    <n v="2"/>
    <n v="1"/>
    <n v="1"/>
    <n v="28.8"/>
    <s v="Jul"/>
    <d v="2015-07-09T16:18:26"/>
    <x v="21"/>
    <n v="5"/>
    <n v="16"/>
    <m/>
  </r>
  <r>
    <n v="624"/>
    <s v="Ohio"/>
    <s v="44030"/>
    <d v="2015-05-29T15:24:03"/>
    <d v="2015-05-30T08:06:34"/>
    <n v="3"/>
    <n v="0"/>
    <n v="2"/>
    <n v="2"/>
    <n v="1"/>
    <n v="1"/>
    <n v="72"/>
    <s v="May"/>
    <d v="2015-05-29T15:24:03"/>
    <x v="26"/>
    <n v="6"/>
    <n v="15"/>
    <m/>
  </r>
  <r>
    <n v="625"/>
    <s v="California"/>
    <s v="94619"/>
    <d v="2015-05-21T22:51:29"/>
    <d v="2015-05-21T22:51:32"/>
    <n v="1"/>
    <n v="0"/>
    <n v="4"/>
    <n v="2"/>
    <n v="1"/>
    <n v="2"/>
    <n v="18"/>
    <s v="May"/>
    <d v="2015-05-21T22:51:30"/>
    <x v="18"/>
    <n v="5"/>
    <n v="22"/>
    <m/>
  </r>
  <r>
    <n v="626"/>
    <s v="California"/>
    <s v="91977"/>
    <d v="2015-03-03T02:42:18"/>
    <d v="2015-03-08T05:10:41"/>
    <n v="9"/>
    <n v="2"/>
    <n v="8"/>
    <n v="4"/>
    <n v="1"/>
    <n v="4"/>
    <n v="27"/>
    <s v="Mar"/>
    <d v="2015-03-03T02:42:19"/>
    <x v="23"/>
    <n v="3"/>
    <n v="2"/>
    <m/>
  </r>
  <r>
    <n v="628"/>
    <s v="Connecticut"/>
    <s v="06516"/>
    <d v="2015-05-19T02:32:32"/>
    <d v="2015-05-18T22:32:35"/>
    <n v="1"/>
    <n v="2"/>
    <n v="10"/>
    <n v="4"/>
    <n v="1"/>
    <n v="8"/>
    <n v="57.6"/>
    <s v="May"/>
    <d v="2015-05-18T22:36:21"/>
    <x v="9"/>
    <n v="2"/>
    <n v="22"/>
    <m/>
  </r>
  <r>
    <n v="629"/>
    <s v="New Jersey"/>
    <s v="07001"/>
    <d v="2015-07-14T13:47:07"/>
    <d v="2015-07-14T13:47:12"/>
    <n v="1"/>
    <n v="1"/>
    <n v="3"/>
    <n v="2"/>
    <n v="1"/>
    <n v="1"/>
    <n v="37.4"/>
    <s v="Jul"/>
    <d v="2015-07-14T13:47:08"/>
    <x v="25"/>
    <n v="3"/>
    <n v="13"/>
    <m/>
  </r>
  <r>
    <n v="631"/>
    <s v="Indiana"/>
    <s v="46142"/>
    <d v="2015-02-26T08:52:14"/>
    <d v="2015-02-26T08:52:17"/>
    <n v="1"/>
    <n v="0"/>
    <n v="2"/>
    <n v="1"/>
    <n v="1"/>
    <n v="1"/>
    <n v="57.6"/>
    <s v="Feb"/>
    <d v="2015-02-26T08:52:15"/>
    <x v="27"/>
    <n v="5"/>
    <n v="8"/>
    <m/>
  </r>
  <r>
    <n v="632"/>
    <m/>
    <m/>
    <d v="2015-07-03T16:34:26"/>
    <d v="2015-07-03T12:34:28"/>
    <n v="1"/>
    <n v="4"/>
    <n v="12"/>
    <n v="5"/>
    <n v="1"/>
    <n v="6"/>
    <n v="43.2"/>
    <s v="Jul"/>
    <d v="2015-07-03T12:37:07"/>
    <x v="23"/>
    <n v="6"/>
    <n v="12"/>
    <m/>
  </r>
  <r>
    <n v="634"/>
    <s v="New Hampshire"/>
    <s v="03063"/>
    <d v="2015-08-11T02:07:49"/>
    <d v="2015-08-10T22:07:53"/>
    <n v="1"/>
    <n v="4"/>
    <n v="2"/>
    <n v="2"/>
    <n v="1"/>
    <n v="1"/>
    <n v="37.4"/>
    <s v="Aug"/>
    <d v="2015-08-10T22:07:50"/>
    <x v="7"/>
    <n v="2"/>
    <n v="22"/>
    <m/>
  </r>
  <r>
    <n v="635"/>
    <s v="Iowa"/>
    <s v="52722"/>
    <d v="2015-02-10T12:41:19"/>
    <d v="2015-02-10T12:41:23"/>
    <n v="1"/>
    <n v="2"/>
    <n v="2"/>
    <n v="1"/>
    <n v="1"/>
    <n v="1"/>
    <n v="27.2"/>
    <s v="Feb"/>
    <d v="2015-02-10T12:41:21"/>
    <x v="7"/>
    <n v="3"/>
    <n v="12"/>
    <m/>
  </r>
  <r>
    <n v="636"/>
    <s v="Washington"/>
    <s v="98112"/>
    <d v="2015-09-03T23:53:35"/>
    <d v="2015-09-03T19:53:39"/>
    <n v="1"/>
    <n v="4"/>
    <n v="2"/>
    <n v="2"/>
    <n v="1"/>
    <n v="1"/>
    <n v="29.92"/>
    <s v="Sep"/>
    <d v="2015-09-03T19:53:35"/>
    <x v="23"/>
    <n v="5"/>
    <n v="19"/>
    <m/>
  </r>
  <r>
    <n v="637"/>
    <s v="Texas"/>
    <s v="77450"/>
    <d v="2015-02-14T19:26:11"/>
    <d v="2015-02-14T19:26:16"/>
    <n v="1"/>
    <n v="2"/>
    <n v="4"/>
    <n v="2"/>
    <n v="1"/>
    <n v="2"/>
    <n v="9"/>
    <s v="Feb"/>
    <d v="2015-02-14T19:26:12"/>
    <x v="25"/>
    <n v="7"/>
    <n v="19"/>
    <m/>
  </r>
  <r>
    <n v="638"/>
    <s v="California"/>
    <s v="90245"/>
    <d v="2015-06-08T17:59:18"/>
    <d v="2015-06-08T16:35:25"/>
    <n v="3"/>
    <n v="1"/>
    <n v="6"/>
    <n v="4"/>
    <n v="1"/>
    <n v="4"/>
    <n v="36"/>
    <s v="Jun"/>
    <d v="2015-06-08T14:02:41"/>
    <x v="29"/>
    <n v="2"/>
    <n v="14"/>
    <m/>
  </r>
  <r>
    <n v="639"/>
    <s v="New York"/>
    <s v="13066"/>
    <d v="2015-07-06T14:12:25"/>
    <d v="2015-07-06T10:12:29"/>
    <n v="1"/>
    <n v="4"/>
    <n v="2"/>
    <n v="2"/>
    <n v="1"/>
    <n v="1"/>
    <n v="28.8"/>
    <s v="Jul"/>
    <d v="2015-07-06T10:12:26"/>
    <x v="17"/>
    <n v="2"/>
    <n v="10"/>
    <m/>
  </r>
  <r>
    <n v="640"/>
    <s v="Virginia"/>
    <s v="20147"/>
    <d v="2015-02-23T20:30:10"/>
    <d v="2015-03-03T18:34:34"/>
    <n v="4"/>
    <n v="0"/>
    <n v="15"/>
    <n v="4"/>
    <n v="2"/>
    <n v="24"/>
    <n v="72"/>
    <s v="Feb"/>
    <d v="2015-02-23T20:33:25"/>
    <x v="10"/>
    <n v="2"/>
    <n v="20"/>
    <m/>
  </r>
  <r>
    <n v="641"/>
    <s v="Idaho"/>
    <s v="83646"/>
    <d v="2015-07-20T01:19:12"/>
    <d v="2015-07-20T01:19:16"/>
    <n v="1"/>
    <n v="2"/>
    <n v="2"/>
    <n v="3"/>
    <n v="1"/>
    <n v="1"/>
    <n v="29.92"/>
    <s v="Jul"/>
    <d v="2015-07-20T01:19:13"/>
    <x v="15"/>
    <n v="2"/>
    <n v="1"/>
    <m/>
  </r>
  <r>
    <n v="642"/>
    <s v="Colorado"/>
    <s v="80219"/>
    <d v="2015-08-08T12:22:09"/>
    <d v="2015-08-08T08:22:15"/>
    <n v="1"/>
    <n v="16"/>
    <n v="12"/>
    <n v="2"/>
    <n v="1"/>
    <n v="4"/>
    <n v="36"/>
    <s v="Aug"/>
    <d v="2015-08-08T08:22:10"/>
    <x v="29"/>
    <n v="7"/>
    <n v="8"/>
    <m/>
  </r>
  <r>
    <n v="643"/>
    <s v="Illinois"/>
    <s v="60062"/>
    <d v="2015-02-23T10:49:39"/>
    <d v="2015-02-23T10:49:43"/>
    <n v="1"/>
    <n v="0"/>
    <n v="6"/>
    <n v="1"/>
    <n v="1"/>
    <n v="4"/>
    <n v="28.8"/>
    <s v="Feb"/>
    <d v="2015-02-23T10:49:39"/>
    <x v="10"/>
    <n v="2"/>
    <n v="10"/>
    <m/>
  </r>
  <r>
    <n v="644"/>
    <s v="Massachusetts"/>
    <s v="01746"/>
    <d v="2015-07-13T17:05:51"/>
    <d v="2015-07-13T17:05:55"/>
    <n v="1"/>
    <n v="4"/>
    <n v="8"/>
    <n v="2"/>
    <n v="1"/>
    <n v="4"/>
    <n v="28.8"/>
    <s v="Jul"/>
    <d v="2015-07-13T17:05:51"/>
    <x v="20"/>
    <n v="2"/>
    <n v="17"/>
    <m/>
  </r>
  <r>
    <n v="645"/>
    <s v="Pennsylvania"/>
    <s v="15239"/>
    <d v="2015-06-12T23:52:37"/>
    <d v="2015-06-12T19:52:41"/>
    <n v="1"/>
    <n v="6"/>
    <n v="6"/>
    <n v="2"/>
    <n v="1"/>
    <n v="4"/>
    <n v="27"/>
    <s v="Jun"/>
    <d v="2015-06-12T19:52:38"/>
    <x v="5"/>
    <n v="6"/>
    <n v="19"/>
    <m/>
  </r>
  <r>
    <n v="646"/>
    <s v="Wisconsin"/>
    <s v="54935"/>
    <d v="2015-09-17T15:36:28"/>
    <d v="2015-09-17T11:36:32"/>
    <n v="1"/>
    <n v="8"/>
    <n v="6"/>
    <n v="2"/>
    <n v="1"/>
    <n v="1"/>
    <n v="27.2"/>
    <s v="Sep"/>
    <d v="2015-09-17T11:36:29"/>
    <x v="8"/>
    <n v="5"/>
    <n v="11"/>
    <m/>
  </r>
  <r>
    <n v="647"/>
    <s v="Texas"/>
    <s v="78757"/>
    <d v="2015-03-12T03:05:38"/>
    <d v="2015-03-12T03:05:42"/>
    <n v="1"/>
    <n v="0"/>
    <n v="4"/>
    <n v="1"/>
    <n v="1"/>
    <n v="2"/>
    <n v="14.4"/>
    <s v="Mar"/>
    <d v="2015-03-12T03:05:39"/>
    <x v="5"/>
    <n v="5"/>
    <n v="3"/>
    <m/>
  </r>
  <r>
    <n v="648"/>
    <s v="Minnesota"/>
    <s v="55318"/>
    <d v="2015-06-29T18:04:04"/>
    <d v="2015-07-01T15:35:20"/>
    <n v="6"/>
    <n v="2"/>
    <n v="4"/>
    <n v="4"/>
    <n v="1"/>
    <n v="2"/>
    <n v="57.6"/>
    <s v="Jun"/>
    <d v="2015-06-29T14:04:05"/>
    <x v="26"/>
    <n v="2"/>
    <n v="14"/>
    <m/>
  </r>
  <r>
    <n v="649"/>
    <s v="Georgia"/>
    <s v="30152"/>
    <d v="2015-06-11T17:54:47"/>
    <d v="2015-06-12T02:19:07"/>
    <n v="5"/>
    <n v="5"/>
    <n v="3"/>
    <n v="7"/>
    <n v="2"/>
    <n v="2"/>
    <n v="36"/>
    <s v="Jun"/>
    <d v="2015-06-11T13:56:54"/>
    <x v="12"/>
    <n v="5"/>
    <n v="13"/>
    <m/>
  </r>
  <r>
    <n v="650"/>
    <s v="Michigan"/>
    <s v="48823"/>
    <d v="2015-07-02T17:42:33"/>
    <d v="2015-07-02T17:42:37"/>
    <n v="1"/>
    <n v="6"/>
    <n v="6"/>
    <n v="2"/>
    <n v="1"/>
    <n v="7"/>
    <n v="50.4"/>
    <s v="Jul"/>
    <d v="2015-07-02T17:42:34"/>
    <x v="30"/>
    <n v="5"/>
    <n v="17"/>
    <m/>
  </r>
  <r>
    <n v="652"/>
    <s v="Connecticut"/>
    <s v="06903"/>
    <d v="2015-03-09T19:40:43"/>
    <d v="2015-03-09T19:40:50"/>
    <n v="1"/>
    <n v="0"/>
    <n v="4"/>
    <n v="1"/>
    <n v="1"/>
    <n v="1"/>
    <n v="28.8"/>
    <s v="Mar"/>
    <d v="2015-03-09T19:40:45"/>
    <x v="21"/>
    <n v="2"/>
    <n v="19"/>
    <m/>
  </r>
  <r>
    <n v="653"/>
    <m/>
    <m/>
    <d v="2015-07-15T01:50:58"/>
    <d v="2015-07-14T21:50:59"/>
    <n v="1"/>
    <n v="2"/>
    <n v="2"/>
    <n v="2"/>
    <n v="1"/>
    <n v="2"/>
    <n v="97.28"/>
    <s v="Jul"/>
    <d v="2015-07-14T21:55:20"/>
    <x v="25"/>
    <n v="3"/>
    <n v="21"/>
    <m/>
  </r>
  <r>
    <n v="654"/>
    <s v="California"/>
    <s v="90025"/>
    <d v="2015-05-21T17:26:38"/>
    <d v="2015-05-21T17:26:41"/>
    <n v="1"/>
    <n v="4"/>
    <n v="4"/>
    <n v="4"/>
    <n v="1"/>
    <n v="2"/>
    <n v="14.4"/>
    <s v="May"/>
    <d v="2015-05-21T17:26:38"/>
    <x v="18"/>
    <n v="5"/>
    <n v="17"/>
    <m/>
  </r>
  <r>
    <n v="655"/>
    <s v="South Carolina"/>
    <s v="29707"/>
    <d v="2015-03-12T11:58:15"/>
    <d v="2015-03-12T11:58:23"/>
    <n v="1"/>
    <n v="0"/>
    <n v="4"/>
    <n v="1"/>
    <n v="1"/>
    <n v="2"/>
    <n v="9"/>
    <s v="Mar"/>
    <d v="2015-03-12T11:58:16"/>
    <x v="5"/>
    <n v="5"/>
    <n v="11"/>
    <m/>
  </r>
  <r>
    <n v="656"/>
    <s v="Iowa"/>
    <s v="50401"/>
    <d v="2015-01-29T20:07:23"/>
    <d v="2015-01-29T20:07:27"/>
    <n v="1"/>
    <n v="0"/>
    <n v="4"/>
    <n v="1"/>
    <n v="1"/>
    <n v="2"/>
    <n v="18"/>
    <s v="Jan"/>
    <d v="2015-01-29T20:07:24"/>
    <x v="26"/>
    <n v="5"/>
    <n v="20"/>
    <m/>
  </r>
  <r>
    <n v="657"/>
    <s v="Michigan"/>
    <s v="49507"/>
    <d v="2015-08-14T18:04:40"/>
    <d v="2015-08-14T18:04:43"/>
    <n v="1"/>
    <n v="6"/>
    <n v="8"/>
    <n v="2"/>
    <n v="1"/>
    <n v="4"/>
    <n v="36"/>
    <s v="Aug"/>
    <d v="2015-08-14T18:04:40"/>
    <x v="25"/>
    <n v="6"/>
    <n v="18"/>
    <m/>
  </r>
  <r>
    <n v="658"/>
    <s v="Michigan"/>
    <s v="48169"/>
    <d v="2015-08-28T17:47:56"/>
    <d v="2015-08-28T13:48:00"/>
    <n v="1"/>
    <n v="4"/>
    <n v="2"/>
    <n v="2"/>
    <n v="1"/>
    <n v="1"/>
    <n v="56.32"/>
    <s v="Aug"/>
    <d v="2015-08-28T13:47:57"/>
    <x v="4"/>
    <n v="6"/>
    <n v="13"/>
    <m/>
  </r>
  <r>
    <n v="659"/>
    <s v="Illinois"/>
    <s v="61103"/>
    <d v="2015-03-03T12:28:25"/>
    <d v="2015-03-03T12:28:30"/>
    <n v="1"/>
    <n v="4"/>
    <n v="4"/>
    <n v="1"/>
    <n v="1"/>
    <n v="4"/>
    <n v="28.8"/>
    <s v="Mar"/>
    <d v="2015-03-03T12:28:26"/>
    <x v="23"/>
    <n v="3"/>
    <n v="12"/>
    <m/>
  </r>
  <r>
    <n v="660"/>
    <m/>
    <m/>
    <d v="2015-07-28T01:57:37"/>
    <d v="2015-07-27T21:57:37"/>
    <n v="1"/>
    <n v="2"/>
    <n v="5"/>
    <n v="3"/>
    <n v="1"/>
    <n v="4"/>
    <n v="36.799999999999997"/>
    <s v="Jul"/>
    <d v="2015-07-27T22:07:55"/>
    <x v="28"/>
    <n v="2"/>
    <n v="22"/>
    <m/>
  </r>
  <r>
    <n v="661"/>
    <s v="Texas"/>
    <s v="75024"/>
    <d v="2015-08-04T15:40:55"/>
    <d v="2015-08-04T11:40:56"/>
    <n v="1"/>
    <n v="4"/>
    <n v="8"/>
    <n v="8"/>
    <n v="1"/>
    <n v="2"/>
    <n v="22"/>
    <s v="Aug"/>
    <d v="2015-08-04T11:45:38"/>
    <x v="24"/>
    <n v="3"/>
    <n v="11"/>
    <m/>
  </r>
  <r>
    <n v="662"/>
    <s v="California"/>
    <s v="92705"/>
    <d v="2015-01-17T11:27:33"/>
    <d v="2015-01-22T13:19:46"/>
    <n v="3"/>
    <n v="0"/>
    <n v="6"/>
    <n v="3"/>
    <n v="1"/>
    <n v="3"/>
    <n v="18"/>
    <s v="Jan"/>
    <d v="2015-01-17T11:27:35"/>
    <x v="8"/>
    <n v="7"/>
    <n v="11"/>
    <m/>
  </r>
  <r>
    <n v="663"/>
    <s v="Washington"/>
    <s v="98027"/>
    <d v="2015-08-29T16:19:40"/>
    <d v="2015-08-29T12:19:45"/>
    <n v="1"/>
    <n v="2"/>
    <n v="4"/>
    <n v="4"/>
    <n v="1"/>
    <n v="2"/>
    <n v="38.72"/>
    <s v="Aug"/>
    <d v="2015-08-29T12:19:41"/>
    <x v="26"/>
    <n v="7"/>
    <n v="12"/>
    <m/>
  </r>
  <r>
    <n v="664"/>
    <s v="Oklahoma"/>
    <s v="74501"/>
    <d v="2015-07-08T00:41:20"/>
    <d v="2015-07-07T20:41:21"/>
    <n v="1"/>
    <n v="4"/>
    <n v="8"/>
    <n v="2"/>
    <n v="1"/>
    <n v="4"/>
    <n v="28.8"/>
    <s v="Jul"/>
    <d v="2015-07-07T20:48:57"/>
    <x v="16"/>
    <n v="3"/>
    <n v="20"/>
    <m/>
  </r>
  <r>
    <n v="665"/>
    <s v="Massachusetts"/>
    <s v="01119"/>
    <d v="2015-08-06T16:48:54"/>
    <d v="2015-08-06T12:48:58"/>
    <n v="1"/>
    <n v="6"/>
    <n v="6"/>
    <n v="2"/>
    <n v="1"/>
    <n v="4"/>
    <n v="35.200000000000003"/>
    <s v="Aug"/>
    <d v="2015-08-06T12:48:55"/>
    <x v="17"/>
    <n v="5"/>
    <n v="12"/>
    <m/>
  </r>
  <r>
    <n v="666"/>
    <s v="California"/>
    <s v="95134"/>
    <d v="2015-04-09T17:19:57"/>
    <d v="2015-04-09T17:20:02"/>
    <n v="1"/>
    <n v="6"/>
    <n v="4"/>
    <n v="1"/>
    <n v="1"/>
    <n v="3"/>
    <n v="43.2"/>
    <s v="Apr"/>
    <d v="2015-04-09T17:19:58"/>
    <x v="21"/>
    <n v="5"/>
    <n v="17"/>
    <m/>
  </r>
  <r>
    <n v="667"/>
    <s v="Connecticut"/>
    <s v="06853"/>
    <d v="2015-07-10T12:48:25"/>
    <d v="2015-07-10T12:48:28"/>
    <n v="1"/>
    <n v="0"/>
    <n v="2"/>
    <n v="2"/>
    <n v="1"/>
    <n v="1"/>
    <n v="48"/>
    <s v="Jul"/>
    <d v="2015-07-10T12:48:25"/>
    <x v="7"/>
    <n v="6"/>
    <n v="12"/>
    <m/>
  </r>
  <r>
    <n v="668"/>
    <s v="Michigan"/>
    <s v="48208"/>
    <d v="2015-07-06T23:56:25"/>
    <d v="2015-07-06T19:56:29"/>
    <n v="1"/>
    <n v="2"/>
    <n v="6"/>
    <n v="2"/>
    <n v="1"/>
    <n v="4"/>
    <n v="28.8"/>
    <s v="Jul"/>
    <d v="2015-07-06T19:56:26"/>
    <x v="17"/>
    <n v="2"/>
    <n v="19"/>
    <m/>
  </r>
  <r>
    <n v="669"/>
    <s v="New York"/>
    <s v="10027"/>
    <d v="2015-02-02T16:03:20"/>
    <d v="2015-03-17T07:16:12"/>
    <n v="4"/>
    <n v="7"/>
    <n v="18"/>
    <n v="7"/>
    <n v="3"/>
    <n v="8"/>
    <n v="14.4"/>
    <s v="Feb"/>
    <d v="2015-02-02T16:03:21"/>
    <x v="30"/>
    <n v="2"/>
    <n v="16"/>
    <m/>
  </r>
  <r>
    <n v="670"/>
    <s v="Maryland"/>
    <s v="21740"/>
    <d v="2015-01-25T21:23:42"/>
    <d v="2015-03-02T19:16:20"/>
    <n v="2"/>
    <n v="2"/>
    <n v="22"/>
    <n v="5"/>
    <n v="2"/>
    <n v="12"/>
    <n v="28.8"/>
    <s v="Jan"/>
    <d v="2015-01-25T21:23:43"/>
    <x v="3"/>
    <n v="1"/>
    <n v="21"/>
    <m/>
  </r>
  <r>
    <n v="671"/>
    <s v="Washington"/>
    <s v="98029"/>
    <d v="2015-02-19T16:52:00"/>
    <d v="2015-02-26T11:58:54"/>
    <n v="6"/>
    <n v="1"/>
    <n v="14"/>
    <n v="3"/>
    <n v="1"/>
    <n v="7"/>
    <n v="50.4"/>
    <s v="Feb"/>
    <d v="2015-02-19T16:52:01"/>
    <x v="19"/>
    <n v="5"/>
    <n v="16"/>
    <m/>
  </r>
  <r>
    <n v="672"/>
    <m/>
    <m/>
    <d v="2015-04-12T17:56:59"/>
    <d v="2015-04-12T17:57:04"/>
    <n v="1"/>
    <n v="2"/>
    <n v="10"/>
    <n v="2"/>
    <n v="1"/>
    <n v="6"/>
    <n v="54"/>
    <s v="Apr"/>
    <d v="2015-04-12T18:00:46"/>
    <x v="5"/>
    <n v="1"/>
    <n v="18"/>
    <m/>
  </r>
  <r>
    <n v="673"/>
    <s v="Massachusetts"/>
    <s v="01085"/>
    <d v="2015-04-03T12:08:08"/>
    <d v="2015-04-03T12:08:13"/>
    <n v="1"/>
    <n v="0"/>
    <n v="2"/>
    <n v="1"/>
    <n v="1"/>
    <n v="1"/>
    <n v="28.8"/>
    <s v="Apr"/>
    <d v="2015-04-03T12:08:09"/>
    <x v="23"/>
    <n v="6"/>
    <n v="12"/>
    <m/>
  </r>
  <r>
    <n v="674"/>
    <s v="Michigan"/>
    <s v="48611"/>
    <d v="2015-07-08T09:40:03"/>
    <d v="2015-07-08T09:40:07"/>
    <n v="1"/>
    <n v="6"/>
    <n v="4"/>
    <n v="2"/>
    <n v="1"/>
    <n v="6"/>
    <n v="43.2"/>
    <s v="Jul"/>
    <d v="2015-07-08T09:40:04"/>
    <x v="29"/>
    <n v="4"/>
    <n v="9"/>
    <m/>
  </r>
  <r>
    <n v="676"/>
    <s v="Connecticut"/>
    <s v="06470"/>
    <d v="2015-01-21T12:23:18"/>
    <d v="2015-03-09T15:45:01"/>
    <n v="2"/>
    <n v="4"/>
    <n v="18"/>
    <n v="5"/>
    <n v="2"/>
    <n v="12"/>
    <n v="34.4"/>
    <s v="Jan"/>
    <d v="2015-01-21T12:23:19"/>
    <x v="18"/>
    <n v="4"/>
    <n v="12"/>
    <m/>
  </r>
  <r>
    <n v="677"/>
    <s v="Florida"/>
    <s v="33315"/>
    <d v="2015-08-20T18:00:10"/>
    <d v="2015-08-20T18:00:13"/>
    <n v="1"/>
    <n v="6"/>
    <n v="2"/>
    <n v="2"/>
    <n v="1"/>
    <n v="1"/>
    <n v="56.32"/>
    <s v="Aug"/>
    <d v="2015-08-20T18:00:11"/>
    <x v="15"/>
    <n v="5"/>
    <n v="18"/>
    <m/>
  </r>
  <r>
    <n v="678"/>
    <s v="Pennsylvania"/>
    <s v="17960"/>
    <d v="2015-06-22T18:34:41"/>
    <d v="2015-06-22T18:34:45"/>
    <n v="1"/>
    <n v="2"/>
    <n v="2"/>
    <n v="3"/>
    <n v="1"/>
    <n v="1"/>
    <n v="72"/>
    <s v="Jun"/>
    <d v="2015-06-22T18:34:41"/>
    <x v="1"/>
    <n v="2"/>
    <n v="18"/>
    <m/>
  </r>
  <r>
    <n v="679"/>
    <m/>
    <m/>
    <d v="2015-06-30T03:49:55"/>
    <d v="2015-06-30T09:55:09"/>
    <n v="2"/>
    <n v="0"/>
    <n v="2"/>
    <n v="2"/>
    <n v="1"/>
    <n v="2"/>
    <n v="18"/>
    <s v="Jun"/>
    <d v="2015-06-29T23:49:56"/>
    <x v="26"/>
    <n v="2"/>
    <n v="23"/>
    <m/>
  </r>
  <r>
    <n v="680"/>
    <s v="Connecticut"/>
    <s v="06074"/>
    <d v="2015-06-04T11:55:30"/>
    <d v="2015-06-04T07:55:34"/>
    <n v="1"/>
    <n v="4"/>
    <n v="4"/>
    <n v="2"/>
    <n v="1"/>
    <n v="2"/>
    <n v="18"/>
    <s v="Jun"/>
    <d v="2015-06-04T07:55:32"/>
    <x v="24"/>
    <n v="5"/>
    <n v="7"/>
    <m/>
  </r>
  <r>
    <n v="681"/>
    <s v="Washington"/>
    <s v="98019"/>
    <d v="2015-01-24T21:10:56"/>
    <d v="2015-01-24T21:11:00"/>
    <n v="1"/>
    <n v="0"/>
    <n v="12"/>
    <n v="5"/>
    <n v="1"/>
    <n v="2"/>
    <n v="9"/>
    <s v="Jan"/>
    <d v="2015-01-24T21:10:57"/>
    <x v="11"/>
    <n v="7"/>
    <n v="21"/>
    <m/>
  </r>
  <r>
    <n v="682"/>
    <m/>
    <m/>
    <d v="2015-07-26T21:26:59"/>
    <d v="2015-07-26T17:27:03"/>
    <n v="1"/>
    <n v="4"/>
    <n v="8"/>
    <n v="5"/>
    <n v="1"/>
    <n v="6"/>
    <n v="267.3"/>
    <s v="Jul"/>
    <d v="2015-07-26T17:32:54"/>
    <x v="27"/>
    <n v="1"/>
    <n v="17"/>
    <m/>
  </r>
  <r>
    <n v="683"/>
    <s v="California"/>
    <s v="95993"/>
    <d v="2015-01-26T21:08:41"/>
    <d v="2015-01-26T21:08:46"/>
    <n v="1"/>
    <n v="6"/>
    <n v="8"/>
    <n v="7"/>
    <n v="1"/>
    <n v="4"/>
    <n v="28.8"/>
    <s v="Jan"/>
    <d v="2015-01-26T21:08:44"/>
    <x v="27"/>
    <n v="2"/>
    <n v="21"/>
    <m/>
  </r>
  <r>
    <n v="684"/>
    <s v="Maryland"/>
    <s v="21117"/>
    <d v="2015-08-20T09:08:57"/>
    <d v="2015-08-20T09:09:01"/>
    <n v="1"/>
    <n v="2"/>
    <n v="2"/>
    <n v="2"/>
    <n v="1"/>
    <n v="1"/>
    <n v="29.92"/>
    <s v="Aug"/>
    <d v="2015-08-20T09:08:57"/>
    <x v="15"/>
    <n v="5"/>
    <n v="9"/>
    <m/>
  </r>
  <r>
    <n v="685"/>
    <s v="North Carolina"/>
    <s v="28560"/>
    <d v="2015-02-03T10:26:16"/>
    <d v="2015-02-03T10:26:21"/>
    <n v="1"/>
    <n v="0"/>
    <n v="12"/>
    <n v="2"/>
    <n v="1"/>
    <n v="4"/>
    <n v="30.6"/>
    <s v="Feb"/>
    <d v="2015-02-03T10:26:17"/>
    <x v="23"/>
    <n v="3"/>
    <n v="10"/>
    <m/>
  </r>
  <r>
    <n v="686"/>
    <s v="Missouri"/>
    <s v="65203"/>
    <d v="2015-08-31T00:41:57"/>
    <d v="2015-08-30T20:42:01"/>
    <n v="1"/>
    <n v="6"/>
    <n v="10"/>
    <n v="2"/>
    <n v="1"/>
    <n v="4"/>
    <n v="35.200000000000003"/>
    <s v="Aug"/>
    <d v="2015-08-30T20:41:58"/>
    <x v="13"/>
    <n v="1"/>
    <n v="20"/>
    <m/>
  </r>
  <r>
    <n v="687"/>
    <s v="Florida"/>
    <s v="32162"/>
    <d v="2015-02-08T19:12:26"/>
    <d v="2015-02-08T19:12:31"/>
    <n v="1"/>
    <n v="0"/>
    <n v="4"/>
    <n v="1"/>
    <n v="1"/>
    <n v="2"/>
    <n v="18"/>
    <s v="Feb"/>
    <d v="2015-02-08T19:12:27"/>
    <x v="29"/>
    <n v="1"/>
    <n v="19"/>
    <m/>
  </r>
  <r>
    <n v="688"/>
    <m/>
    <m/>
    <d v="2015-07-04T02:26:38"/>
    <d v="2015-07-03T22:26:39"/>
    <n v="1"/>
    <n v="6"/>
    <n v="6"/>
    <n v="4"/>
    <n v="1"/>
    <n v="4"/>
    <n v="28.8"/>
    <s v="Jul"/>
    <d v="2015-07-03T22:28:28"/>
    <x v="23"/>
    <n v="6"/>
    <n v="22"/>
    <m/>
  </r>
  <r>
    <n v="689"/>
    <s v="Iowa"/>
    <s v="52245"/>
    <d v="2015-04-19T23:17:05"/>
    <d v="2015-04-19T23:17:12"/>
    <n v="1"/>
    <n v="4"/>
    <n v="18"/>
    <n v="1"/>
    <n v="1"/>
    <n v="8"/>
    <n v="56"/>
    <s v="Apr"/>
    <d v="2015-04-19T23:17:07"/>
    <x v="19"/>
    <n v="1"/>
    <n v="23"/>
    <m/>
  </r>
  <r>
    <n v="690"/>
    <s v="Connecticut"/>
    <s v="06824"/>
    <d v="2015-04-04T15:20:07"/>
    <d v="2015-04-04T15:20:11"/>
    <n v="1"/>
    <n v="4"/>
    <n v="2"/>
    <n v="1"/>
    <n v="1"/>
    <n v="1"/>
    <n v="57.6"/>
    <s v="Apr"/>
    <d v="2015-04-04T15:20:07"/>
    <x v="24"/>
    <n v="7"/>
    <n v="15"/>
    <m/>
  </r>
  <r>
    <n v="691"/>
    <m/>
    <m/>
    <d v="2015-01-28T12:35:23"/>
    <d v="2015-03-05T12:22:18"/>
    <n v="2"/>
    <n v="4"/>
    <n v="43"/>
    <n v="6"/>
    <n v="1"/>
    <n v="8"/>
    <n v="57.6"/>
    <s v="Jan"/>
    <d v="2015-01-28T12:37:13"/>
    <x v="4"/>
    <n v="4"/>
    <n v="12"/>
    <m/>
  </r>
  <r>
    <n v="692"/>
    <s v="Florida"/>
    <s v="33614"/>
    <d v="2015-07-17T18:06:23"/>
    <d v="2015-07-17T18:06:28"/>
    <n v="1"/>
    <n v="10"/>
    <n v="12"/>
    <n v="8"/>
    <n v="1"/>
    <n v="2"/>
    <n v="38.72"/>
    <s v="Jul"/>
    <d v="2015-07-17T18:06:24"/>
    <x v="8"/>
    <n v="6"/>
    <n v="18"/>
    <m/>
  </r>
  <r>
    <n v="693"/>
    <s v="New Jersey"/>
    <s v="08520"/>
    <d v="2015-01-27T22:29:04"/>
    <d v="2015-01-27T22:29:07"/>
    <n v="1"/>
    <n v="0"/>
    <n v="4"/>
    <n v="3"/>
    <n v="1"/>
    <n v="1"/>
    <n v="28.8"/>
    <s v="Jan"/>
    <d v="2015-01-27T22:29:05"/>
    <x v="28"/>
    <n v="3"/>
    <n v="22"/>
    <m/>
  </r>
  <r>
    <n v="695"/>
    <s v="California"/>
    <s v="92240"/>
    <d v="2015-02-13T04:07:36"/>
    <d v="2015-03-07T04:39:18"/>
    <n v="4"/>
    <n v="3"/>
    <n v="8"/>
    <n v="10"/>
    <n v="1"/>
    <n v="4"/>
    <n v="28.8"/>
    <s v="Feb"/>
    <d v="2015-02-14T04:30:30"/>
    <x v="25"/>
    <n v="7"/>
    <n v="4"/>
    <m/>
  </r>
  <r>
    <n v="696"/>
    <s v="Michigan"/>
    <s v="49085"/>
    <d v="2015-01-17T21:03:28"/>
    <d v="2015-01-17T21:03:32"/>
    <n v="1"/>
    <n v="0"/>
    <n v="4"/>
    <n v="3"/>
    <n v="1"/>
    <n v="5"/>
    <n v="45"/>
    <s v="Jan"/>
    <d v="2015-01-17T21:03:29"/>
    <x v="8"/>
    <n v="7"/>
    <n v="21"/>
    <m/>
  </r>
  <r>
    <n v="697"/>
    <s v="Minnesota"/>
    <s v="55427"/>
    <d v="2015-01-21T17:01:28"/>
    <d v="2015-01-21T17:01:32"/>
    <n v="1"/>
    <n v="4"/>
    <n v="10"/>
    <n v="2"/>
    <n v="1"/>
    <n v="5"/>
    <n v="57.6"/>
    <s v="Jan"/>
    <d v="2015-01-21T17:01:29"/>
    <x v="18"/>
    <n v="4"/>
    <n v="17"/>
    <m/>
  </r>
  <r>
    <n v="698"/>
    <s v="Texas"/>
    <s v="78729"/>
    <d v="2015-03-28T17:43:12"/>
    <d v="2015-03-28T17:43:18"/>
    <n v="1"/>
    <n v="6"/>
    <n v="10"/>
    <n v="2"/>
    <n v="1"/>
    <n v="5"/>
    <n v="36"/>
    <s v="Mar"/>
    <d v="2015-03-28T17:43:13"/>
    <x v="4"/>
    <n v="7"/>
    <n v="17"/>
    <m/>
  </r>
  <r>
    <n v="699"/>
    <m/>
    <m/>
    <d v="2015-07-11T19:53:53"/>
    <d v="2015-07-11T15:53:54"/>
    <n v="1"/>
    <n v="2"/>
    <n v="5"/>
    <n v="3"/>
    <n v="1"/>
    <n v="4"/>
    <n v="28.8"/>
    <s v="Jul"/>
    <d v="2015-07-11T15:57:00"/>
    <x v="12"/>
    <n v="7"/>
    <n v="15"/>
    <m/>
  </r>
  <r>
    <n v="700"/>
    <s v="Washington"/>
    <s v="98122"/>
    <d v="2015-03-01T23:53:36"/>
    <d v="2015-03-01T23:53:41"/>
    <n v="1"/>
    <n v="2"/>
    <n v="2"/>
    <n v="1"/>
    <n v="1"/>
    <n v="1"/>
    <n v="28.8"/>
    <s v="Mar"/>
    <d v="2015-03-01T23:53:37"/>
    <x v="6"/>
    <n v="1"/>
    <n v="23"/>
    <m/>
  </r>
  <r>
    <n v="701"/>
    <s v="Ohio"/>
    <s v="45430"/>
    <d v="2015-04-16T11:50:26"/>
    <d v="2015-04-16T11:50:30"/>
    <n v="1"/>
    <n v="4"/>
    <n v="4"/>
    <n v="1"/>
    <n v="1"/>
    <n v="2"/>
    <n v="14.4"/>
    <s v="Apr"/>
    <d v="2015-04-16T11:50:27"/>
    <x v="22"/>
    <n v="5"/>
    <n v="11"/>
    <m/>
  </r>
  <r>
    <n v="702"/>
    <s v="Oregon"/>
    <s v="97231"/>
    <d v="2015-07-13T15:51:47"/>
    <d v="2015-07-13T11:51:51"/>
    <n v="1"/>
    <n v="6"/>
    <n v="8"/>
    <n v="4"/>
    <n v="1"/>
    <n v="4"/>
    <n v="28.8"/>
    <s v="Jul"/>
    <d v="2015-07-13T11:51:48"/>
    <x v="20"/>
    <n v="2"/>
    <n v="11"/>
    <m/>
  </r>
  <r>
    <n v="703"/>
    <s v="New York"/>
    <s v="10065"/>
    <d v="2015-02-18T10:36:23"/>
    <d v="2015-02-18T10:36:27"/>
    <n v="1"/>
    <n v="0"/>
    <n v="10"/>
    <n v="2"/>
    <n v="1"/>
    <n v="4"/>
    <n v="27"/>
    <s v="Feb"/>
    <d v="2015-02-18T10:36:24"/>
    <x v="9"/>
    <n v="4"/>
    <n v="10"/>
    <m/>
  </r>
  <r>
    <n v="704"/>
    <s v="California"/>
    <s v="94041"/>
    <d v="2015-01-21T21:12:40"/>
    <d v="2015-01-21T21:12:44"/>
    <n v="1"/>
    <n v="2"/>
    <n v="10"/>
    <n v="2"/>
    <n v="1"/>
    <n v="5"/>
    <n v="36"/>
    <s v="Jan"/>
    <d v="2015-01-21T21:12:41"/>
    <x v="18"/>
    <n v="4"/>
    <n v="21"/>
    <m/>
  </r>
  <r>
    <n v="705"/>
    <s v="Colorado"/>
    <s v="80424"/>
    <d v="2015-03-10T21:50:53"/>
    <d v="2015-03-10T21:50:58"/>
    <n v="1"/>
    <n v="0"/>
    <n v="2"/>
    <n v="1"/>
    <n v="1"/>
    <n v="1"/>
    <n v="28.8"/>
    <s v="Mar"/>
    <d v="2015-03-10T21:50:54"/>
    <x v="7"/>
    <n v="3"/>
    <n v="21"/>
    <m/>
  </r>
  <r>
    <n v="706"/>
    <s v="Iowa"/>
    <s v="50658"/>
    <d v="2015-06-25T19:57:29"/>
    <d v="2015-06-25T19:57:34"/>
    <n v="1"/>
    <n v="0"/>
    <n v="6"/>
    <n v="2"/>
    <n v="1"/>
    <n v="3"/>
    <n v="86.4"/>
    <s v="Jun"/>
    <d v="2015-06-25T19:57:30"/>
    <x v="3"/>
    <n v="5"/>
    <n v="19"/>
    <m/>
  </r>
  <r>
    <n v="707"/>
    <s v="California"/>
    <s v="94114"/>
    <d v="2015-03-24T13:12:51"/>
    <d v="2015-03-24T13:12:55"/>
    <n v="1"/>
    <n v="2"/>
    <n v="6"/>
    <n v="1"/>
    <n v="1"/>
    <n v="4"/>
    <n v="28.8"/>
    <s v="Mar"/>
    <d v="2015-03-24T13:18:58"/>
    <x v="11"/>
    <n v="3"/>
    <n v="13"/>
    <m/>
  </r>
  <r>
    <n v="708"/>
    <s v="California"/>
    <s v="95123"/>
    <d v="2015-03-24T15:01:03"/>
    <d v="2015-03-24T15:01:09"/>
    <n v="1"/>
    <n v="0"/>
    <n v="10"/>
    <n v="1"/>
    <n v="1"/>
    <n v="4"/>
    <n v="28.8"/>
    <s v="Mar"/>
    <d v="2015-03-24T15:01:04"/>
    <x v="11"/>
    <n v="3"/>
    <n v="15"/>
    <m/>
  </r>
  <r>
    <n v="709"/>
    <m/>
    <m/>
    <d v="2015-03-01T10:29:04"/>
    <d v="2015-03-01T10:29:07"/>
    <n v="1"/>
    <n v="2"/>
    <n v="2"/>
    <n v="2"/>
    <n v="1"/>
    <n v="1"/>
    <n v="27"/>
    <s v="Mar"/>
    <d v="2015-03-01T10:31:52"/>
    <x v="6"/>
    <n v="1"/>
    <n v="10"/>
    <m/>
  </r>
  <r>
    <n v="710"/>
    <m/>
    <m/>
    <d v="2015-09-06T03:05:28"/>
    <d v="2015-09-06T03:05:29"/>
    <n v="1"/>
    <n v="9"/>
    <n v="9"/>
    <n v="12"/>
    <n v="2"/>
    <n v="4"/>
    <n v="13"/>
    <s v="Sep"/>
    <d v="2015-09-06T03:19:53"/>
    <x v="17"/>
    <n v="1"/>
    <n v="3"/>
    <m/>
  </r>
  <r>
    <n v="711"/>
    <s v="California"/>
    <s v="91320"/>
    <d v="2015-01-19T14:15:15"/>
    <d v="2015-01-20T12:54:03"/>
    <n v="3"/>
    <n v="0"/>
    <n v="2"/>
    <n v="3"/>
    <n v="1"/>
    <n v="1"/>
    <n v="28.8"/>
    <s v="Jan"/>
    <d v="2015-01-19T14:15:29"/>
    <x v="19"/>
    <n v="2"/>
    <n v="14"/>
    <m/>
  </r>
  <r>
    <n v="712"/>
    <m/>
    <m/>
    <d v="2015-06-30T04:44:55"/>
    <d v="2015-06-30T00:44:56"/>
    <n v="1"/>
    <n v="9"/>
    <n v="9"/>
    <n v="4"/>
    <n v="1"/>
    <n v="2"/>
    <n v="12"/>
    <s v="Jun"/>
    <d v="2015-06-30T00:51:34"/>
    <x v="13"/>
    <n v="3"/>
    <n v="0"/>
    <m/>
  </r>
  <r>
    <n v="713"/>
    <m/>
    <m/>
    <d v="2015-03-04T13:19:24"/>
    <d v="2015-03-04T13:19:32"/>
    <n v="1"/>
    <n v="4"/>
    <n v="10"/>
    <n v="4"/>
    <n v="1"/>
    <n v="4"/>
    <n v="28.8"/>
    <s v="Mar"/>
    <d v="2015-03-04T13:19:26"/>
    <x v="24"/>
    <n v="4"/>
    <n v="13"/>
    <m/>
  </r>
  <r>
    <n v="714"/>
    <m/>
    <m/>
    <d v="2015-03-21T14:15:09"/>
    <d v="2015-03-21T14:15:14"/>
    <n v="1"/>
    <n v="0"/>
    <n v="4"/>
    <n v="3"/>
    <n v="1"/>
    <n v="2"/>
    <n v="14.4"/>
    <s v="Mar"/>
    <d v="2015-03-21T14:15:11"/>
    <x v="18"/>
    <n v="7"/>
    <n v="14"/>
    <m/>
  </r>
  <r>
    <n v="715"/>
    <s v="California"/>
    <s v="90746"/>
    <d v="2015-02-22T11:43:06"/>
    <d v="2015-02-22T11:43:12"/>
    <n v="1"/>
    <n v="0"/>
    <n v="12"/>
    <n v="1"/>
    <n v="1"/>
    <n v="6"/>
    <n v="43.2"/>
    <s v="Feb"/>
    <d v="2015-02-22T11:43:08"/>
    <x v="1"/>
    <n v="1"/>
    <n v="11"/>
    <m/>
  </r>
  <r>
    <n v="716"/>
    <m/>
    <m/>
    <d v="2015-07-09T23:02:37"/>
    <d v="2015-07-09T19:02:39"/>
    <n v="1"/>
    <n v="2"/>
    <n v="6"/>
    <n v="5"/>
    <n v="1"/>
    <n v="2"/>
    <n v="57.6"/>
    <s v="Jul"/>
    <d v="2015-07-09T19:04:49"/>
    <x v="21"/>
    <n v="5"/>
    <n v="19"/>
    <m/>
  </r>
  <r>
    <n v="717"/>
    <s v="Illinois"/>
    <s v="60613"/>
    <d v="2015-05-21T17:26:13"/>
    <d v="2015-05-21T17:26:16"/>
    <n v="1"/>
    <n v="4"/>
    <n v="2"/>
    <n v="2"/>
    <n v="1"/>
    <n v="1"/>
    <n v="57.6"/>
    <s v="May"/>
    <d v="2015-05-21T17:26:13"/>
    <x v="18"/>
    <n v="5"/>
    <n v="17"/>
    <m/>
  </r>
  <r>
    <n v="718"/>
    <s v="New York"/>
    <s v="11901"/>
    <d v="2015-06-23T22:14:52"/>
    <d v="2015-06-24T10:46:45"/>
    <n v="2"/>
    <n v="2"/>
    <n v="2"/>
    <n v="4"/>
    <n v="1"/>
    <n v="1"/>
    <n v="38.4"/>
    <s v="Jun"/>
    <d v="2015-06-23T18:18:43"/>
    <x v="10"/>
    <n v="3"/>
    <n v="18"/>
    <m/>
  </r>
  <r>
    <n v="719"/>
    <s v="Texas"/>
    <s v="79705"/>
    <d v="2015-05-07T20:53:45"/>
    <d v="2015-05-07T20:53:49"/>
    <n v="1"/>
    <n v="0"/>
    <n v="4"/>
    <n v="2"/>
    <n v="1"/>
    <n v="2"/>
    <n v="14.4"/>
    <s v="May"/>
    <d v="2015-05-07T20:53:46"/>
    <x v="16"/>
    <n v="5"/>
    <n v="20"/>
    <m/>
  </r>
  <r>
    <n v="720"/>
    <s v="Georgia"/>
    <s v="31411"/>
    <d v="2015-03-04T07:13:53"/>
    <d v="2015-03-10T18:02:43"/>
    <n v="3"/>
    <n v="1"/>
    <n v="1"/>
    <n v="2"/>
    <n v="1"/>
    <n v="1"/>
    <n v="36"/>
    <s v="Mar"/>
    <d v="2015-03-04T07:21:18"/>
    <x v="24"/>
    <n v="4"/>
    <n v="7"/>
    <m/>
  </r>
  <r>
    <n v="721"/>
    <s v="Iowa"/>
    <s v="50201"/>
    <d v="2015-08-01T13:54:06"/>
    <d v="2015-08-03T13:31:33"/>
    <n v="6"/>
    <n v="6"/>
    <n v="2"/>
    <n v="3"/>
    <n v="1"/>
    <n v="1"/>
    <n v="37.4"/>
    <s v="Aug"/>
    <d v="2015-08-01T13:54:07"/>
    <x v="6"/>
    <n v="7"/>
    <n v="13"/>
    <m/>
  </r>
  <r>
    <n v="722"/>
    <s v="New York"/>
    <s v="11204"/>
    <d v="2015-07-07T02:21:45"/>
    <d v="2015-07-06T22:21:50"/>
    <n v="1"/>
    <n v="2"/>
    <n v="2"/>
    <n v="2"/>
    <n v="1"/>
    <n v="1"/>
    <n v="72"/>
    <s v="Jul"/>
    <d v="2015-07-06T22:21:46"/>
    <x v="17"/>
    <n v="2"/>
    <n v="22"/>
    <m/>
  </r>
  <r>
    <n v="723"/>
    <m/>
    <m/>
    <d v="2015-04-04T10:49:18"/>
    <d v="2015-04-04T10:49:20"/>
    <n v="1"/>
    <n v="1"/>
    <n v="11"/>
    <n v="3"/>
    <n v="1"/>
    <n v="7"/>
    <n v="59"/>
    <s v="Apr"/>
    <d v="2015-04-04T11:04:30"/>
    <x v="24"/>
    <n v="7"/>
    <n v="11"/>
    <m/>
  </r>
  <r>
    <n v="724"/>
    <m/>
    <m/>
    <d v="2015-04-26T01:25:45"/>
    <d v="2015-04-30T08:13:50"/>
    <n v="3"/>
    <n v="5"/>
    <n v="12"/>
    <n v="8"/>
    <n v="1"/>
    <n v="11"/>
    <n v="79.2"/>
    <s v="Apr"/>
    <d v="2015-04-30T09:22:37"/>
    <x v="13"/>
    <n v="5"/>
    <n v="9"/>
    <m/>
  </r>
  <r>
    <n v="725"/>
    <s v="California"/>
    <s v="93712"/>
    <d v="2015-01-03T03:08:37"/>
    <d v="2015-01-03T03:08:43"/>
    <n v="1"/>
    <n v="6"/>
    <n v="4"/>
    <n v="3"/>
    <n v="1"/>
    <n v="4"/>
    <n v="28.8"/>
    <s v="Jan"/>
    <d v="2015-01-03T03:08:38"/>
    <x v="23"/>
    <n v="7"/>
    <n v="3"/>
    <m/>
  </r>
  <r>
    <n v="726"/>
    <s v="California"/>
    <s v="94556"/>
    <d v="2015-08-08T21:42:01"/>
    <d v="2015-08-08T17:42:06"/>
    <n v="1"/>
    <n v="2"/>
    <n v="4"/>
    <n v="2"/>
    <n v="1"/>
    <n v="1"/>
    <n v="37.4"/>
    <s v="Aug"/>
    <d v="2015-08-08T17:42:01"/>
    <x v="29"/>
    <n v="7"/>
    <n v="17"/>
    <m/>
  </r>
  <r>
    <n v="727"/>
    <s v="South Carolina"/>
    <s v="29649"/>
    <d v="2015-03-22T21:06:04"/>
    <d v="2015-03-22T21:06:12"/>
    <n v="1"/>
    <n v="2"/>
    <n v="8"/>
    <n v="1"/>
    <n v="1"/>
    <n v="4"/>
    <n v="36"/>
    <s v="Mar"/>
    <d v="2015-03-22T21:06:06"/>
    <x v="1"/>
    <n v="1"/>
    <n v="21"/>
    <m/>
  </r>
  <r>
    <n v="728"/>
    <s v="Pennsylvania"/>
    <s v="15068"/>
    <d v="2015-01-19T09:59:37"/>
    <d v="2015-01-19T09:59:41"/>
    <n v="1"/>
    <n v="2"/>
    <n v="4"/>
    <n v="6"/>
    <n v="1"/>
    <n v="2"/>
    <n v="9"/>
    <s v="Jan"/>
    <d v="2015-01-19T09:59:38"/>
    <x v="19"/>
    <n v="2"/>
    <n v="9"/>
    <m/>
  </r>
  <r>
    <n v="729"/>
    <s v="California"/>
    <s v="90022"/>
    <d v="2015-07-25T02:53:11"/>
    <d v="2015-07-25T02:53:14"/>
    <n v="1"/>
    <n v="5"/>
    <n v="3"/>
    <n v="3"/>
    <n v="1"/>
    <n v="1"/>
    <n v="11"/>
    <s v="Jul"/>
    <d v="2015-07-25T02:53:11"/>
    <x v="3"/>
    <n v="7"/>
    <n v="2"/>
    <m/>
  </r>
  <r>
    <n v="730"/>
    <s v="Ohio"/>
    <s v="45249"/>
    <d v="2015-05-13T14:19:59"/>
    <d v="2015-05-13T14:20:03"/>
    <n v="1"/>
    <n v="2"/>
    <n v="6"/>
    <n v="2"/>
    <n v="1"/>
    <n v="3"/>
    <n v="18"/>
    <s v="May"/>
    <d v="2015-05-13T14:20:00"/>
    <x v="20"/>
    <n v="4"/>
    <n v="14"/>
    <m/>
  </r>
  <r>
    <n v="731"/>
    <s v="Michigan"/>
    <s v="49321"/>
    <d v="2015-06-16T18:14:59"/>
    <d v="2015-06-16T14:15:12"/>
    <n v="1"/>
    <n v="0"/>
    <n v="10"/>
    <n v="7"/>
    <n v="1"/>
    <n v="5"/>
    <n v="36"/>
    <s v="Jun"/>
    <d v="2015-06-16T14:15:06"/>
    <x v="22"/>
    <n v="3"/>
    <n v="14"/>
    <m/>
  </r>
  <r>
    <n v="732"/>
    <s v="California"/>
    <s v="94306"/>
    <d v="2015-07-06T00:54:25"/>
    <d v="2015-07-06T00:54:30"/>
    <n v="1"/>
    <n v="10"/>
    <n v="14"/>
    <n v="3"/>
    <n v="1"/>
    <n v="7"/>
    <n v="74.400000000000006"/>
    <s v="Jul"/>
    <d v="2015-07-06T00:54:25"/>
    <x v="17"/>
    <n v="2"/>
    <n v="0"/>
    <m/>
  </r>
  <r>
    <n v="733"/>
    <s v="California"/>
    <s v="92124"/>
    <d v="2015-03-28T12:55:22"/>
    <d v="2015-03-28T12:55:25"/>
    <n v="1"/>
    <n v="0"/>
    <n v="2"/>
    <n v="3"/>
    <n v="1"/>
    <n v="1"/>
    <n v="9"/>
    <s v="Mar"/>
    <d v="2015-03-28T12:58:34"/>
    <x v="4"/>
    <n v="7"/>
    <n v="12"/>
    <m/>
  </r>
  <r>
    <n v="734"/>
    <s v="Washington"/>
    <s v="98029"/>
    <d v="2015-03-04T00:09:52"/>
    <d v="2015-03-04T00:09:56"/>
    <n v="1"/>
    <n v="2"/>
    <n v="6"/>
    <n v="1"/>
    <n v="1"/>
    <n v="2"/>
    <n v="72"/>
    <s v="Mar"/>
    <d v="2015-03-04T00:09:53"/>
    <x v="24"/>
    <n v="4"/>
    <n v="0"/>
    <m/>
  </r>
  <r>
    <n v="735"/>
    <s v="Texas"/>
    <s v="76903"/>
    <d v="2015-06-05T14:44:28"/>
    <d v="2015-06-05T10:44:30"/>
    <n v="1"/>
    <n v="0"/>
    <n v="2"/>
    <n v="1"/>
    <n v="1"/>
    <n v="1"/>
    <n v="28.8"/>
    <s v="Jun"/>
    <d v="2015-06-05T10:54:25"/>
    <x v="2"/>
    <n v="6"/>
    <n v="10"/>
    <m/>
  </r>
  <r>
    <n v="736"/>
    <s v="Texas"/>
    <s v="77450"/>
    <d v="2015-09-12T15:51:28"/>
    <d v="2015-09-12T11:51:33"/>
    <n v="1"/>
    <n v="2"/>
    <n v="4"/>
    <n v="2"/>
    <n v="1"/>
    <n v="2"/>
    <n v="38.72"/>
    <s v="Sep"/>
    <d v="2015-09-12T11:51:29"/>
    <x v="5"/>
    <n v="7"/>
    <n v="11"/>
    <m/>
  </r>
  <r>
    <n v="737"/>
    <s v="California"/>
    <s v="90027"/>
    <d v="2015-05-09T00:01:41"/>
    <d v="2015-05-09T00:01:45"/>
    <n v="1"/>
    <n v="0"/>
    <n v="4"/>
    <n v="2"/>
    <n v="1"/>
    <n v="2"/>
    <n v="57.6"/>
    <s v="May"/>
    <d v="2015-05-09T00:01:42"/>
    <x v="21"/>
    <n v="7"/>
    <n v="0"/>
    <m/>
  </r>
  <r>
    <n v="738"/>
    <s v="California"/>
    <s v="94541"/>
    <d v="2015-07-22T16:09:02"/>
    <d v="2015-07-22T16:09:06"/>
    <n v="1"/>
    <n v="0"/>
    <n v="2"/>
    <n v="3"/>
    <n v="1"/>
    <n v="2"/>
    <n v="19.2"/>
    <s v="Jul"/>
    <d v="2015-07-22T16:09:03"/>
    <x v="1"/>
    <n v="4"/>
    <n v="16"/>
    <m/>
  </r>
  <r>
    <n v="740"/>
    <s v="New York"/>
    <s v="10022"/>
    <d v="2015-08-18T19:06:45"/>
    <d v="2015-08-18T15:06:49"/>
    <n v="1"/>
    <n v="0"/>
    <n v="8"/>
    <n v="2"/>
    <n v="1"/>
    <n v="4"/>
    <n v="44"/>
    <s v="Aug"/>
    <d v="2015-08-18T15:06:46"/>
    <x v="9"/>
    <n v="3"/>
    <n v="15"/>
    <m/>
  </r>
  <r>
    <n v="741"/>
    <s v="Massachusetts"/>
    <s v="02476"/>
    <d v="2015-07-16T14:04:20"/>
    <d v="2015-07-16T14:04:24"/>
    <n v="1"/>
    <n v="0"/>
    <n v="2"/>
    <n v="2"/>
    <n v="1"/>
    <n v="1"/>
    <n v="29.92"/>
    <s v="Jul"/>
    <d v="2015-07-16T14:04:20"/>
    <x v="22"/>
    <n v="5"/>
    <n v="14"/>
    <m/>
  </r>
  <r>
    <n v="742"/>
    <s v="Pennsylvania"/>
    <s v="18914"/>
    <d v="2015-06-09T15:29:52"/>
    <d v="2015-06-09T15:30:04"/>
    <n v="1"/>
    <n v="4"/>
    <n v="8"/>
    <n v="9"/>
    <n v="1"/>
    <n v="4"/>
    <n v="24.75"/>
    <s v="Jun"/>
    <d v="2015-06-09T15:30:01"/>
    <x v="21"/>
    <n v="3"/>
    <n v="15"/>
    <m/>
  </r>
  <r>
    <n v="743"/>
    <s v="Tennessee"/>
    <s v="37877"/>
    <d v="2015-01-05T20:03:13"/>
    <d v="2015-02-10T16:12:51"/>
    <n v="3"/>
    <n v="2"/>
    <n v="14"/>
    <n v="7"/>
    <n v="2"/>
    <n v="6"/>
    <n v="28.8"/>
    <s v="Jan"/>
    <d v="2015-01-05T20:03:14"/>
    <x v="2"/>
    <n v="2"/>
    <n v="20"/>
    <m/>
  </r>
  <r>
    <n v="744"/>
    <s v="Hawaii"/>
    <s v="96789"/>
    <d v="2015-06-17T17:29:05"/>
    <d v="2015-06-17T13:29:06"/>
    <n v="1"/>
    <n v="0"/>
    <n v="1"/>
    <n v="1"/>
    <n v="1"/>
    <n v="1"/>
    <n v="38.4"/>
    <s v="Jun"/>
    <d v="2015-06-17T13:34:33"/>
    <x v="8"/>
    <n v="4"/>
    <n v="13"/>
    <m/>
  </r>
  <r>
    <n v="745"/>
    <m/>
    <m/>
    <d v="2014-11-28T23:27:10"/>
    <d v="2015-01-16T18:55:03"/>
    <n v="3"/>
    <n v="1"/>
    <n v="18"/>
    <n v="5"/>
    <n v="1"/>
    <n v="6"/>
    <n v="43.2"/>
    <s v="Jan"/>
    <d v="2015-01-08T22:04:45"/>
    <x v="29"/>
    <n v="5"/>
    <n v="22"/>
    <m/>
  </r>
  <r>
    <n v="746"/>
    <s v="Ohio"/>
    <s v="45069"/>
    <d v="2015-06-26T20:42:39"/>
    <d v="2015-06-26T16:42:47"/>
    <n v="1"/>
    <n v="14"/>
    <n v="6"/>
    <n v="3"/>
    <n v="1"/>
    <n v="3"/>
    <n v="138"/>
    <s v="Jun"/>
    <d v="2015-06-26T16:42:42"/>
    <x v="27"/>
    <n v="6"/>
    <n v="16"/>
    <m/>
  </r>
  <r>
    <n v="747"/>
    <m/>
    <m/>
    <d v="2015-07-13T15:34:47"/>
    <d v="2015-07-13T11:34:48"/>
    <n v="1"/>
    <n v="2"/>
    <n v="2"/>
    <n v="4"/>
    <n v="1"/>
    <n v="4"/>
    <n v="28.8"/>
    <s v="Jul"/>
    <d v="2015-07-13T11:35:54"/>
    <x v="20"/>
    <n v="2"/>
    <n v="11"/>
    <m/>
  </r>
  <r>
    <n v="748"/>
    <s v="Indiana"/>
    <s v="46755"/>
    <d v="2015-02-24T21:45:21"/>
    <d v="2015-02-24T21:45:26"/>
    <n v="1"/>
    <n v="0"/>
    <n v="8"/>
    <n v="1"/>
    <n v="1"/>
    <n v="4"/>
    <n v="28.8"/>
    <s v="Feb"/>
    <d v="2015-02-24T21:45:22"/>
    <x v="11"/>
    <n v="3"/>
    <n v="21"/>
    <m/>
  </r>
  <r>
    <n v="749"/>
    <s v="Rhode Island"/>
    <s v="02889"/>
    <d v="2015-08-28T19:29:09"/>
    <d v="2015-08-28T19:29:11"/>
    <n v="1"/>
    <n v="4"/>
    <n v="4"/>
    <n v="6"/>
    <n v="1"/>
    <n v="1"/>
    <n v="52.8"/>
    <s v="Aug"/>
    <d v="2015-08-28T19:33:09"/>
    <x v="4"/>
    <n v="6"/>
    <n v="19"/>
    <m/>
  </r>
  <r>
    <n v="750"/>
    <m/>
    <m/>
    <d v="2015-03-03T19:15:28"/>
    <d v="2015-03-03T19:15:33"/>
    <n v="1"/>
    <n v="0"/>
    <n v="2"/>
    <n v="1"/>
    <n v="1"/>
    <n v="3"/>
    <n v="27"/>
    <s v="Mar"/>
    <d v="2015-03-03T19:19:56"/>
    <x v="23"/>
    <n v="3"/>
    <n v="19"/>
    <m/>
  </r>
  <r>
    <n v="751"/>
    <s v="New York"/>
    <s v="13066"/>
    <d v="2015-08-31T16:21:38"/>
    <d v="2015-08-31T12:21:43"/>
    <n v="1"/>
    <n v="4"/>
    <n v="4"/>
    <n v="2"/>
    <n v="1"/>
    <n v="2"/>
    <n v="56.1"/>
    <s v="Aug"/>
    <d v="2015-08-31T12:21:39"/>
    <x v="14"/>
    <n v="2"/>
    <n v="12"/>
    <m/>
  </r>
  <r>
    <n v="752"/>
    <s v="Pennsylvania"/>
    <s v="19061"/>
    <d v="2015-08-08T23:25:51"/>
    <d v="2015-08-10T20:34:16"/>
    <n v="7"/>
    <n v="5"/>
    <n v="5"/>
    <n v="7"/>
    <n v="1"/>
    <n v="2"/>
    <n v="17.600000000000001"/>
    <s v="Aug"/>
    <d v="2015-08-08T23:25:52"/>
    <x v="29"/>
    <n v="7"/>
    <n v="23"/>
    <m/>
  </r>
  <r>
    <n v="753"/>
    <s v="Illinois"/>
    <s v="60073"/>
    <d v="2015-08-01T04:25:14"/>
    <d v="2015-08-01T00:25:20"/>
    <n v="1"/>
    <n v="6"/>
    <n v="6"/>
    <n v="2"/>
    <n v="1"/>
    <n v="4"/>
    <n v="35.200000000000003"/>
    <s v="Aug"/>
    <d v="2015-08-01T00:25:15"/>
    <x v="6"/>
    <n v="7"/>
    <n v="0"/>
    <m/>
  </r>
  <r>
    <n v="754"/>
    <s v="Indiana"/>
    <s v="47459"/>
    <d v="2015-03-05T16:54:48"/>
    <d v="2015-03-05T16:54:54"/>
    <n v="1"/>
    <n v="0"/>
    <n v="10"/>
    <n v="1"/>
    <n v="1"/>
    <n v="5"/>
    <n v="36"/>
    <s v="Mar"/>
    <d v="2015-03-05T16:54:50"/>
    <x v="2"/>
    <n v="5"/>
    <n v="16"/>
    <m/>
  </r>
  <r>
    <n v="755"/>
    <s v="Illinois"/>
    <s v="60013"/>
    <d v="2015-02-24T23:11:18"/>
    <d v="2015-03-16T20:57:43"/>
    <n v="5"/>
    <n v="4"/>
    <n v="6"/>
    <n v="4"/>
    <n v="1"/>
    <n v="3"/>
    <n v="21.6"/>
    <s v="Feb"/>
    <d v="2015-02-24T23:11:19"/>
    <x v="11"/>
    <n v="3"/>
    <n v="23"/>
    <m/>
  </r>
  <r>
    <n v="756"/>
    <s v="California"/>
    <s v="94025"/>
    <d v="2015-06-14T23:38:10"/>
    <d v="2015-06-14T23:38:14"/>
    <n v="1"/>
    <n v="0"/>
    <n v="8"/>
    <n v="2"/>
    <n v="1"/>
    <n v="4"/>
    <n v="28.8"/>
    <s v="Jun"/>
    <d v="2015-06-14T23:38:11"/>
    <x v="25"/>
    <n v="1"/>
    <n v="23"/>
    <m/>
  </r>
  <r>
    <n v="757"/>
    <s v="Virginia"/>
    <s v="22204"/>
    <d v="2015-02-09T21:08:06"/>
    <d v="2015-02-10T06:20:06"/>
    <n v="3"/>
    <n v="0"/>
    <n v="8"/>
    <n v="3"/>
    <n v="1"/>
    <n v="3"/>
    <n v="18"/>
    <s v="Feb"/>
    <d v="2015-02-09T21:08:07"/>
    <x v="21"/>
    <n v="2"/>
    <n v="21"/>
    <m/>
  </r>
  <r>
    <n v="758"/>
    <m/>
    <s v="9030"/>
    <d v="2013-09-20T19:29:40"/>
    <d v="2015-03-25T03:43:45"/>
    <n v="1"/>
    <n v="3"/>
    <n v="8"/>
    <n v="1"/>
    <n v="1"/>
    <n v="4"/>
    <n v="36"/>
    <s v="Mar"/>
    <d v="2015-03-25T03:48:01"/>
    <x v="3"/>
    <n v="4"/>
    <n v="3"/>
    <m/>
  </r>
  <r>
    <n v="759"/>
    <m/>
    <m/>
    <d v="2015-05-20T12:10:55"/>
    <d v="2015-05-20T12:10:59"/>
    <n v="1"/>
    <n v="2"/>
    <n v="4"/>
    <n v="2"/>
    <n v="1"/>
    <n v="2"/>
    <n v="18"/>
    <s v="May"/>
    <d v="2015-05-20T12:10:57"/>
    <x v="15"/>
    <n v="4"/>
    <n v="12"/>
    <m/>
  </r>
  <r>
    <n v="761"/>
    <s v="Massachusetts"/>
    <s v="01844"/>
    <d v="2015-04-23T23:16:58"/>
    <d v="2015-04-23T23:17:04"/>
    <n v="1"/>
    <n v="2"/>
    <n v="2"/>
    <n v="1"/>
    <n v="1"/>
    <n v="1"/>
    <n v="36"/>
    <s v="Apr"/>
    <d v="2015-04-23T23:16:59"/>
    <x v="10"/>
    <n v="5"/>
    <n v="23"/>
    <m/>
  </r>
  <r>
    <n v="762"/>
    <s v="Massachusetts"/>
    <s v="02468"/>
    <d v="2015-01-15T15:23:07"/>
    <d v="2015-02-09T14:10:05"/>
    <n v="2"/>
    <n v="0"/>
    <n v="4"/>
    <n v="4"/>
    <n v="2"/>
    <n v="15"/>
    <n v="27"/>
    <s v="Jan"/>
    <d v="2015-01-15T15:23:09"/>
    <x v="0"/>
    <n v="5"/>
    <n v="15"/>
    <m/>
  </r>
  <r>
    <n v="763"/>
    <s v="Ohio"/>
    <s v="44094"/>
    <d v="2015-09-05T23:09:35"/>
    <d v="2015-09-05T23:09:39"/>
    <n v="1"/>
    <n v="2"/>
    <n v="2"/>
    <n v="2"/>
    <n v="1"/>
    <n v="1"/>
    <n v="56.32"/>
    <s v="Sep"/>
    <d v="2015-09-05T23:09:35"/>
    <x v="2"/>
    <n v="7"/>
    <n v="23"/>
    <m/>
  </r>
  <r>
    <n v="765"/>
    <s v="North Carolina"/>
    <s v="28092"/>
    <d v="2015-09-11T00:03:10"/>
    <d v="2015-09-11T00:03:12"/>
    <n v="1"/>
    <n v="6"/>
    <n v="5"/>
    <n v="4"/>
    <n v="1"/>
    <n v="3"/>
    <n v="47.52"/>
    <s v="Sep"/>
    <d v="2015-09-11T00:27:16"/>
    <x v="12"/>
    <n v="6"/>
    <n v="0"/>
    <m/>
  </r>
  <r>
    <n v="766"/>
    <s v="Tennessee"/>
    <s v="38018"/>
    <d v="2015-04-05T07:45:32"/>
    <d v="2015-04-05T07:45:39"/>
    <n v="1"/>
    <n v="0"/>
    <n v="4"/>
    <n v="1"/>
    <n v="1"/>
    <n v="4"/>
    <n v="28.8"/>
    <s v="Apr"/>
    <d v="2015-04-05T07:45:32"/>
    <x v="2"/>
    <n v="1"/>
    <n v="7"/>
    <m/>
  </r>
  <r>
    <n v="767"/>
    <s v="West Virginia"/>
    <s v="25413"/>
    <d v="2015-06-11T15:10:18"/>
    <d v="2015-06-11T11:10:23"/>
    <n v="1"/>
    <n v="4"/>
    <n v="4"/>
    <n v="2"/>
    <n v="1"/>
    <n v="2"/>
    <n v="57.6"/>
    <s v="Jun"/>
    <d v="2015-06-11T11:10:19"/>
    <x v="12"/>
    <n v="5"/>
    <n v="11"/>
    <m/>
  </r>
  <r>
    <n v="768"/>
    <s v="Georgia"/>
    <s v="30045"/>
    <d v="2015-01-03T17:18:53"/>
    <d v="2015-01-04T13:07:06"/>
    <n v="3"/>
    <n v="0"/>
    <n v="12"/>
    <n v="2"/>
    <n v="1"/>
    <n v="4"/>
    <n v="36"/>
    <s v="Jan"/>
    <d v="2015-01-03T17:18:54"/>
    <x v="23"/>
    <n v="7"/>
    <n v="17"/>
    <m/>
  </r>
  <r>
    <n v="769"/>
    <s v="Florida"/>
    <s v="34608"/>
    <d v="2015-03-07T23:11:35"/>
    <d v="2015-03-07T23:11:39"/>
    <n v="1"/>
    <n v="0"/>
    <n v="8"/>
    <n v="3"/>
    <n v="1"/>
    <n v="2"/>
    <n v="18"/>
    <s v="Mar"/>
    <d v="2015-03-07T23:13:53"/>
    <x v="16"/>
    <n v="7"/>
    <n v="23"/>
    <m/>
  </r>
  <r>
    <n v="771"/>
    <s v="Illinois"/>
    <s v="60618"/>
    <d v="2015-01-12T12:40:54"/>
    <d v="2015-02-10T12:25:02"/>
    <n v="6"/>
    <n v="0"/>
    <n v="11"/>
    <n v="8"/>
    <n v="2"/>
    <n v="8"/>
    <n v="9"/>
    <s v="Jan"/>
    <d v="2015-01-12T12:40:56"/>
    <x v="5"/>
    <n v="2"/>
    <n v="12"/>
    <m/>
  </r>
  <r>
    <n v="772"/>
    <s v="Florida"/>
    <s v="33432"/>
    <d v="2015-03-13T20:00:20"/>
    <d v="2015-03-13T20:00:27"/>
    <n v="1"/>
    <n v="0"/>
    <n v="8"/>
    <n v="1"/>
    <n v="1"/>
    <n v="4"/>
    <n v="28.8"/>
    <s v="Mar"/>
    <d v="2015-03-13T20:00:22"/>
    <x v="20"/>
    <n v="6"/>
    <n v="20"/>
    <m/>
  </r>
  <r>
    <n v="773"/>
    <m/>
    <m/>
    <d v="2015-02-06T21:59:27"/>
    <d v="2015-02-06T21:59:32"/>
    <n v="1"/>
    <n v="0"/>
    <n v="4"/>
    <n v="2"/>
    <n v="1"/>
    <n v="2"/>
    <n v="52.7"/>
    <s v="Feb"/>
    <d v="2015-02-06T21:59:29"/>
    <x v="17"/>
    <n v="6"/>
    <n v="21"/>
    <m/>
  </r>
  <r>
    <n v="774"/>
    <s v="California"/>
    <s v="92648"/>
    <d v="2015-07-13T19:23:55"/>
    <d v="2015-07-13T17:43:39"/>
    <n v="3"/>
    <n v="4"/>
    <n v="4"/>
    <n v="2"/>
    <n v="1"/>
    <n v="2"/>
    <n v="72"/>
    <s v="Jul"/>
    <d v="2015-07-13T15:23:56"/>
    <x v="20"/>
    <n v="2"/>
    <n v="15"/>
    <m/>
  </r>
  <r>
    <n v="775"/>
    <s v="Connecticut"/>
    <s v="06437"/>
    <d v="2015-09-25T00:37:14"/>
    <d v="2015-09-24T20:37:18"/>
    <n v="1"/>
    <n v="2"/>
    <n v="2"/>
    <n v="2"/>
    <n v="1"/>
    <n v="1"/>
    <n v="29.92"/>
    <s v="Sep"/>
    <d v="2015-09-24T20:37:15"/>
    <x v="11"/>
    <n v="5"/>
    <n v="20"/>
    <m/>
  </r>
  <r>
    <n v="777"/>
    <s v="California"/>
    <s v="94110"/>
    <d v="2015-06-01T15:09:41"/>
    <d v="2015-06-01T15:09:46"/>
    <n v="1"/>
    <n v="18"/>
    <n v="10"/>
    <n v="7"/>
    <n v="1"/>
    <n v="6"/>
    <n v="60.75"/>
    <s v="Jun"/>
    <d v="2015-06-01T15:09:42"/>
    <x v="6"/>
    <n v="2"/>
    <n v="15"/>
    <m/>
  </r>
  <r>
    <n v="778"/>
    <s v="California"/>
    <s v="94501"/>
    <d v="2015-03-18T21:24:56"/>
    <d v="2015-03-18T21:25:00"/>
    <n v="1"/>
    <n v="2"/>
    <n v="4"/>
    <n v="1"/>
    <n v="1"/>
    <n v="4"/>
    <n v="28.8"/>
    <s v="Mar"/>
    <d v="2015-03-18T21:24:57"/>
    <x v="9"/>
    <n v="4"/>
    <n v="21"/>
    <m/>
  </r>
  <r>
    <n v="779"/>
    <s v="California"/>
    <s v="95835"/>
    <d v="2015-03-24T19:42:27"/>
    <d v="2015-03-24T19:42:30"/>
    <n v="1"/>
    <n v="0"/>
    <n v="2"/>
    <n v="2"/>
    <n v="1"/>
    <n v="1"/>
    <n v="72"/>
    <s v="Mar"/>
    <d v="2015-03-24T19:45:17"/>
    <x v="11"/>
    <n v="3"/>
    <n v="19"/>
    <m/>
  </r>
  <r>
    <n v="780"/>
    <s v="Missouri"/>
    <s v="63025"/>
    <d v="2015-02-20T11:55:20"/>
    <d v="2015-02-20T11:55:24"/>
    <n v="1"/>
    <n v="0"/>
    <n v="2"/>
    <n v="1"/>
    <n v="1"/>
    <n v="4"/>
    <n v="28.8"/>
    <s v="Feb"/>
    <d v="2015-02-20T11:55:21"/>
    <x v="15"/>
    <n v="6"/>
    <n v="11"/>
    <m/>
  </r>
  <r>
    <n v="781"/>
    <s v="Texas"/>
    <s v="76633"/>
    <d v="2015-02-06T23:39:35"/>
    <d v="2015-02-07T13:37:29"/>
    <n v="2"/>
    <n v="1"/>
    <n v="2"/>
    <n v="2"/>
    <n v="1"/>
    <n v="1"/>
    <n v="30.6"/>
    <s v="Feb"/>
    <d v="2015-02-06T23:39:36"/>
    <x v="17"/>
    <n v="6"/>
    <n v="23"/>
    <m/>
  </r>
  <r>
    <n v="782"/>
    <m/>
    <m/>
    <d v="2015-06-08T22:31:07"/>
    <d v="2015-06-08T18:31:09"/>
    <n v="1"/>
    <n v="4"/>
    <n v="4"/>
    <n v="2"/>
    <n v="1"/>
    <n v="2"/>
    <n v="38.4"/>
    <s v="Jun"/>
    <d v="2015-06-08T18:33:40"/>
    <x v="29"/>
    <n v="2"/>
    <n v="18"/>
    <m/>
  </r>
  <r>
    <n v="783"/>
    <s v="District of Columbia"/>
    <s v="20036"/>
    <d v="2015-01-10T15:48:39"/>
    <d v="2015-03-06T21:58:55"/>
    <n v="2"/>
    <n v="5"/>
    <n v="3"/>
    <n v="6"/>
    <n v="2"/>
    <n v="2"/>
    <n v="72"/>
    <s v="Jan"/>
    <d v="2015-01-10T15:48:40"/>
    <x v="7"/>
    <n v="7"/>
    <n v="15"/>
    <m/>
  </r>
  <r>
    <n v="784"/>
    <m/>
    <m/>
    <d v="2015-06-03T18:01:06"/>
    <d v="2015-06-03T14:01:15"/>
    <n v="1"/>
    <n v="2"/>
    <n v="10"/>
    <n v="7"/>
    <n v="1"/>
    <n v="3"/>
    <n v="81.599999999999994"/>
    <s v="Jun"/>
    <d v="2015-06-03T14:18:45"/>
    <x v="23"/>
    <n v="4"/>
    <n v="14"/>
    <m/>
  </r>
  <r>
    <n v="785"/>
    <s v="Colorado"/>
    <s v="80917"/>
    <d v="2015-02-17T15:31:13"/>
    <d v="2015-02-17T15:31:18"/>
    <n v="1"/>
    <n v="0"/>
    <n v="4"/>
    <n v="1"/>
    <n v="1"/>
    <n v="2"/>
    <n v="9"/>
    <s v="Feb"/>
    <d v="2015-02-17T15:31:15"/>
    <x v="8"/>
    <n v="3"/>
    <n v="15"/>
    <m/>
  </r>
  <r>
    <n v="786"/>
    <s v="Texas"/>
    <s v="78665"/>
    <d v="2015-07-29T19:44:10"/>
    <d v="2015-07-29T19:44:14"/>
    <n v="1"/>
    <n v="4"/>
    <n v="10"/>
    <n v="5"/>
    <n v="1"/>
    <n v="5"/>
    <n v="187"/>
    <s v="Jul"/>
    <d v="2015-07-29T19:44:10"/>
    <x v="26"/>
    <n v="4"/>
    <n v="19"/>
    <m/>
  </r>
  <r>
    <n v="787"/>
    <m/>
    <m/>
    <d v="2015-02-04T12:11:31"/>
    <d v="2015-02-04T17:32:11"/>
    <n v="2"/>
    <n v="0"/>
    <n v="9"/>
    <n v="17"/>
    <n v="1"/>
    <n v="4"/>
    <n v="30.6"/>
    <s v="Feb"/>
    <d v="2015-02-04T17:42:55"/>
    <x v="24"/>
    <n v="4"/>
    <n v="17"/>
    <m/>
  </r>
  <r>
    <n v="788"/>
    <s v="Illinois"/>
    <s v="60559"/>
    <d v="2015-03-02T22:58:26"/>
    <d v="2015-03-02T22:58:28"/>
    <n v="1"/>
    <n v="1"/>
    <n v="2"/>
    <n v="1"/>
    <n v="1"/>
    <n v="2"/>
    <n v="36"/>
    <s v="Mar"/>
    <d v="2015-03-02T23:06:45"/>
    <x v="30"/>
    <n v="2"/>
    <n v="23"/>
    <m/>
  </r>
  <r>
    <n v="789"/>
    <s v="Arkansas"/>
    <s v="72205"/>
    <d v="2015-06-27T19:49:51"/>
    <d v="2015-06-27T19:49:58"/>
    <n v="1"/>
    <n v="10"/>
    <n v="4"/>
    <n v="2"/>
    <n v="1"/>
    <n v="2"/>
    <n v="38.4"/>
    <s v="Jun"/>
    <d v="2015-06-27T19:49:52"/>
    <x v="28"/>
    <n v="7"/>
    <n v="19"/>
    <m/>
  </r>
  <r>
    <n v="791"/>
    <s v="California"/>
    <s v="95926"/>
    <d v="2015-03-02T21:38:17"/>
    <d v="2015-03-02T21:38:24"/>
    <n v="1"/>
    <n v="0"/>
    <n v="12"/>
    <n v="1"/>
    <n v="1"/>
    <n v="15"/>
    <n v="108"/>
    <s v="Mar"/>
    <d v="2015-03-02T21:38:18"/>
    <x v="30"/>
    <n v="2"/>
    <n v="21"/>
    <m/>
  </r>
  <r>
    <n v="792"/>
    <m/>
    <m/>
    <d v="2015-05-17T18:05:37"/>
    <d v="2015-05-17T14:05:39"/>
    <n v="1"/>
    <n v="3"/>
    <n v="5"/>
    <n v="3"/>
    <n v="1"/>
    <n v="2"/>
    <n v="18"/>
    <s v="May"/>
    <d v="2015-05-17T14:13:29"/>
    <x v="8"/>
    <n v="1"/>
    <n v="14"/>
    <m/>
  </r>
  <r>
    <n v="793"/>
    <s v="Virginia"/>
    <s v="23669"/>
    <d v="2014-09-27T22:02:24"/>
    <d v="2015-03-08T00:22:57"/>
    <n v="6"/>
    <n v="7"/>
    <n v="3"/>
    <n v="8"/>
    <n v="2"/>
    <n v="2"/>
    <n v="36"/>
    <s v="Feb"/>
    <d v="2015-02-09T11:32:16"/>
    <x v="21"/>
    <n v="2"/>
    <n v="11"/>
    <m/>
  </r>
  <r>
    <n v="794"/>
    <s v="Tennessee"/>
    <s v="37067"/>
    <d v="2015-07-02T13:39:49"/>
    <d v="2015-07-02T09:39:53"/>
    <n v="1"/>
    <n v="0"/>
    <n v="2"/>
    <n v="2"/>
    <n v="1"/>
    <n v="1"/>
    <n v="38.4"/>
    <s v="Jul"/>
    <d v="2015-07-02T09:39:50"/>
    <x v="30"/>
    <n v="5"/>
    <n v="9"/>
    <m/>
  </r>
  <r>
    <n v="795"/>
    <s v="Illinois"/>
    <s v="60014"/>
    <d v="2015-05-21T21:08:05"/>
    <d v="2015-05-21T21:08:08"/>
    <n v="1"/>
    <n v="0"/>
    <n v="4"/>
    <n v="5"/>
    <n v="1"/>
    <n v="1"/>
    <n v="28.8"/>
    <s v="May"/>
    <d v="2015-05-21T21:08:06"/>
    <x v="18"/>
    <n v="5"/>
    <n v="21"/>
    <m/>
  </r>
  <r>
    <n v="796"/>
    <s v="Arizona"/>
    <s v="85248"/>
    <d v="2015-03-11T22:51:56"/>
    <d v="2015-03-11T22:52:03"/>
    <n v="1"/>
    <n v="0"/>
    <n v="10"/>
    <n v="1"/>
    <n v="1"/>
    <n v="5"/>
    <n v="36"/>
    <s v="Mar"/>
    <d v="2015-03-11T22:51:57"/>
    <x v="12"/>
    <n v="4"/>
    <n v="22"/>
    <m/>
  </r>
  <r>
    <n v="797"/>
    <s v="Nevada"/>
    <s v="89130"/>
    <d v="2015-01-23T12:26:44"/>
    <d v="2015-01-23T12:26:52"/>
    <n v="1"/>
    <n v="0"/>
    <n v="2"/>
    <n v="2"/>
    <n v="1"/>
    <n v="1"/>
    <n v="115.2"/>
    <s v="Jan"/>
    <d v="2015-01-23T12:26:50"/>
    <x v="10"/>
    <n v="6"/>
    <n v="12"/>
    <m/>
  </r>
  <r>
    <n v="798"/>
    <s v="Pennsylvania"/>
    <s v="18974"/>
    <d v="2015-07-15T14:16:49"/>
    <d v="2015-07-15T14:16:52"/>
    <n v="1"/>
    <n v="2"/>
    <n v="6"/>
    <n v="2"/>
    <n v="1"/>
    <n v="4"/>
    <n v="46"/>
    <s v="Jul"/>
    <d v="2015-07-15T14:16:49"/>
    <x v="0"/>
    <n v="4"/>
    <n v="14"/>
    <m/>
  </r>
  <r>
    <n v="799"/>
    <s v="Wisconsin"/>
    <s v="54944"/>
    <d v="2015-09-11T08:21:06"/>
    <d v="2015-09-11T08:21:10"/>
    <n v="1"/>
    <n v="2"/>
    <n v="2"/>
    <n v="2"/>
    <n v="1"/>
    <n v="1"/>
    <n v="28.05"/>
    <s v="Sep"/>
    <d v="2015-09-11T08:21:06"/>
    <x v="12"/>
    <n v="6"/>
    <n v="8"/>
    <m/>
  </r>
  <r>
    <n v="800"/>
    <s v="Connecticut"/>
    <s v="06611"/>
    <d v="2015-03-24T20:53:18"/>
    <d v="2015-03-24T20:53:24"/>
    <n v="1"/>
    <n v="0"/>
    <n v="2"/>
    <n v="1"/>
    <n v="1"/>
    <n v="1"/>
    <n v="57.6"/>
    <s v="Mar"/>
    <d v="2015-03-24T20:53:20"/>
    <x v="11"/>
    <n v="3"/>
    <n v="20"/>
    <m/>
  </r>
  <r>
    <n v="801"/>
    <s v="Utah"/>
    <s v="84103"/>
    <d v="2015-07-02T09:53:40"/>
    <d v="2015-07-02T09:53:44"/>
    <n v="1"/>
    <n v="0"/>
    <n v="8"/>
    <n v="2"/>
    <n v="1"/>
    <n v="4"/>
    <n v="36"/>
    <s v="Jul"/>
    <d v="2015-07-02T09:53:40"/>
    <x v="30"/>
    <n v="5"/>
    <n v="9"/>
    <m/>
  </r>
  <r>
    <n v="802"/>
    <s v="New Hampshire"/>
    <s v="03301"/>
    <d v="2015-03-04T14:47:26"/>
    <d v="2015-03-04T14:47:31"/>
    <n v="1"/>
    <n v="0"/>
    <n v="16"/>
    <n v="1"/>
    <n v="1"/>
    <n v="4"/>
    <n v="28.8"/>
    <s v="Mar"/>
    <d v="2015-03-04T14:47:27"/>
    <x v="24"/>
    <n v="4"/>
    <n v="14"/>
    <m/>
  </r>
  <r>
    <n v="803"/>
    <s v="Texas"/>
    <s v="77351"/>
    <d v="2015-01-22T16:01:21"/>
    <d v="2015-01-22T16:01:25"/>
    <n v="1"/>
    <n v="0"/>
    <n v="4"/>
    <n v="3"/>
    <n v="1"/>
    <n v="2"/>
    <n v="9"/>
    <s v="Jan"/>
    <d v="2015-01-22T16:01:22"/>
    <x v="1"/>
    <n v="5"/>
    <n v="16"/>
    <m/>
  </r>
  <r>
    <n v="804"/>
    <s v="Georgia"/>
    <s v="30291"/>
    <d v="2015-08-21T17:44:46"/>
    <d v="2015-08-21T13:44:50"/>
    <n v="1"/>
    <n v="4"/>
    <n v="2"/>
    <n v="2"/>
    <n v="1"/>
    <n v="1"/>
    <n v="29.92"/>
    <s v="Aug"/>
    <d v="2015-08-21T13:44:47"/>
    <x v="18"/>
    <n v="6"/>
    <n v="13"/>
    <m/>
  </r>
  <r>
    <n v="805"/>
    <s v="Missouri"/>
    <s v="63368"/>
    <d v="2015-02-04T19:23:15"/>
    <d v="2015-02-18T23:14:32"/>
    <n v="5"/>
    <n v="0"/>
    <n v="9"/>
    <n v="6"/>
    <n v="2"/>
    <n v="4"/>
    <n v="9"/>
    <s v="Feb"/>
    <d v="2015-02-04T19:23:17"/>
    <x v="24"/>
    <n v="4"/>
    <n v="19"/>
    <m/>
  </r>
  <r>
    <n v="806"/>
    <s v="California"/>
    <s v="94941"/>
    <d v="2015-03-11T00:40:30"/>
    <d v="2015-03-11T00:40:35"/>
    <n v="1"/>
    <n v="2"/>
    <n v="2"/>
    <n v="1"/>
    <n v="1"/>
    <n v="1"/>
    <n v="115.2"/>
    <s v="Mar"/>
    <d v="2015-03-11T00:40:31"/>
    <x v="12"/>
    <n v="4"/>
    <n v="0"/>
    <m/>
  </r>
  <r>
    <n v="807"/>
    <s v="Iowa"/>
    <s v="50322"/>
    <d v="2015-01-17T12:24:29"/>
    <d v="2015-01-17T12:24:33"/>
    <n v="1"/>
    <n v="0"/>
    <n v="6"/>
    <n v="2"/>
    <n v="1"/>
    <n v="2"/>
    <n v="9"/>
    <s v="Jan"/>
    <d v="2015-01-17T12:24:30"/>
    <x v="8"/>
    <n v="7"/>
    <n v="12"/>
    <m/>
  </r>
  <r>
    <n v="808"/>
    <s v="Illinois"/>
    <s v="60030"/>
    <d v="2015-06-01T18:09:42"/>
    <d v="2015-06-03T14:53:43"/>
    <n v="5"/>
    <n v="0"/>
    <n v="6"/>
    <n v="8"/>
    <n v="1"/>
    <n v="3"/>
    <n v="21.6"/>
    <s v="Jun"/>
    <d v="2015-06-01T14:11:14"/>
    <x v="6"/>
    <n v="2"/>
    <n v="14"/>
    <m/>
  </r>
  <r>
    <n v="809"/>
    <s v="Nebraska"/>
    <s v="68059"/>
    <d v="2015-05-25T11:34:44"/>
    <d v="2015-05-25T11:34:48"/>
    <n v="1"/>
    <n v="2"/>
    <n v="2"/>
    <n v="2"/>
    <n v="1"/>
    <n v="1"/>
    <n v="28.8"/>
    <s v="May"/>
    <d v="2015-05-25T11:34:45"/>
    <x v="3"/>
    <n v="2"/>
    <n v="11"/>
    <m/>
  </r>
  <r>
    <n v="810"/>
    <s v="Michigan"/>
    <s v="48307"/>
    <d v="2015-01-18T16:30:29"/>
    <d v="2015-01-19T08:38:16"/>
    <n v="2"/>
    <n v="0"/>
    <n v="2"/>
    <n v="3"/>
    <n v="1"/>
    <n v="4"/>
    <n v="28.8"/>
    <s v="Jan"/>
    <d v="2015-01-18T16:30:38"/>
    <x v="9"/>
    <n v="1"/>
    <n v="16"/>
    <m/>
  </r>
  <r>
    <n v="811"/>
    <s v="Kentucky"/>
    <s v="41018"/>
    <d v="2015-07-08T12:27:45"/>
    <d v="2015-07-08T08:27:49"/>
    <n v="1"/>
    <n v="4"/>
    <n v="4"/>
    <n v="2"/>
    <n v="1"/>
    <n v="2"/>
    <n v="86.4"/>
    <s v="Jul"/>
    <d v="2015-07-08T08:27:46"/>
    <x v="29"/>
    <n v="4"/>
    <n v="8"/>
    <m/>
  </r>
  <r>
    <n v="812"/>
    <s v="New York"/>
    <s v="10010"/>
    <d v="2015-07-13T16:01:03"/>
    <d v="2015-07-13T16:01:06"/>
    <n v="1"/>
    <n v="2"/>
    <n v="2"/>
    <n v="2"/>
    <n v="1"/>
    <n v="8"/>
    <n v="72"/>
    <s v="Jul"/>
    <d v="2015-07-13T16:01:03"/>
    <x v="20"/>
    <n v="2"/>
    <n v="16"/>
    <m/>
  </r>
  <r>
    <n v="813"/>
    <m/>
    <m/>
    <d v="2015-07-06T17:44:20"/>
    <d v="2015-07-06T13:44:21"/>
    <n v="1"/>
    <n v="2"/>
    <n v="4"/>
    <n v="4"/>
    <n v="1"/>
    <n v="1"/>
    <n v="28.8"/>
    <s v="Jul"/>
    <d v="2015-07-06T13:45:55"/>
    <x v="17"/>
    <n v="2"/>
    <n v="13"/>
    <m/>
  </r>
  <r>
    <n v="814"/>
    <s v="Illinois"/>
    <s v="62062"/>
    <d v="2015-01-22T11:53:21"/>
    <d v="2015-01-22T11:53:25"/>
    <n v="1"/>
    <n v="0"/>
    <n v="2"/>
    <n v="2"/>
    <n v="1"/>
    <n v="2"/>
    <n v="9"/>
    <s v="Jan"/>
    <d v="2015-01-22T11:53:22"/>
    <x v="1"/>
    <n v="5"/>
    <n v="11"/>
    <m/>
  </r>
  <r>
    <n v="815"/>
    <m/>
    <m/>
    <d v="2015-09-08T19:53:36"/>
    <d v="2015-09-08T19:53:37"/>
    <n v="1"/>
    <n v="2"/>
    <n v="2"/>
    <n v="2"/>
    <n v="1"/>
    <n v="1"/>
    <n v="29.92"/>
    <s v="Sep"/>
    <d v="2015-09-08T19:56:34"/>
    <x v="29"/>
    <n v="3"/>
    <n v="19"/>
    <m/>
  </r>
  <r>
    <n v="816"/>
    <s v="Iowa"/>
    <s v="50131"/>
    <d v="2015-07-03T14:22:37"/>
    <d v="2015-07-03T14:22:41"/>
    <n v="1"/>
    <n v="6"/>
    <n v="10"/>
    <n v="2"/>
    <n v="1"/>
    <n v="5"/>
    <n v="36"/>
    <s v="Jul"/>
    <d v="2015-07-03T14:22:37"/>
    <x v="23"/>
    <n v="6"/>
    <n v="14"/>
    <m/>
  </r>
  <r>
    <n v="817"/>
    <s v="Texas"/>
    <s v="75019"/>
    <d v="2015-06-25T06:06:48"/>
    <d v="2015-06-25T06:06:52"/>
    <n v="1"/>
    <n v="2"/>
    <n v="2"/>
    <n v="3"/>
    <n v="1"/>
    <n v="4"/>
    <n v="28.8"/>
    <s v="Jun"/>
    <d v="2015-06-25T06:06:49"/>
    <x v="3"/>
    <n v="5"/>
    <n v="6"/>
    <m/>
  </r>
  <r>
    <n v="818"/>
    <s v="Washington"/>
    <s v="98550"/>
    <d v="2015-04-08T13:26:01"/>
    <d v="2015-04-08T13:26:03"/>
    <n v="1"/>
    <n v="0"/>
    <n v="2"/>
    <n v="1"/>
    <n v="1"/>
    <n v="1"/>
    <n v="28.8"/>
    <s v="Apr"/>
    <d v="2015-04-08T13:34:38"/>
    <x v="29"/>
    <n v="4"/>
    <n v="13"/>
    <m/>
  </r>
  <r>
    <n v="819"/>
    <m/>
    <m/>
    <d v="2015-03-07T16:05:26"/>
    <d v="2015-03-07T16:05:31"/>
    <n v="1"/>
    <n v="2"/>
    <n v="2"/>
    <n v="3"/>
    <n v="1"/>
    <n v="1"/>
    <n v="57.6"/>
    <s v="Mar"/>
    <d v="2015-03-07T16:05:27"/>
    <x v="16"/>
    <n v="7"/>
    <n v="16"/>
    <m/>
  </r>
  <r>
    <n v="820"/>
    <s v="New York"/>
    <s v="14534"/>
    <d v="2015-09-15T21:19:41"/>
    <d v="2015-09-15T21:19:44"/>
    <n v="1"/>
    <n v="4"/>
    <n v="2"/>
    <n v="3"/>
    <n v="1"/>
    <n v="1"/>
    <n v="29.92"/>
    <s v="Sep"/>
    <d v="2015-09-15T21:19:41"/>
    <x v="0"/>
    <n v="3"/>
    <n v="21"/>
    <m/>
  </r>
  <r>
    <n v="821"/>
    <s v="Connecticut"/>
    <s v="06457"/>
    <d v="2015-01-19T19:04:21"/>
    <d v="2015-01-19T19:04:26"/>
    <n v="1"/>
    <n v="0"/>
    <n v="2"/>
    <n v="2"/>
    <n v="1"/>
    <n v="1"/>
    <n v="57.6"/>
    <s v="Jan"/>
    <d v="2015-01-19T19:04:23"/>
    <x v="19"/>
    <n v="2"/>
    <n v="19"/>
    <m/>
  </r>
  <r>
    <n v="822"/>
    <s v="Alabama"/>
    <s v="35079"/>
    <d v="2015-02-13T09:56:16"/>
    <d v="2015-02-13T09:56:20"/>
    <n v="1"/>
    <n v="0"/>
    <n v="4"/>
    <n v="3"/>
    <n v="1"/>
    <n v="2"/>
    <n v="14.4"/>
    <s v="Feb"/>
    <d v="2015-02-13T09:56:17"/>
    <x v="20"/>
    <n v="6"/>
    <n v="9"/>
    <m/>
  </r>
  <r>
    <n v="823"/>
    <s v="North Dakota"/>
    <s v="58701"/>
    <d v="2015-01-30T05:39:04"/>
    <d v="2015-02-04T13:40:47"/>
    <n v="6"/>
    <n v="2"/>
    <n v="2"/>
    <n v="2"/>
    <n v="1"/>
    <n v="1"/>
    <n v="57.6"/>
    <s v="Jan"/>
    <d v="2015-01-30T05:39:07"/>
    <x v="13"/>
    <n v="6"/>
    <n v="5"/>
    <m/>
  </r>
  <r>
    <n v="824"/>
    <s v="New York"/>
    <s v="10011"/>
    <d v="2015-06-15T12:34:10"/>
    <d v="2015-06-15T17:01:14"/>
    <n v="3"/>
    <n v="2"/>
    <n v="4"/>
    <n v="3"/>
    <n v="1"/>
    <n v="1"/>
    <n v="28.8"/>
    <s v="Jun"/>
    <d v="2015-06-15T12:34:11"/>
    <x v="0"/>
    <n v="2"/>
    <n v="12"/>
    <m/>
  </r>
  <r>
    <n v="825"/>
    <s v="New York"/>
    <s v="10021"/>
    <d v="2015-04-21T19:31:36"/>
    <d v="2015-04-22T22:51:05"/>
    <n v="3"/>
    <n v="4"/>
    <n v="12"/>
    <n v="3"/>
    <n v="1"/>
    <n v="4"/>
    <n v="28.8"/>
    <s v="Apr"/>
    <d v="2015-04-21T19:31:37"/>
    <x v="18"/>
    <n v="3"/>
    <n v="19"/>
    <m/>
  </r>
  <r>
    <n v="826"/>
    <s v="Virginia"/>
    <s v="20111"/>
    <d v="2015-08-29T10:45:04"/>
    <d v="2015-08-29T10:45:08"/>
    <n v="1"/>
    <n v="12"/>
    <n v="8"/>
    <n v="2"/>
    <n v="1"/>
    <n v="4"/>
    <n v="71.400000000000006"/>
    <s v="Aug"/>
    <d v="2015-08-29T10:45:04"/>
    <x v="26"/>
    <n v="7"/>
    <n v="10"/>
    <m/>
  </r>
  <r>
    <n v="827"/>
    <s v="California"/>
    <s v="90211"/>
    <d v="2015-06-06T17:42:57"/>
    <d v="2015-06-06T17:43:01"/>
    <n v="1"/>
    <n v="0"/>
    <n v="2"/>
    <n v="2"/>
    <n v="1"/>
    <n v="1"/>
    <n v="28.8"/>
    <s v="Jun"/>
    <d v="2015-06-06T17:42:58"/>
    <x v="17"/>
    <n v="7"/>
    <n v="17"/>
    <m/>
  </r>
  <r>
    <n v="828"/>
    <m/>
    <m/>
    <d v="2015-04-17T20:42:22"/>
    <d v="2015-04-17T20:42:27"/>
    <n v="1"/>
    <n v="2"/>
    <n v="20"/>
    <n v="4"/>
    <n v="1"/>
    <n v="5"/>
    <n v="36"/>
    <s v="Apr"/>
    <d v="2015-04-17T20:46:08"/>
    <x v="8"/>
    <n v="6"/>
    <n v="20"/>
    <m/>
  </r>
  <r>
    <n v="829"/>
    <s v="Texas"/>
    <s v="78723"/>
    <d v="2015-08-18T01:25:22"/>
    <d v="2015-08-18T01:25:25"/>
    <n v="1"/>
    <n v="8"/>
    <n v="2"/>
    <n v="2"/>
    <n v="1"/>
    <n v="1"/>
    <n v="29.92"/>
    <s v="Aug"/>
    <d v="2015-08-18T01:25:22"/>
    <x v="9"/>
    <n v="3"/>
    <n v="1"/>
    <m/>
  </r>
  <r>
    <n v="830"/>
    <s v="Virginia"/>
    <s v="22308"/>
    <d v="2015-07-25T18:06:32"/>
    <d v="2015-07-26T12:44:01"/>
    <n v="4"/>
    <n v="14"/>
    <n v="6"/>
    <n v="5"/>
    <n v="1"/>
    <n v="3"/>
    <n v="162.80000000000001"/>
    <s v="Jul"/>
    <d v="2015-07-25T18:06:33"/>
    <x v="3"/>
    <n v="7"/>
    <n v="18"/>
    <m/>
  </r>
  <r>
    <n v="831"/>
    <s v="Massachusetts"/>
    <s v="02184"/>
    <d v="2015-01-17T20:53:40"/>
    <d v="2015-01-30T08:43:44"/>
    <n v="5"/>
    <n v="0"/>
    <n v="14"/>
    <n v="8"/>
    <n v="1"/>
    <n v="7"/>
    <n v="50.4"/>
    <s v="Jan"/>
    <d v="2015-01-17T20:53:42"/>
    <x v="8"/>
    <n v="7"/>
    <n v="20"/>
    <m/>
  </r>
  <r>
    <n v="832"/>
    <s v="Pennsylvania"/>
    <s v="16229"/>
    <d v="2015-09-05T08:57:01"/>
    <d v="2015-09-05T08:57:02"/>
    <n v="1"/>
    <n v="5"/>
    <n v="7"/>
    <n v="5"/>
    <n v="1"/>
    <n v="1"/>
    <n v="29.92"/>
    <s v="Sep"/>
    <d v="2015-09-05T09:21:02"/>
    <x v="2"/>
    <n v="7"/>
    <n v="9"/>
    <m/>
  </r>
  <r>
    <n v="833"/>
    <s v="Colorado"/>
    <s v="81621"/>
    <d v="2015-01-18T23:47:31"/>
    <d v="2015-01-18T23:47:36"/>
    <n v="1"/>
    <n v="0"/>
    <n v="8"/>
    <n v="2"/>
    <n v="1"/>
    <n v="4"/>
    <n v="28.8"/>
    <s v="Jan"/>
    <d v="2015-01-18T23:47:33"/>
    <x v="9"/>
    <n v="1"/>
    <n v="23"/>
    <m/>
  </r>
  <r>
    <n v="834"/>
    <s v="Ohio"/>
    <s v="44118"/>
    <d v="2015-02-07T07:54:29"/>
    <d v="2015-02-08T08:21:35"/>
    <n v="3"/>
    <n v="2"/>
    <n v="10"/>
    <n v="3"/>
    <n v="1"/>
    <n v="4"/>
    <n v="27.2"/>
    <s v="Feb"/>
    <d v="2015-02-07T07:54:31"/>
    <x v="16"/>
    <n v="7"/>
    <n v="7"/>
    <m/>
  </r>
  <r>
    <n v="835"/>
    <s v="Minnesota"/>
    <s v="55317"/>
    <d v="2015-09-05T16:26:58"/>
    <d v="2015-09-05T16:27:09"/>
    <n v="1"/>
    <n v="2"/>
    <n v="2"/>
    <n v="2"/>
    <n v="1"/>
    <n v="1"/>
    <n v="32.64"/>
    <s v="Sep"/>
    <d v="2015-09-05T16:26:58"/>
    <x v="2"/>
    <n v="7"/>
    <n v="16"/>
    <m/>
  </r>
  <r>
    <n v="836"/>
    <s v="Ohio"/>
    <s v="44120"/>
    <d v="2015-06-12T12:56:18"/>
    <d v="2015-06-12T12:56:27"/>
    <n v="1"/>
    <n v="0"/>
    <n v="10"/>
    <n v="3"/>
    <n v="1"/>
    <n v="4"/>
    <n v="27"/>
    <s v="Jun"/>
    <d v="2015-06-12T12:56:24"/>
    <x v="5"/>
    <n v="6"/>
    <n v="12"/>
    <m/>
  </r>
  <r>
    <n v="837"/>
    <s v="Minnesota"/>
    <s v="55106"/>
    <d v="2015-03-07T10:38:12"/>
    <d v="2015-03-07T10:38:16"/>
    <n v="1"/>
    <n v="0"/>
    <n v="6"/>
    <n v="1"/>
    <n v="1"/>
    <n v="2"/>
    <n v="9"/>
    <s v="Mar"/>
    <d v="2015-03-07T10:38:13"/>
    <x v="16"/>
    <n v="7"/>
    <n v="10"/>
    <m/>
  </r>
  <r>
    <n v="838"/>
    <m/>
    <m/>
    <d v="2015-03-15T21:27:41"/>
    <d v="2015-05-13T18:32:33"/>
    <n v="2"/>
    <n v="1"/>
    <n v="2"/>
    <n v="2"/>
    <n v="1"/>
    <n v="2"/>
    <n v="18"/>
    <s v="May"/>
    <d v="2015-05-13T18:36:31"/>
    <x v="20"/>
    <n v="4"/>
    <n v="18"/>
    <m/>
  </r>
  <r>
    <n v="839"/>
    <s v="Florida"/>
    <s v="32955"/>
    <d v="2015-07-15T01:14:53"/>
    <d v="2015-07-14T21:14:54"/>
    <n v="1"/>
    <n v="0"/>
    <n v="4"/>
    <n v="6"/>
    <n v="1"/>
    <n v="2"/>
    <n v="22"/>
    <s v="Jul"/>
    <d v="2015-07-14T21:19:04"/>
    <x v="25"/>
    <n v="3"/>
    <n v="21"/>
    <m/>
  </r>
  <r>
    <n v="840"/>
    <s v="North Carolina"/>
    <s v="28540"/>
    <d v="2015-03-18T13:28:24"/>
    <d v="2015-03-18T15:38:51"/>
    <n v="3"/>
    <n v="0"/>
    <n v="4"/>
    <n v="2"/>
    <n v="1"/>
    <n v="4"/>
    <n v="28.8"/>
    <s v="Mar"/>
    <d v="2015-03-18T13:36:04"/>
    <x v="9"/>
    <n v="4"/>
    <n v="13"/>
    <m/>
  </r>
  <r>
    <n v="841"/>
    <s v="Massachusetts"/>
    <s v="02766"/>
    <d v="2015-07-01T13:27:02"/>
    <d v="2015-07-01T13:27:05"/>
    <n v="1"/>
    <n v="0"/>
    <n v="2"/>
    <n v="2"/>
    <n v="1"/>
    <n v="1"/>
    <n v="28.8"/>
    <s v="Jul"/>
    <d v="2015-07-01T13:27:02"/>
    <x v="6"/>
    <n v="4"/>
    <n v="13"/>
    <m/>
  </r>
  <r>
    <n v="842"/>
    <s v="Colorado"/>
    <s v="81521"/>
    <d v="2015-05-29T13:53:28"/>
    <d v="2015-05-29T13:53:32"/>
    <n v="1"/>
    <n v="0"/>
    <n v="2"/>
    <n v="2"/>
    <n v="1"/>
    <n v="1"/>
    <n v="28.8"/>
    <s v="May"/>
    <d v="2015-05-29T13:53:29"/>
    <x v="26"/>
    <n v="6"/>
    <n v="13"/>
    <m/>
  </r>
  <r>
    <n v="843"/>
    <m/>
    <m/>
    <d v="2015-04-16T18:53:48"/>
    <d v="2015-04-16T18:53:52"/>
    <n v="1"/>
    <n v="0"/>
    <n v="8"/>
    <n v="3"/>
    <n v="1"/>
    <n v="4"/>
    <n v="28.8"/>
    <s v="Apr"/>
    <d v="2015-04-16T18:56:33"/>
    <x v="22"/>
    <n v="5"/>
    <n v="18"/>
    <m/>
  </r>
  <r>
    <n v="844"/>
    <s v="New York"/>
    <s v="11226"/>
    <d v="2015-01-18T01:06:04"/>
    <d v="2015-01-18T01:06:09"/>
    <n v="1"/>
    <n v="0"/>
    <n v="4"/>
    <n v="2"/>
    <n v="1"/>
    <n v="2"/>
    <n v="9"/>
    <s v="Jan"/>
    <d v="2015-01-18T01:06:06"/>
    <x v="9"/>
    <n v="1"/>
    <n v="1"/>
    <m/>
  </r>
  <r>
    <n v="845"/>
    <m/>
    <m/>
    <d v="2015-01-19T19:16:05"/>
    <d v="2015-01-19T19:16:10"/>
    <n v="1"/>
    <n v="0"/>
    <n v="6"/>
    <n v="5"/>
    <n v="1"/>
    <n v="2"/>
    <n v="14.4"/>
    <s v="Jan"/>
    <d v="2015-01-19T19:18:19"/>
    <x v="19"/>
    <n v="2"/>
    <n v="19"/>
    <m/>
  </r>
  <r>
    <n v="846"/>
    <s v="Washington"/>
    <s v="98444"/>
    <d v="2015-04-01T18:05:51"/>
    <d v="2015-04-01T18:05:55"/>
    <n v="1"/>
    <n v="0"/>
    <n v="7"/>
    <n v="7"/>
    <n v="1"/>
    <n v="4"/>
    <n v="28.8"/>
    <s v="Apr"/>
    <d v="2015-04-01T18:27:53"/>
    <x v="6"/>
    <n v="4"/>
    <n v="18"/>
    <m/>
  </r>
  <r>
    <n v="848"/>
    <s v="Wisconsin"/>
    <s v="53114"/>
    <d v="2015-06-03T22:03:06"/>
    <d v="2015-06-03T22:03:09"/>
    <n v="1"/>
    <n v="0"/>
    <n v="2"/>
    <n v="2"/>
    <n v="1"/>
    <n v="4"/>
    <n v="36"/>
    <s v="Jun"/>
    <d v="2015-06-03T22:03:07"/>
    <x v="23"/>
    <n v="4"/>
    <n v="22"/>
    <m/>
  </r>
  <r>
    <n v="849"/>
    <s v="Ohio"/>
    <s v="44805"/>
    <d v="2015-06-15T10:16:24"/>
    <d v="2015-06-15T10:16:29"/>
    <n v="1"/>
    <n v="2"/>
    <n v="8"/>
    <n v="2"/>
    <n v="1"/>
    <n v="7"/>
    <n v="72"/>
    <s v="Jun"/>
    <d v="2015-06-15T10:16:25"/>
    <x v="0"/>
    <n v="2"/>
    <n v="10"/>
    <m/>
  </r>
  <r>
    <n v="850"/>
    <m/>
    <m/>
    <d v="2015-09-11T12:24:41"/>
    <d v="2015-09-11T12:24:41"/>
    <n v="1"/>
    <n v="3"/>
    <n v="2"/>
    <n v="1"/>
    <n v="1"/>
    <n v="4"/>
    <n v="44"/>
    <s v="Sep"/>
    <d v="2015-09-11T12:29:59"/>
    <x v="12"/>
    <n v="6"/>
    <n v="12"/>
    <m/>
  </r>
  <r>
    <n v="851"/>
    <s v="Ohio"/>
    <s v="43206"/>
    <d v="2015-04-06T13:43:58"/>
    <d v="2015-04-06T13:44:04"/>
    <n v="1"/>
    <n v="0"/>
    <n v="14"/>
    <n v="1"/>
    <n v="1"/>
    <n v="4"/>
    <n v="27"/>
    <s v="Apr"/>
    <d v="2015-04-06T13:43:59"/>
    <x v="17"/>
    <n v="2"/>
    <n v="13"/>
    <m/>
  </r>
  <r>
    <n v="852"/>
    <s v="California"/>
    <s v="95683"/>
    <d v="2015-07-20T19:11:34"/>
    <d v="2015-07-20T15:11:41"/>
    <n v="1"/>
    <n v="2"/>
    <n v="2"/>
    <n v="2"/>
    <n v="1"/>
    <n v="2"/>
    <n v="22"/>
    <s v="Jul"/>
    <d v="2015-07-20T15:11:36"/>
    <x v="15"/>
    <n v="2"/>
    <n v="15"/>
    <m/>
  </r>
  <r>
    <n v="854"/>
    <m/>
    <m/>
    <d v="2015-09-13T18:06:37"/>
    <d v="2015-09-13T18:06:38"/>
    <n v="1"/>
    <n v="10"/>
    <n v="4"/>
    <n v="2"/>
    <n v="1"/>
    <n v="2"/>
    <n v="59.84"/>
    <s v="Sep"/>
    <d v="2015-09-13T18:08:52"/>
    <x v="20"/>
    <n v="1"/>
    <n v="18"/>
    <m/>
  </r>
  <r>
    <n v="855"/>
    <s v="Maryland"/>
    <s v="21771"/>
    <d v="2015-07-08T02:27:41"/>
    <d v="2015-07-07T22:27:47"/>
    <n v="1"/>
    <n v="2"/>
    <n v="2"/>
    <n v="2"/>
    <n v="1"/>
    <n v="1"/>
    <n v="54"/>
    <s v="Jul"/>
    <d v="2015-07-07T22:27:42"/>
    <x v="16"/>
    <n v="3"/>
    <n v="22"/>
    <m/>
  </r>
  <r>
    <n v="856"/>
    <s v="Wisconsin"/>
    <s v="53095"/>
    <d v="2015-08-24T19:55:00"/>
    <d v="2015-08-24T15:55:05"/>
    <n v="1"/>
    <n v="4"/>
    <n v="8"/>
    <n v="2"/>
    <n v="1"/>
    <n v="4"/>
    <n v="35.200000000000003"/>
    <s v="Aug"/>
    <d v="2015-08-24T15:55:00"/>
    <x v="11"/>
    <n v="2"/>
    <n v="15"/>
    <m/>
  </r>
  <r>
    <n v="857"/>
    <s v="New York"/>
    <s v="10509"/>
    <d v="2015-05-09T10:03:09"/>
    <d v="2015-05-09T10:03:13"/>
    <n v="1"/>
    <n v="8"/>
    <n v="8"/>
    <n v="2"/>
    <n v="1"/>
    <n v="4"/>
    <n v="28.8"/>
    <s v="May"/>
    <d v="2015-05-09T10:03:09"/>
    <x v="21"/>
    <n v="7"/>
    <n v="10"/>
    <m/>
  </r>
  <r>
    <n v="858"/>
    <s v="Texas"/>
    <s v="76227"/>
    <d v="2015-02-28T11:50:43"/>
    <d v="2015-02-28T11:50:48"/>
    <n v="1"/>
    <n v="0"/>
    <n v="2"/>
    <n v="1"/>
    <n v="1"/>
    <n v="1"/>
    <n v="57.6"/>
    <s v="Feb"/>
    <d v="2015-02-28T11:50:44"/>
    <x v="4"/>
    <n v="7"/>
    <n v="11"/>
    <m/>
  </r>
  <r>
    <n v="860"/>
    <s v="New York"/>
    <s v="10028"/>
    <d v="2015-01-21T11:41:19"/>
    <d v="2015-01-21T11:41:22"/>
    <n v="1"/>
    <n v="0"/>
    <n v="4"/>
    <n v="2"/>
    <n v="1"/>
    <n v="2"/>
    <n v="18"/>
    <s v="Jan"/>
    <d v="2015-01-21T11:41:20"/>
    <x v="18"/>
    <n v="4"/>
    <n v="11"/>
    <m/>
  </r>
  <r>
    <n v="861"/>
    <s v="Utah"/>
    <s v="84098"/>
    <d v="2015-07-19T23:50:22"/>
    <d v="2015-07-19T19:50:28"/>
    <n v="1"/>
    <n v="8"/>
    <n v="8"/>
    <n v="3"/>
    <n v="1"/>
    <n v="2"/>
    <n v="38.72"/>
    <s v="Jul"/>
    <d v="2015-07-19T19:50:23"/>
    <x v="19"/>
    <n v="1"/>
    <n v="19"/>
    <m/>
  </r>
  <r>
    <n v="862"/>
    <s v="Virginia"/>
    <s v="22314"/>
    <d v="2015-07-23T11:24:52"/>
    <d v="2015-07-23T11:24:55"/>
    <n v="1"/>
    <n v="4"/>
    <n v="8"/>
    <n v="4"/>
    <n v="1"/>
    <n v="3"/>
    <n v="33"/>
    <s v="Jul"/>
    <d v="2015-07-23T11:24:52"/>
    <x v="10"/>
    <n v="5"/>
    <n v="11"/>
    <m/>
  </r>
  <r>
    <n v="863"/>
    <s v="Michigan"/>
    <s v="48144"/>
    <d v="2015-04-24T23:40:43"/>
    <d v="2015-04-24T23:40:48"/>
    <n v="1"/>
    <n v="2"/>
    <n v="8"/>
    <n v="1"/>
    <n v="1"/>
    <n v="3"/>
    <n v="27"/>
    <s v="Apr"/>
    <d v="2015-04-24T23:40:44"/>
    <x v="11"/>
    <n v="6"/>
    <n v="23"/>
    <m/>
  </r>
  <r>
    <n v="864"/>
    <s v="Indiana"/>
    <s v="47802"/>
    <d v="2015-04-21T10:02:57"/>
    <d v="2015-04-21T10:03:02"/>
    <n v="1"/>
    <n v="6"/>
    <n v="10"/>
    <n v="1"/>
    <n v="1"/>
    <n v="4"/>
    <n v="27.2"/>
    <s v="Apr"/>
    <d v="2015-04-21T10:02:58"/>
    <x v="18"/>
    <n v="3"/>
    <n v="10"/>
    <m/>
  </r>
  <r>
    <n v="865"/>
    <s v="New Jersey"/>
    <s v="08051"/>
    <d v="2015-06-04T01:35:16"/>
    <d v="2015-06-03T21:35:19"/>
    <n v="1"/>
    <n v="8"/>
    <n v="22"/>
    <n v="2"/>
    <n v="1"/>
    <n v="12"/>
    <n v="108"/>
    <s v="Jun"/>
    <d v="2015-06-03T21:38:03"/>
    <x v="23"/>
    <n v="4"/>
    <n v="21"/>
    <m/>
  </r>
  <r>
    <n v="866"/>
    <s v="New Jersey"/>
    <s v="08857"/>
    <d v="2015-05-09T11:02:19"/>
    <d v="2015-05-09T11:02:23"/>
    <n v="1"/>
    <n v="0"/>
    <n v="2"/>
    <n v="2"/>
    <n v="1"/>
    <n v="1"/>
    <n v="28.8"/>
    <s v="May"/>
    <d v="2015-05-09T11:02:20"/>
    <x v="21"/>
    <n v="7"/>
    <n v="11"/>
    <m/>
  </r>
  <r>
    <n v="867"/>
    <s v="Idaho"/>
    <s v="83672"/>
    <d v="2015-09-07T11:27:03"/>
    <d v="2015-09-07T22:28:08"/>
    <n v="2"/>
    <n v="8"/>
    <n v="14"/>
    <n v="7"/>
    <n v="1"/>
    <n v="4"/>
    <n v="119.68"/>
    <s v="Sep"/>
    <d v="2015-09-07T11:30:00"/>
    <x v="16"/>
    <n v="2"/>
    <n v="11"/>
    <m/>
  </r>
  <r>
    <n v="868"/>
    <s v="Texas"/>
    <s v="76107"/>
    <d v="2015-09-24T19:39:51"/>
    <d v="2015-09-24T19:39:54"/>
    <n v="1"/>
    <n v="1"/>
    <n v="4"/>
    <n v="4"/>
    <n v="1"/>
    <n v="2"/>
    <n v="22"/>
    <s v="Sep"/>
    <d v="2015-09-24T19:39:51"/>
    <x v="11"/>
    <n v="5"/>
    <n v="19"/>
    <m/>
  </r>
  <r>
    <n v="869"/>
    <s v="Pennsylvania"/>
    <s v="17109"/>
    <d v="2015-01-15T14:07:32"/>
    <d v="2015-01-15T17:11:40"/>
    <n v="3"/>
    <n v="2"/>
    <n v="4"/>
    <n v="2"/>
    <n v="1"/>
    <n v="2"/>
    <n v="18"/>
    <s v="Jan"/>
    <d v="2015-01-15T14:07:35"/>
    <x v="0"/>
    <n v="5"/>
    <n v="14"/>
    <m/>
  </r>
  <r>
    <n v="870"/>
    <s v="Florida"/>
    <s v="32812"/>
    <d v="2015-09-03T14:23:55"/>
    <d v="2015-09-03T14:23:59"/>
    <n v="1"/>
    <n v="8"/>
    <n v="4"/>
    <n v="2"/>
    <n v="1"/>
    <n v="2"/>
    <n v="51.68"/>
    <s v="Sep"/>
    <d v="2015-09-03T14:23:56"/>
    <x v="23"/>
    <n v="5"/>
    <n v="14"/>
    <m/>
  </r>
  <r>
    <n v="871"/>
    <s v="Colorado"/>
    <s v="80525"/>
    <d v="2015-03-17T19:56:06"/>
    <d v="2015-03-17T19:56:11"/>
    <n v="1"/>
    <n v="1"/>
    <n v="8"/>
    <n v="1"/>
    <n v="1"/>
    <n v="4"/>
    <n v="28.8"/>
    <s v="Mar"/>
    <d v="2015-03-17T19:56:07"/>
    <x v="8"/>
    <n v="3"/>
    <n v="19"/>
    <m/>
  </r>
  <r>
    <n v="872"/>
    <s v="California"/>
    <s v="94521"/>
    <d v="2015-06-05T16:34:37"/>
    <d v="2015-06-05T16:34:40"/>
    <n v="1"/>
    <n v="6"/>
    <n v="4"/>
    <n v="2"/>
    <n v="1"/>
    <n v="3"/>
    <n v="21.6"/>
    <s v="Jun"/>
    <d v="2015-06-05T16:34:37"/>
    <x v="2"/>
    <n v="6"/>
    <n v="16"/>
    <m/>
  </r>
  <r>
    <n v="873"/>
    <s v="New Mexico"/>
    <s v="88201"/>
    <d v="2015-02-25T20:27:13"/>
    <d v="2015-02-25T20:27:20"/>
    <n v="1"/>
    <n v="0"/>
    <n v="2"/>
    <n v="1"/>
    <n v="1"/>
    <n v="1"/>
    <n v="28.8"/>
    <s v="Feb"/>
    <d v="2015-02-25T20:27:17"/>
    <x v="3"/>
    <n v="4"/>
    <n v="20"/>
    <m/>
  </r>
  <r>
    <n v="874"/>
    <s v="Louisiana"/>
    <s v="70447"/>
    <d v="2015-09-15T19:01:16"/>
    <d v="2015-09-15T19:01:20"/>
    <n v="1"/>
    <n v="2"/>
    <n v="4"/>
    <n v="4"/>
    <n v="1"/>
    <n v="2"/>
    <n v="59.84"/>
    <s v="Sep"/>
    <d v="2015-09-15T19:01:17"/>
    <x v="0"/>
    <n v="3"/>
    <n v="19"/>
    <m/>
  </r>
  <r>
    <n v="875"/>
    <s v="Ohio"/>
    <s v="44514"/>
    <d v="2015-02-08T11:11:10"/>
    <d v="2015-02-08T11:11:16"/>
    <n v="1"/>
    <n v="0"/>
    <n v="2"/>
    <n v="1"/>
    <n v="1"/>
    <n v="1"/>
    <n v="36"/>
    <s v="Feb"/>
    <d v="2015-02-08T11:11:12"/>
    <x v="29"/>
    <n v="1"/>
    <n v="11"/>
    <m/>
  </r>
  <r>
    <n v="876"/>
    <s v="Rhode Island"/>
    <s v="02904"/>
    <d v="2015-03-09T11:16:45"/>
    <d v="2015-03-09T11:16:50"/>
    <n v="1"/>
    <n v="2"/>
    <n v="8"/>
    <n v="2"/>
    <n v="1"/>
    <n v="4"/>
    <n v="28.8"/>
    <s v="Mar"/>
    <d v="2015-03-09T11:16:47"/>
    <x v="21"/>
    <n v="2"/>
    <n v="11"/>
    <m/>
  </r>
  <r>
    <n v="877"/>
    <s v="Texas"/>
    <s v="78656"/>
    <d v="2015-05-22T21:48:36"/>
    <d v="2015-05-22T21:48:40"/>
    <n v="1"/>
    <n v="2"/>
    <n v="2"/>
    <n v="2"/>
    <n v="1"/>
    <n v="1"/>
    <n v="28.8"/>
    <s v="May"/>
    <d v="2015-05-22T21:48:37"/>
    <x v="1"/>
    <n v="6"/>
    <n v="21"/>
    <m/>
  </r>
  <r>
    <n v="878"/>
    <s v="Washington"/>
    <s v="98166"/>
    <d v="2015-02-03T15:49:34"/>
    <d v="2015-02-03T15:49:39"/>
    <n v="1"/>
    <n v="0"/>
    <n v="2"/>
    <n v="1"/>
    <n v="1"/>
    <n v="2"/>
    <n v="18"/>
    <s v="Feb"/>
    <d v="2015-02-03T15:49:36"/>
    <x v="23"/>
    <n v="3"/>
    <n v="15"/>
    <m/>
  </r>
  <r>
    <n v="879"/>
    <s v="New York"/>
    <s v="10023"/>
    <d v="2015-01-16T23:27:00"/>
    <d v="2015-01-16T23:27:09"/>
    <n v="1"/>
    <n v="0"/>
    <n v="8"/>
    <n v="2"/>
    <n v="1"/>
    <n v="3"/>
    <n v="24"/>
    <s v="Jan"/>
    <d v="2015-01-16T23:27:02"/>
    <x v="22"/>
    <n v="6"/>
    <n v="23"/>
    <m/>
  </r>
  <r>
    <n v="880"/>
    <s v="Florida"/>
    <s v="33496"/>
    <d v="2015-06-25T08:43:28"/>
    <d v="2015-06-25T08:43:32"/>
    <n v="1"/>
    <n v="4"/>
    <n v="6"/>
    <n v="2"/>
    <n v="1"/>
    <n v="1"/>
    <n v="28.8"/>
    <s v="Jun"/>
    <d v="2015-06-25T08:43:29"/>
    <x v="3"/>
    <n v="5"/>
    <n v="8"/>
    <m/>
  </r>
  <r>
    <n v="881"/>
    <s v="Texas"/>
    <s v="75007"/>
    <d v="2015-03-17T08:00:39"/>
    <d v="2015-03-17T08:00:45"/>
    <n v="1"/>
    <n v="2"/>
    <n v="6"/>
    <n v="1"/>
    <n v="1"/>
    <n v="5"/>
    <n v="36"/>
    <s v="Mar"/>
    <d v="2015-03-17T08:00:40"/>
    <x v="8"/>
    <n v="3"/>
    <n v="8"/>
    <m/>
  </r>
  <r>
    <n v="882"/>
    <m/>
    <m/>
    <d v="2015-09-22T11:25:46"/>
    <d v="2015-09-22T11:25:47"/>
    <n v="1"/>
    <n v="4"/>
    <n v="4"/>
    <n v="5"/>
    <n v="1"/>
    <n v="1"/>
    <n v="37.4"/>
    <s v="Sep"/>
    <d v="2015-09-22T11:32:35"/>
    <x v="1"/>
    <n v="3"/>
    <n v="11"/>
    <m/>
  </r>
  <r>
    <n v="883"/>
    <s v="Florida"/>
    <s v="32134"/>
    <d v="2015-06-03T13:54:09"/>
    <d v="2015-06-03T13:54:12"/>
    <n v="1"/>
    <n v="0"/>
    <n v="2"/>
    <n v="2"/>
    <n v="1"/>
    <n v="1"/>
    <n v="28.8"/>
    <s v="Jun"/>
    <d v="2015-06-03T13:54:10"/>
    <x v="23"/>
    <n v="4"/>
    <n v="13"/>
    <m/>
  </r>
  <r>
    <n v="884"/>
    <m/>
    <m/>
    <d v="2015-05-19T18:23:43"/>
    <d v="2015-05-19T14:23:45"/>
    <n v="1"/>
    <n v="2"/>
    <n v="2"/>
    <n v="2"/>
    <n v="1"/>
    <n v="2"/>
    <n v="18"/>
    <s v="May"/>
    <d v="2015-05-19T14:26:49"/>
    <x v="19"/>
    <n v="3"/>
    <n v="14"/>
    <m/>
  </r>
  <r>
    <n v="885"/>
    <s v="Massachusetts"/>
    <s v="02421"/>
    <d v="2015-04-13T23:40:45"/>
    <d v="2015-04-13T23:40:52"/>
    <n v="1"/>
    <n v="4"/>
    <n v="10"/>
    <n v="1"/>
    <n v="1"/>
    <n v="4"/>
    <n v="28.8"/>
    <s v="Apr"/>
    <d v="2015-04-13T23:40:46"/>
    <x v="20"/>
    <n v="2"/>
    <n v="23"/>
    <m/>
  </r>
  <r>
    <n v="887"/>
    <s v="New York"/>
    <s v="11743"/>
    <d v="2015-08-09T15:06:30"/>
    <d v="2015-08-09T11:06:34"/>
    <n v="1"/>
    <n v="2"/>
    <n v="2"/>
    <n v="2"/>
    <n v="1"/>
    <n v="1"/>
    <n v="11"/>
    <s v="Aug"/>
    <d v="2015-08-09T11:06:30"/>
    <x v="21"/>
    <n v="1"/>
    <n v="11"/>
    <m/>
  </r>
  <r>
    <n v="888"/>
    <s v="Michigan"/>
    <s v="49093"/>
    <d v="2015-04-13T09:07:50"/>
    <d v="2015-04-13T09:07:55"/>
    <n v="1"/>
    <n v="0"/>
    <n v="4"/>
    <n v="1"/>
    <n v="1"/>
    <n v="2"/>
    <n v="18"/>
    <s v="Apr"/>
    <d v="2015-04-13T09:07:51"/>
    <x v="20"/>
    <n v="2"/>
    <n v="9"/>
    <m/>
  </r>
  <r>
    <n v="889"/>
    <s v="Texas"/>
    <s v="78731"/>
    <d v="2015-09-01T22:41:05"/>
    <d v="2015-09-01T22:41:09"/>
    <n v="1"/>
    <n v="2"/>
    <n v="2"/>
    <n v="2"/>
    <n v="1"/>
    <n v="2"/>
    <n v="59.84"/>
    <s v="Sep"/>
    <d v="2015-09-01T22:41:05"/>
    <x v="6"/>
    <n v="3"/>
    <n v="22"/>
    <m/>
  </r>
  <r>
    <n v="890"/>
    <s v="California"/>
    <s v="92679"/>
    <d v="2015-08-10T20:16:14"/>
    <d v="2015-08-10T16:16:15"/>
    <n v="1"/>
    <n v="2"/>
    <n v="2"/>
    <n v="1"/>
    <n v="1"/>
    <n v="1"/>
    <n v="32.64"/>
    <s v="Aug"/>
    <d v="2015-08-10T16:32:55"/>
    <x v="7"/>
    <n v="2"/>
    <n v="16"/>
    <m/>
  </r>
  <r>
    <n v="891"/>
    <s v="Connecticut"/>
    <s v="06905"/>
    <d v="2015-03-28T19:12:31"/>
    <d v="2015-03-28T19:12:36"/>
    <n v="1"/>
    <n v="4"/>
    <n v="22"/>
    <n v="6"/>
    <n v="1"/>
    <n v="9"/>
    <n v="64.8"/>
    <s v="Mar"/>
    <d v="2015-03-28T19:12:32"/>
    <x v="4"/>
    <n v="7"/>
    <n v="19"/>
    <m/>
  </r>
  <r>
    <n v="893"/>
    <s v="Tennessee"/>
    <s v="37343"/>
    <d v="2015-07-15T12:47:36"/>
    <d v="2015-07-15T12:47:43"/>
    <n v="1"/>
    <n v="2"/>
    <n v="4"/>
    <n v="3"/>
    <n v="1"/>
    <n v="2"/>
    <n v="65.28"/>
    <s v="Jul"/>
    <d v="2015-07-15T12:47:36"/>
    <x v="0"/>
    <n v="4"/>
    <n v="12"/>
    <m/>
  </r>
  <r>
    <n v="894"/>
    <m/>
    <m/>
    <d v="2015-07-26T15:13:13"/>
    <d v="2015-07-27T09:53:35"/>
    <n v="2"/>
    <n v="5"/>
    <n v="6"/>
    <n v="4"/>
    <n v="1"/>
    <n v="2"/>
    <n v="22"/>
    <s v="Jul"/>
    <d v="2015-07-26T11:14:32"/>
    <x v="27"/>
    <n v="1"/>
    <n v="11"/>
    <m/>
  </r>
  <r>
    <n v="895"/>
    <s v="California"/>
    <s v="90025"/>
    <d v="2015-02-23T00:09:58"/>
    <d v="2015-02-23T00:10:03"/>
    <n v="1"/>
    <n v="4"/>
    <n v="2"/>
    <n v="1"/>
    <n v="1"/>
    <n v="1"/>
    <n v="115.2"/>
    <s v="Feb"/>
    <d v="2015-02-23T00:09:59"/>
    <x v="10"/>
    <n v="2"/>
    <n v="0"/>
    <m/>
  </r>
  <r>
    <n v="896"/>
    <s v="New Jersey"/>
    <s v="08016"/>
    <d v="2015-05-15T00:47:52"/>
    <d v="2015-05-15T00:48:03"/>
    <n v="1"/>
    <n v="6"/>
    <n v="8"/>
    <n v="4"/>
    <n v="1"/>
    <n v="2"/>
    <n v="36"/>
    <s v="May"/>
    <d v="2015-05-15T00:47:53"/>
    <x v="0"/>
    <n v="6"/>
    <n v="0"/>
    <m/>
  </r>
  <r>
    <n v="897"/>
    <s v="North Carolina"/>
    <s v="27804"/>
    <d v="2015-07-07T21:31:57"/>
    <d v="2015-07-07T17:32:01"/>
    <n v="1"/>
    <n v="2"/>
    <n v="2"/>
    <n v="3"/>
    <n v="1"/>
    <n v="1"/>
    <n v="6.75"/>
    <s v="Jul"/>
    <d v="2015-07-07T17:31:58"/>
    <x v="16"/>
    <n v="3"/>
    <n v="17"/>
    <m/>
  </r>
  <r>
    <n v="898"/>
    <s v="California"/>
    <s v="90630"/>
    <d v="2015-08-22T11:12:37"/>
    <d v="2015-08-27T11:23:32"/>
    <n v="3"/>
    <n v="0"/>
    <n v="2"/>
    <n v="4"/>
    <n v="1"/>
    <n v="1"/>
    <n v="29.92"/>
    <s v="Aug"/>
    <d v="2015-08-22T11:12:37"/>
    <x v="1"/>
    <n v="7"/>
    <n v="11"/>
    <m/>
  </r>
  <r>
    <n v="900"/>
    <s v="New Jersey"/>
    <s v="07030"/>
    <d v="2015-09-01T14:38:39"/>
    <d v="2015-09-01T14:38:43"/>
    <n v="1"/>
    <n v="6"/>
    <n v="8"/>
    <n v="2"/>
    <n v="1"/>
    <n v="4"/>
    <n v="35.200000000000003"/>
    <s v="Sep"/>
    <d v="2015-09-01T14:38:39"/>
    <x v="6"/>
    <n v="3"/>
    <n v="14"/>
    <m/>
  </r>
  <r>
    <n v="901"/>
    <s v="Michigan"/>
    <s v="48103"/>
    <d v="2015-07-29T17:28:57"/>
    <d v="2015-07-29T17:29:01"/>
    <n v="1"/>
    <n v="2"/>
    <n v="6"/>
    <n v="2"/>
    <n v="1"/>
    <n v="3"/>
    <n v="89.76"/>
    <s v="Jul"/>
    <d v="2015-07-29T17:28:57"/>
    <x v="26"/>
    <n v="4"/>
    <n v="17"/>
    <m/>
  </r>
  <r>
    <n v="902"/>
    <s v="New York"/>
    <s v="10022"/>
    <d v="2015-06-24T23:36:45"/>
    <d v="2015-06-24T23:36:53"/>
    <n v="1"/>
    <n v="2"/>
    <n v="4"/>
    <n v="2"/>
    <n v="1"/>
    <n v="1"/>
    <n v="36"/>
    <s v="Jun"/>
    <d v="2015-06-24T23:36:46"/>
    <x v="11"/>
    <n v="4"/>
    <n v="23"/>
    <m/>
  </r>
  <r>
    <n v="903"/>
    <s v="California"/>
    <s v="90732"/>
    <d v="2015-08-21T05:43:25"/>
    <d v="2015-08-21T01:43:26"/>
    <n v="1"/>
    <n v="1"/>
    <n v="3"/>
    <n v="1"/>
    <n v="1"/>
    <n v="3"/>
    <n v="168.96"/>
    <s v="Aug"/>
    <d v="2015-08-21T02:00:31"/>
    <x v="18"/>
    <n v="6"/>
    <n v="2"/>
    <m/>
  </r>
  <r>
    <n v="904"/>
    <s v="New York"/>
    <s v="10528"/>
    <d v="2015-07-22T15:15:33"/>
    <d v="2015-07-23T08:52:51"/>
    <n v="2"/>
    <n v="5"/>
    <n v="13"/>
    <n v="8"/>
    <n v="2"/>
    <n v="12"/>
    <n v="79"/>
    <s v="Jul"/>
    <d v="2015-07-22T11:17:33"/>
    <x v="1"/>
    <n v="4"/>
    <n v="11"/>
    <m/>
  </r>
  <r>
    <n v="905"/>
    <s v="Texas"/>
    <s v="78744"/>
    <d v="2015-05-09T22:40:15"/>
    <d v="2015-05-09T22:40:19"/>
    <n v="1"/>
    <n v="4"/>
    <n v="8"/>
    <n v="5"/>
    <n v="1"/>
    <n v="5"/>
    <n v="144"/>
    <s v="May"/>
    <d v="2015-05-09T22:40:16"/>
    <x v="21"/>
    <n v="7"/>
    <n v="22"/>
    <m/>
  </r>
  <r>
    <n v="906"/>
    <s v="California"/>
    <s v="90404"/>
    <d v="2015-01-07T03:03:41"/>
    <d v="2015-01-07T03:04:17"/>
    <n v="2"/>
    <n v="2"/>
    <n v="14"/>
    <n v="3"/>
    <n v="1"/>
    <n v="6"/>
    <n v="43.2"/>
    <s v="Jan"/>
    <d v="2015-01-07T03:03:43"/>
    <x v="16"/>
    <n v="4"/>
    <n v="3"/>
    <m/>
  </r>
  <r>
    <n v="907"/>
    <s v="Georgia"/>
    <s v="30461"/>
    <d v="2015-04-28T11:47:22"/>
    <d v="2015-04-28T11:47:26"/>
    <n v="1"/>
    <n v="4"/>
    <n v="8"/>
    <n v="1"/>
    <n v="1"/>
    <n v="4"/>
    <n v="28.8"/>
    <s v="Apr"/>
    <d v="2015-04-28T11:47:23"/>
    <x v="4"/>
    <n v="3"/>
    <n v="11"/>
    <m/>
  </r>
  <r>
    <n v="908"/>
    <s v="Minnesota"/>
    <s v="55360"/>
    <d v="2015-09-06T12:26:20"/>
    <d v="2015-09-06T12:26:23"/>
    <n v="1"/>
    <n v="4"/>
    <n v="2"/>
    <n v="2"/>
    <n v="1"/>
    <n v="2"/>
    <n v="22"/>
    <s v="Sep"/>
    <d v="2015-09-06T12:26:20"/>
    <x v="17"/>
    <n v="1"/>
    <n v="12"/>
    <m/>
  </r>
  <r>
    <n v="909"/>
    <m/>
    <m/>
    <d v="2015-04-01T14:04:41"/>
    <d v="2015-04-01T14:04:45"/>
    <n v="1"/>
    <n v="2"/>
    <n v="4"/>
    <n v="2"/>
    <n v="1"/>
    <n v="2"/>
    <n v="45"/>
    <s v="Apr"/>
    <d v="2015-04-01T14:07:26"/>
    <x v="6"/>
    <n v="4"/>
    <n v="14"/>
    <m/>
  </r>
  <r>
    <n v="910"/>
    <s v="California"/>
    <s v="92122"/>
    <d v="2015-03-30T22:15:33"/>
    <d v="2015-03-30T22:15:37"/>
    <n v="1"/>
    <n v="2"/>
    <n v="2"/>
    <n v="1"/>
    <n v="1"/>
    <n v="1"/>
    <n v="115.2"/>
    <s v="Mar"/>
    <d v="2015-03-30T22:15:33"/>
    <x v="13"/>
    <n v="2"/>
    <n v="22"/>
    <m/>
  </r>
  <r>
    <n v="911"/>
    <s v="New Hampshire"/>
    <s v="03303"/>
    <d v="2015-09-05T15:28:25"/>
    <d v="2015-09-05T11:28:30"/>
    <n v="1"/>
    <n v="0"/>
    <n v="2"/>
    <n v="2"/>
    <n v="1"/>
    <n v="1"/>
    <n v="28.05"/>
    <s v="Sep"/>
    <d v="2015-09-05T11:28:26"/>
    <x v="2"/>
    <n v="7"/>
    <n v="11"/>
    <m/>
  </r>
  <r>
    <n v="912"/>
    <s v="New York"/>
    <s v="13104"/>
    <d v="2015-09-19T15:18:06"/>
    <d v="2015-09-19T15:18:16"/>
    <n v="1"/>
    <n v="2"/>
    <n v="4"/>
    <n v="2"/>
    <n v="1"/>
    <n v="1"/>
    <n v="70.400000000000006"/>
    <s v="Sep"/>
    <d v="2015-09-19T15:18:06"/>
    <x v="19"/>
    <n v="7"/>
    <n v="15"/>
    <m/>
  </r>
  <r>
    <n v="913"/>
    <s v="Georgia"/>
    <s v="30338"/>
    <d v="2015-09-08T22:56:56"/>
    <d v="2015-09-09T15:52:13"/>
    <n v="5"/>
    <n v="6"/>
    <n v="4"/>
    <n v="2"/>
    <n v="1"/>
    <n v="6"/>
    <n v="52.8"/>
    <s v="Sep"/>
    <d v="2015-09-08T22:56:56"/>
    <x v="29"/>
    <n v="3"/>
    <n v="22"/>
    <m/>
  </r>
  <r>
    <n v="914"/>
    <s v="Pennsylvania"/>
    <s v="19146"/>
    <d v="2015-06-12T13:47:11"/>
    <d v="2015-06-14T23:05:13"/>
    <n v="3"/>
    <n v="4"/>
    <n v="4"/>
    <n v="3"/>
    <n v="1"/>
    <n v="2"/>
    <n v="21"/>
    <s v="Jun"/>
    <d v="2015-06-12T13:47:12"/>
    <x v="5"/>
    <n v="6"/>
    <n v="13"/>
    <m/>
  </r>
  <r>
    <n v="915"/>
    <s v="Tennessee"/>
    <s v="37932"/>
    <d v="2015-06-10T18:36:05"/>
    <d v="2015-06-10T14:36:11"/>
    <n v="1"/>
    <n v="6"/>
    <n v="8"/>
    <n v="4"/>
    <n v="1"/>
    <n v="4"/>
    <n v="28.8"/>
    <s v="Jun"/>
    <d v="2015-06-10T14:36:08"/>
    <x v="7"/>
    <n v="4"/>
    <n v="14"/>
    <m/>
  </r>
  <r>
    <n v="916"/>
    <s v="Ohio"/>
    <s v="45213"/>
    <d v="2015-02-04T16:57:27"/>
    <d v="2015-02-04T16:57:34"/>
    <n v="1"/>
    <n v="2"/>
    <n v="2"/>
    <n v="1"/>
    <n v="1"/>
    <n v="1"/>
    <n v="28.8"/>
    <s v="Feb"/>
    <d v="2015-02-04T16:57:30"/>
    <x v="24"/>
    <n v="4"/>
    <n v="16"/>
    <m/>
  </r>
  <r>
    <n v="917"/>
    <s v="Arizona"/>
    <s v="85226"/>
    <d v="2015-04-12T22:46:52"/>
    <d v="2015-04-12T22:46:58"/>
    <n v="1"/>
    <n v="2"/>
    <n v="4"/>
    <n v="1"/>
    <n v="1"/>
    <n v="4"/>
    <n v="28.8"/>
    <s v="Apr"/>
    <d v="2015-04-12T22:46:53"/>
    <x v="5"/>
    <n v="1"/>
    <n v="22"/>
    <m/>
  </r>
  <r>
    <n v="918"/>
    <s v="Kentucky"/>
    <s v="42431"/>
    <d v="2015-06-09T12:19:24"/>
    <d v="2015-06-09T12:19:28"/>
    <n v="1"/>
    <n v="0"/>
    <n v="8"/>
    <n v="2"/>
    <n v="1"/>
    <n v="4"/>
    <n v="36"/>
    <s v="Jun"/>
    <d v="2015-06-09T12:19:25"/>
    <x v="21"/>
    <n v="3"/>
    <n v="12"/>
    <m/>
  </r>
  <r>
    <n v="919"/>
    <s v="Iowa"/>
    <s v="51248"/>
    <d v="2015-02-10T01:47:39"/>
    <d v="2015-02-10T01:47:46"/>
    <n v="1"/>
    <n v="2"/>
    <n v="4"/>
    <n v="2"/>
    <n v="1"/>
    <n v="2"/>
    <n v="36"/>
    <s v="Feb"/>
    <d v="2015-02-10T01:47:42"/>
    <x v="7"/>
    <n v="3"/>
    <n v="1"/>
    <m/>
  </r>
  <r>
    <n v="920"/>
    <s v="California"/>
    <s v="94523"/>
    <d v="2015-06-24T12:02:01"/>
    <d v="2015-06-24T12:02:04"/>
    <n v="1"/>
    <n v="0"/>
    <n v="2"/>
    <n v="2"/>
    <n v="1"/>
    <n v="2"/>
    <n v="14.4"/>
    <s v="Jun"/>
    <d v="2015-06-24T12:02:02"/>
    <x v="11"/>
    <n v="4"/>
    <n v="12"/>
    <m/>
  </r>
  <r>
    <n v="921"/>
    <m/>
    <m/>
    <d v="2015-03-13T11:45:22"/>
    <d v="2015-03-13T11:45:30"/>
    <n v="1"/>
    <n v="2"/>
    <n v="6"/>
    <n v="2"/>
    <n v="1"/>
    <n v="2"/>
    <n v="115.2"/>
    <s v="Mar"/>
    <d v="2015-03-13T11:48:22"/>
    <x v="20"/>
    <n v="6"/>
    <n v="11"/>
    <m/>
  </r>
  <r>
    <n v="922"/>
    <s v="Washington"/>
    <s v="98264"/>
    <d v="2015-08-09T15:25:53"/>
    <d v="2015-08-10T21:34:33"/>
    <n v="2"/>
    <n v="4"/>
    <n v="3"/>
    <n v="4"/>
    <n v="1"/>
    <n v="1"/>
    <n v="50.4"/>
    <s v="Aug"/>
    <d v="2015-08-09T15:25:53"/>
    <x v="21"/>
    <n v="1"/>
    <n v="15"/>
    <m/>
  </r>
  <r>
    <n v="923"/>
    <s v="New York"/>
    <s v="10023"/>
    <d v="2015-02-15T13:47:47"/>
    <d v="2015-02-15T13:47:54"/>
    <n v="1"/>
    <n v="0"/>
    <n v="10"/>
    <n v="1"/>
    <n v="1"/>
    <n v="6"/>
    <n v="45.9"/>
    <s v="Feb"/>
    <d v="2015-02-15T13:47:49"/>
    <x v="0"/>
    <n v="1"/>
    <n v="13"/>
    <m/>
  </r>
  <r>
    <n v="924"/>
    <s v="Wisconsin"/>
    <s v="53048"/>
    <d v="2015-07-20T16:11:40"/>
    <d v="2015-07-20T16:11:45"/>
    <n v="1"/>
    <n v="0"/>
    <n v="2"/>
    <n v="2"/>
    <n v="1"/>
    <n v="1"/>
    <n v="29.92"/>
    <s v="Jul"/>
    <d v="2015-07-20T16:11:41"/>
    <x v="15"/>
    <n v="2"/>
    <n v="16"/>
    <m/>
  </r>
  <r>
    <n v="926"/>
    <s v="Washington"/>
    <s v="98372"/>
    <d v="2015-07-22T23:36:47"/>
    <d v="2015-07-22T19:36:50"/>
    <n v="1"/>
    <n v="2"/>
    <n v="2"/>
    <n v="2"/>
    <n v="1"/>
    <n v="1"/>
    <n v="29.92"/>
    <s v="Jul"/>
    <d v="2015-07-22T19:36:48"/>
    <x v="1"/>
    <n v="4"/>
    <n v="19"/>
    <m/>
  </r>
  <r>
    <n v="927"/>
    <s v="Washington"/>
    <s v="98012"/>
    <d v="2015-05-22T11:01:59"/>
    <d v="2015-05-22T11:02:02"/>
    <n v="1"/>
    <n v="0"/>
    <n v="2"/>
    <n v="2"/>
    <n v="1"/>
    <n v="1"/>
    <n v="28.8"/>
    <s v="May"/>
    <d v="2015-05-22T11:02:00"/>
    <x v="1"/>
    <n v="6"/>
    <n v="11"/>
    <m/>
  </r>
  <r>
    <n v="928"/>
    <s v="New Hampshire"/>
    <s v="03054"/>
    <d v="2015-08-31T22:23:13"/>
    <d v="2015-08-31T18:23:17"/>
    <n v="1"/>
    <n v="4"/>
    <n v="2"/>
    <n v="2"/>
    <n v="1"/>
    <n v="2"/>
    <n v="59.84"/>
    <s v="Aug"/>
    <d v="2015-08-31T18:23:13"/>
    <x v="14"/>
    <n v="2"/>
    <n v="18"/>
    <m/>
  </r>
  <r>
    <n v="929"/>
    <s v="Michigan"/>
    <s v="48073"/>
    <d v="2015-05-29T09:06:47"/>
    <d v="2015-05-29T09:06:51"/>
    <n v="1"/>
    <n v="0"/>
    <n v="8"/>
    <n v="2"/>
    <n v="1"/>
    <n v="4"/>
    <n v="28.8"/>
    <s v="May"/>
    <d v="2015-05-29T09:06:48"/>
    <x v="26"/>
    <n v="6"/>
    <n v="9"/>
    <m/>
  </r>
  <r>
    <n v="930"/>
    <m/>
    <m/>
    <d v="2015-01-13T03:57:13"/>
    <d v="2015-01-13T03:57:24"/>
    <n v="1"/>
    <n v="6"/>
    <n v="6"/>
    <n v="3"/>
    <n v="1"/>
    <n v="4"/>
    <n v="28.8"/>
    <s v="Jan"/>
    <d v="2015-01-13T04:00:07"/>
    <x v="20"/>
    <n v="3"/>
    <n v="4"/>
    <m/>
  </r>
  <r>
    <n v="931"/>
    <s v="Minnesota"/>
    <s v="55127"/>
    <d v="2015-04-28T14:12:09"/>
    <d v="2015-04-28T14:12:18"/>
    <n v="1"/>
    <n v="3"/>
    <n v="4"/>
    <n v="1"/>
    <n v="1"/>
    <n v="2"/>
    <n v="72"/>
    <s v="Apr"/>
    <d v="2015-04-28T14:22:10"/>
    <x v="4"/>
    <n v="3"/>
    <n v="14"/>
    <m/>
  </r>
  <r>
    <n v="932"/>
    <s v="Texas"/>
    <s v="76426"/>
    <d v="2015-05-26T03:39:10"/>
    <d v="2015-05-27T22:13:21"/>
    <n v="5"/>
    <n v="8"/>
    <n v="6"/>
    <n v="3"/>
    <n v="1"/>
    <n v="2"/>
    <n v="14.4"/>
    <s v="May"/>
    <d v="2015-05-26T03:39:10"/>
    <x v="27"/>
    <n v="3"/>
    <n v="3"/>
    <m/>
  </r>
  <r>
    <n v="933"/>
    <s v="California"/>
    <s v="94107"/>
    <d v="2015-06-21T17:35:39"/>
    <d v="2015-06-21T13:35:44"/>
    <n v="1"/>
    <n v="2"/>
    <n v="4"/>
    <n v="2"/>
    <n v="1"/>
    <n v="2"/>
    <n v="67.2"/>
    <s v="Jun"/>
    <d v="2015-06-21T13:35:41"/>
    <x v="18"/>
    <n v="1"/>
    <n v="13"/>
    <m/>
  </r>
  <r>
    <n v="934"/>
    <s v="Florida"/>
    <s v="32619"/>
    <d v="2015-06-04T17:56:29"/>
    <d v="2015-06-04T13:56:36"/>
    <n v="1"/>
    <n v="2"/>
    <n v="2"/>
    <n v="2"/>
    <n v="1"/>
    <n v="2"/>
    <n v="18"/>
    <s v="Jun"/>
    <d v="2015-06-04T13:56:31"/>
    <x v="24"/>
    <n v="5"/>
    <n v="13"/>
    <m/>
  </r>
  <r>
    <n v="936"/>
    <m/>
    <m/>
    <d v="2015-03-05T08:19:25"/>
    <d v="2015-03-05T08:19:28"/>
    <n v="1"/>
    <n v="0"/>
    <n v="4"/>
    <n v="2"/>
    <n v="1"/>
    <n v="4"/>
    <n v="28.8"/>
    <s v="Mar"/>
    <d v="2015-03-05T08:33:52"/>
    <x v="2"/>
    <n v="5"/>
    <n v="8"/>
    <m/>
  </r>
  <r>
    <n v="937"/>
    <s v="Texas"/>
    <s v="77539"/>
    <d v="2015-06-01T21:05:23"/>
    <d v="2015-06-01T21:05:27"/>
    <n v="1"/>
    <n v="2"/>
    <n v="10"/>
    <n v="2"/>
    <n v="1"/>
    <n v="5"/>
    <n v="72"/>
    <s v="Jun"/>
    <d v="2015-06-01T21:05:24"/>
    <x v="6"/>
    <n v="2"/>
    <n v="21"/>
    <m/>
  </r>
  <r>
    <n v="938"/>
    <s v="Virginia"/>
    <s v="24073"/>
    <d v="2015-08-23T11:47:27"/>
    <d v="2015-08-27T05:49:18"/>
    <n v="5"/>
    <n v="8"/>
    <n v="2"/>
    <n v="7"/>
    <n v="1"/>
    <n v="1"/>
    <n v="29.92"/>
    <s v="Aug"/>
    <d v="2015-08-23T11:47:28"/>
    <x v="10"/>
    <n v="1"/>
    <n v="11"/>
    <m/>
  </r>
  <r>
    <n v="939"/>
    <s v="Ohio"/>
    <s v="44221"/>
    <d v="2015-03-15T12:36:32"/>
    <d v="2015-03-15T12:36:39"/>
    <n v="1"/>
    <n v="0"/>
    <n v="2"/>
    <n v="1"/>
    <n v="1"/>
    <n v="1"/>
    <n v="36"/>
    <s v="Mar"/>
    <d v="2015-03-15T12:36:33"/>
    <x v="0"/>
    <n v="1"/>
    <n v="12"/>
    <m/>
  </r>
  <r>
    <n v="940"/>
    <m/>
    <m/>
    <d v="2015-08-12T17:02:55"/>
    <d v="2015-08-12T13:02:57"/>
    <n v="1"/>
    <n v="2"/>
    <n v="4"/>
    <n v="4"/>
    <n v="1"/>
    <n v="2"/>
    <n v="86.24"/>
    <s v="Aug"/>
    <d v="2015-08-12T13:11:15"/>
    <x v="5"/>
    <n v="4"/>
    <n v="13"/>
    <m/>
  </r>
  <r>
    <n v="941"/>
    <s v="Massachusetts"/>
    <s v="02129"/>
    <d v="2015-01-27T09:48:32"/>
    <d v="2015-01-27T09:48:36"/>
    <n v="1"/>
    <n v="2"/>
    <n v="12"/>
    <n v="2"/>
    <n v="1"/>
    <n v="6"/>
    <n v="40.799999999999997"/>
    <s v="Jan"/>
    <d v="2015-01-27T09:48:33"/>
    <x v="28"/>
    <n v="3"/>
    <n v="9"/>
    <m/>
  </r>
  <r>
    <n v="942"/>
    <s v="Pennsylvania"/>
    <s v="16046"/>
    <d v="2015-05-21T07:57:08"/>
    <d v="2015-05-21T07:57:11"/>
    <n v="1"/>
    <n v="2"/>
    <n v="4"/>
    <n v="3"/>
    <n v="1"/>
    <n v="2"/>
    <n v="14.4"/>
    <s v="May"/>
    <d v="2015-05-21T07:57:09"/>
    <x v="18"/>
    <n v="5"/>
    <n v="7"/>
    <m/>
  </r>
  <r>
    <n v="943"/>
    <s v="Illinois"/>
    <s v="60645"/>
    <d v="2015-01-02T17:09:53"/>
    <d v="2015-01-03T00:17:56"/>
    <n v="3"/>
    <n v="2"/>
    <n v="8"/>
    <n v="2"/>
    <n v="1"/>
    <n v="4"/>
    <n v="28.8"/>
    <s v="Jan"/>
    <d v="2015-01-02T17:10:06"/>
    <x v="30"/>
    <n v="6"/>
    <n v="17"/>
    <m/>
  </r>
  <r>
    <n v="944"/>
    <s v="Wyoming"/>
    <s v="82072"/>
    <d v="2015-05-25T10:03:50"/>
    <d v="2015-05-25T10:03:55"/>
    <n v="1"/>
    <n v="2"/>
    <n v="4"/>
    <n v="2"/>
    <n v="1"/>
    <n v="2"/>
    <n v="57.6"/>
    <s v="May"/>
    <d v="2015-05-25T10:03:52"/>
    <x v="3"/>
    <n v="2"/>
    <n v="10"/>
    <m/>
  </r>
  <r>
    <n v="945"/>
    <s v="California"/>
    <s v="94618"/>
    <d v="2015-03-23T00:24:53"/>
    <d v="2015-03-23T00:25:02"/>
    <n v="1"/>
    <n v="0"/>
    <n v="6"/>
    <n v="1"/>
    <n v="1"/>
    <n v="4"/>
    <n v="88"/>
    <s v="Mar"/>
    <d v="2015-03-23T00:24:54"/>
    <x v="10"/>
    <n v="2"/>
    <n v="0"/>
    <m/>
  </r>
  <r>
    <n v="946"/>
    <m/>
    <m/>
    <d v="2015-01-30T20:19:30"/>
    <d v="2015-01-30T20:19:35"/>
    <n v="1"/>
    <n v="2"/>
    <n v="6"/>
    <n v="3"/>
    <n v="1"/>
    <n v="3"/>
    <n v="42.4"/>
    <s v="Jan"/>
    <d v="2015-01-30T20:19:33"/>
    <x v="13"/>
    <n v="6"/>
    <n v="20"/>
    <m/>
  </r>
  <r>
    <n v="947"/>
    <s v="Iowa"/>
    <s v="52544"/>
    <d v="2015-02-22T22:11:07"/>
    <d v="2015-02-22T22:11:11"/>
    <n v="1"/>
    <n v="2"/>
    <n v="2"/>
    <n v="4"/>
    <n v="1"/>
    <n v="1"/>
    <n v="57.6"/>
    <s v="Feb"/>
    <d v="2015-02-22T22:11:08"/>
    <x v="1"/>
    <n v="1"/>
    <n v="22"/>
    <m/>
  </r>
  <r>
    <n v="948"/>
    <m/>
    <m/>
    <d v="2015-05-02T16:47:08"/>
    <d v="2015-05-02T16:47:12"/>
    <n v="1"/>
    <n v="0"/>
    <n v="1"/>
    <n v="2"/>
    <n v="1"/>
    <n v="2"/>
    <n v="14.4"/>
    <s v="May"/>
    <d v="2015-05-02T16:51:46"/>
    <x v="30"/>
    <n v="7"/>
    <n v="16"/>
    <m/>
  </r>
  <r>
    <n v="949"/>
    <s v="California"/>
    <s v="94118"/>
    <d v="2015-02-01T19:21:41"/>
    <d v="2015-02-01T19:21:45"/>
    <n v="1"/>
    <n v="2"/>
    <n v="16"/>
    <n v="1"/>
    <n v="1"/>
    <n v="8"/>
    <n v="57.6"/>
    <s v="Feb"/>
    <d v="2015-02-01T19:21:42"/>
    <x v="6"/>
    <n v="1"/>
    <n v="19"/>
    <m/>
  </r>
  <r>
    <n v="950"/>
    <s v="Wisconsin"/>
    <s v="54021"/>
    <d v="2015-07-12T08:51:25"/>
    <d v="2015-07-12T08:51:29"/>
    <n v="1"/>
    <n v="4"/>
    <n v="2"/>
    <n v="2"/>
    <n v="1"/>
    <n v="1"/>
    <n v="28.8"/>
    <s v="Jul"/>
    <d v="2015-07-12T08:51:26"/>
    <x v="5"/>
    <n v="1"/>
    <n v="8"/>
    <m/>
  </r>
  <r>
    <n v="951"/>
    <s v="North Carolina"/>
    <s v="27948"/>
    <d v="2015-07-13T14:32:39"/>
    <d v="2015-07-13T14:32:42"/>
    <n v="1"/>
    <n v="6"/>
    <n v="4"/>
    <n v="4"/>
    <n v="1"/>
    <n v="2"/>
    <n v="18"/>
    <s v="Jul"/>
    <d v="2015-07-13T14:32:39"/>
    <x v="20"/>
    <n v="2"/>
    <n v="14"/>
    <m/>
  </r>
  <r>
    <n v="952"/>
    <s v="Florida"/>
    <s v="33618"/>
    <d v="2015-05-30T11:29:37"/>
    <d v="2015-05-31T22:47:00"/>
    <n v="3"/>
    <n v="2"/>
    <n v="2"/>
    <n v="3"/>
    <n v="1"/>
    <n v="1"/>
    <n v="36"/>
    <s v="May"/>
    <d v="2015-05-30T11:29:37"/>
    <x v="13"/>
    <n v="7"/>
    <n v="11"/>
    <m/>
  </r>
  <r>
    <n v="953"/>
    <s v="New Jersey"/>
    <s v="08844"/>
    <d v="2015-05-23T10:43:57"/>
    <d v="2015-05-23T10:44:02"/>
    <n v="1"/>
    <n v="4"/>
    <n v="10"/>
    <n v="2"/>
    <n v="1"/>
    <n v="4"/>
    <n v="115.2"/>
    <s v="May"/>
    <d v="2015-05-23T10:44:00"/>
    <x v="10"/>
    <n v="7"/>
    <n v="10"/>
    <m/>
  </r>
  <r>
    <n v="954"/>
    <s v="California"/>
    <s v="93238"/>
    <d v="2015-06-16T10:07:42"/>
    <d v="2015-06-16T10:08:18"/>
    <n v="1"/>
    <n v="2"/>
    <n v="2"/>
    <n v="2"/>
    <n v="1"/>
    <n v="1"/>
    <n v="28.8"/>
    <s v="Jun"/>
    <d v="2015-06-16T10:07:56"/>
    <x v="22"/>
    <n v="3"/>
    <n v="10"/>
    <m/>
  </r>
  <r>
    <n v="955"/>
    <s v="Michigan"/>
    <s v="48128"/>
    <d v="2015-09-13T20:19:59"/>
    <d v="2015-09-14T08:52:25"/>
    <n v="2"/>
    <n v="9"/>
    <n v="8"/>
    <n v="14"/>
    <n v="2"/>
    <n v="3"/>
    <n v="29.92"/>
    <s v="Sep"/>
    <d v="2015-09-13T20:21:56"/>
    <x v="20"/>
    <n v="1"/>
    <n v="20"/>
    <m/>
  </r>
  <r>
    <n v="956"/>
    <m/>
    <m/>
    <d v="2015-06-16T14:17:51"/>
    <d v="2015-06-16T15:19:52"/>
    <n v="3"/>
    <n v="2"/>
    <n v="8"/>
    <n v="9"/>
    <n v="1"/>
    <n v="2"/>
    <n v="14.4"/>
    <s v="Jun"/>
    <d v="2015-06-16T12:04:16"/>
    <x v="22"/>
    <n v="3"/>
    <n v="12"/>
    <m/>
  </r>
  <r>
    <n v="957"/>
    <s v="Texas"/>
    <s v="77082"/>
    <d v="2015-01-16T10:03:21"/>
    <d v="2015-01-21T13:08:23"/>
    <n v="2"/>
    <n v="0"/>
    <n v="4"/>
    <n v="3"/>
    <n v="1"/>
    <n v="4"/>
    <n v="28.8"/>
    <s v="Jan"/>
    <d v="2015-01-16T10:03:22"/>
    <x v="22"/>
    <n v="6"/>
    <n v="10"/>
    <m/>
  </r>
  <r>
    <n v="958"/>
    <s v="New York"/>
    <s v="12901"/>
    <d v="2015-07-07T02:11:08"/>
    <d v="2015-07-06T22:11:10"/>
    <n v="1"/>
    <n v="6"/>
    <n v="8"/>
    <n v="4"/>
    <n v="2"/>
    <n v="4"/>
    <n v="18"/>
    <s v="Jul"/>
    <d v="2015-07-06T22:15:33"/>
    <x v="17"/>
    <n v="2"/>
    <n v="22"/>
    <m/>
  </r>
  <r>
    <n v="959"/>
    <m/>
    <m/>
    <d v="2015-01-22T23:39:57"/>
    <d v="2015-01-22T23:41:11"/>
    <n v="1"/>
    <n v="0"/>
    <n v="8"/>
    <n v="34"/>
    <n v="1"/>
    <n v="3"/>
    <n v="18"/>
    <s v="Jan"/>
    <d v="2015-01-22T23:46:54"/>
    <x v="1"/>
    <n v="5"/>
    <n v="23"/>
    <m/>
  </r>
  <r>
    <n v="960"/>
    <s v="California"/>
    <s v="93725"/>
    <d v="2015-01-03T18:17:21"/>
    <d v="2015-01-04T17:54:47"/>
    <n v="2"/>
    <n v="4"/>
    <n v="4"/>
    <n v="2"/>
    <n v="1"/>
    <n v="2"/>
    <n v="9"/>
    <s v="Jan"/>
    <d v="2015-01-03T18:17:23"/>
    <x v="23"/>
    <n v="7"/>
    <n v="18"/>
    <m/>
  </r>
  <r>
    <n v="961"/>
    <s v="Illinois"/>
    <s v="60045"/>
    <d v="2015-07-05T14:49:56"/>
    <d v="2015-07-05T14:49:59"/>
    <n v="1"/>
    <n v="4"/>
    <n v="2"/>
    <n v="2"/>
    <n v="1"/>
    <n v="4"/>
    <n v="28.8"/>
    <s v="Jul"/>
    <d v="2015-07-05T14:49:56"/>
    <x v="2"/>
    <n v="1"/>
    <n v="14"/>
    <m/>
  </r>
  <r>
    <n v="962"/>
    <s v="New York"/>
    <s v="10003"/>
    <d v="2015-06-19T11:16:10"/>
    <d v="2015-06-19T11:16:14"/>
    <n v="1"/>
    <n v="2"/>
    <n v="2"/>
    <n v="2"/>
    <n v="1"/>
    <n v="1"/>
    <n v="39.6"/>
    <s v="Jun"/>
    <d v="2015-06-19T11:16:11"/>
    <x v="19"/>
    <n v="6"/>
    <n v="11"/>
    <m/>
  </r>
  <r>
    <n v="963"/>
    <s v="Colorado"/>
    <s v="81303"/>
    <d v="2015-03-08T14:14:41"/>
    <d v="2015-03-08T14:14:48"/>
    <n v="1"/>
    <n v="4"/>
    <n v="2"/>
    <n v="1"/>
    <n v="1"/>
    <n v="1"/>
    <n v="28.8"/>
    <s v="Mar"/>
    <d v="2015-03-08T14:14:42"/>
    <x v="29"/>
    <n v="1"/>
    <n v="14"/>
    <m/>
  </r>
  <r>
    <n v="964"/>
    <s v="Louisiana"/>
    <s v="70808"/>
    <d v="2015-02-05T11:54:48"/>
    <d v="2015-02-05T11:54:53"/>
    <n v="1"/>
    <n v="2"/>
    <n v="18"/>
    <n v="2"/>
    <n v="1"/>
    <n v="4"/>
    <n v="28.8"/>
    <s v="Feb"/>
    <d v="2015-02-05T11:57:48"/>
    <x v="2"/>
    <n v="5"/>
    <n v="11"/>
    <m/>
  </r>
  <r>
    <n v="966"/>
    <s v="Texas"/>
    <s v="76021"/>
    <d v="2015-05-26T22:47:29"/>
    <d v="2015-05-26T22:47:33"/>
    <n v="1"/>
    <n v="0"/>
    <n v="2"/>
    <n v="2"/>
    <n v="1"/>
    <n v="1"/>
    <n v="28.8"/>
    <s v="May"/>
    <d v="2015-05-26T22:47:29"/>
    <x v="27"/>
    <n v="3"/>
    <n v="22"/>
    <m/>
  </r>
  <r>
    <n v="967"/>
    <m/>
    <m/>
    <d v="2015-06-03T13:08:28"/>
    <d v="2015-06-03T09:08:31"/>
    <n v="1"/>
    <n v="8"/>
    <n v="16"/>
    <n v="6"/>
    <n v="1"/>
    <n v="6"/>
    <n v="43.2"/>
    <s v="Jun"/>
    <d v="2015-06-03T09:13:59"/>
    <x v="23"/>
    <n v="4"/>
    <n v="9"/>
    <m/>
  </r>
  <r>
    <n v="968"/>
    <s v="California"/>
    <s v="94806"/>
    <d v="2015-06-02T22:47:27"/>
    <d v="2015-06-02T22:47:32"/>
    <n v="1"/>
    <n v="2"/>
    <n v="2"/>
    <n v="2"/>
    <n v="1"/>
    <n v="1"/>
    <n v="28.8"/>
    <s v="Jun"/>
    <d v="2015-06-02T22:47:28"/>
    <x v="30"/>
    <n v="3"/>
    <n v="22"/>
    <m/>
  </r>
  <r>
    <n v="969"/>
    <s v="Texas"/>
    <s v="77845"/>
    <d v="2015-03-09T16:18:43"/>
    <d v="2015-03-09T16:18:49"/>
    <n v="1"/>
    <n v="0"/>
    <n v="10"/>
    <n v="1"/>
    <n v="1"/>
    <n v="4"/>
    <n v="28.8"/>
    <s v="Mar"/>
    <d v="2015-03-09T16:18:44"/>
    <x v="21"/>
    <n v="2"/>
    <n v="16"/>
    <m/>
  </r>
  <r>
    <n v="970"/>
    <s v="Colorado"/>
    <s v="80134"/>
    <d v="2015-06-16T15:26:31"/>
    <d v="2015-06-17T15:40:03"/>
    <n v="2"/>
    <n v="10"/>
    <n v="3"/>
    <n v="7"/>
    <n v="1"/>
    <n v="1"/>
    <n v="23.04"/>
    <s v="Jun"/>
    <d v="2015-06-17T15:42:16"/>
    <x v="8"/>
    <n v="4"/>
    <n v="15"/>
    <m/>
  </r>
  <r>
    <n v="971"/>
    <s v="Texas"/>
    <s v="78729"/>
    <d v="2015-03-10T21:54:12"/>
    <d v="2015-03-10T21:54:17"/>
    <n v="1"/>
    <n v="4"/>
    <n v="6"/>
    <n v="2"/>
    <n v="1"/>
    <n v="3"/>
    <n v="20.8"/>
    <s v="Mar"/>
    <d v="2015-03-10T21:54:13"/>
    <x v="7"/>
    <n v="3"/>
    <n v="21"/>
    <m/>
  </r>
  <r>
    <n v="972"/>
    <s v="New York"/>
    <s v="13760"/>
    <d v="2015-06-06T16:29:55"/>
    <d v="2015-06-06T12:30:00"/>
    <n v="1"/>
    <n v="0"/>
    <n v="2"/>
    <n v="2"/>
    <n v="1"/>
    <n v="1"/>
    <n v="28.8"/>
    <s v="Jun"/>
    <d v="2015-06-06T12:29:56"/>
    <x v="17"/>
    <n v="7"/>
    <n v="12"/>
    <m/>
  </r>
  <r>
    <n v="973"/>
    <s v="Texas"/>
    <s v="78681"/>
    <d v="2015-03-01T14:08:33"/>
    <d v="2015-03-01T14:08:38"/>
    <n v="1"/>
    <n v="2"/>
    <n v="2"/>
    <n v="1"/>
    <n v="1"/>
    <n v="4"/>
    <n v="28.8"/>
    <s v="Mar"/>
    <d v="2015-03-01T14:08:34"/>
    <x v="6"/>
    <n v="1"/>
    <n v="14"/>
    <m/>
  </r>
  <r>
    <n v="974"/>
    <s v="Alabama"/>
    <s v="36301"/>
    <d v="2015-08-09T21:31:13"/>
    <d v="2015-08-10T09:11:39"/>
    <n v="3"/>
    <n v="2"/>
    <n v="2"/>
    <n v="2"/>
    <n v="1"/>
    <n v="1"/>
    <n v="28.05"/>
    <s v="Aug"/>
    <d v="2015-08-09T21:31:13"/>
    <x v="21"/>
    <n v="1"/>
    <n v="21"/>
    <m/>
  </r>
  <r>
    <n v="975"/>
    <s v="Iowa"/>
    <s v="50035"/>
    <d v="2015-08-23T21:43:07"/>
    <d v="2015-08-23T17:43:08"/>
    <n v="1"/>
    <n v="12"/>
    <n v="2"/>
    <n v="4"/>
    <n v="1"/>
    <n v="1"/>
    <n v="56.32"/>
    <s v="Aug"/>
    <d v="2015-08-23T17:45:33"/>
    <x v="10"/>
    <n v="1"/>
    <n v="17"/>
    <m/>
  </r>
  <r>
    <n v="976"/>
    <s v="Michigan"/>
    <s v="48890"/>
    <d v="2015-02-10T10:30:32"/>
    <d v="2015-02-10T10:30:37"/>
    <n v="1"/>
    <n v="0"/>
    <n v="8"/>
    <n v="1"/>
    <n v="1"/>
    <n v="4"/>
    <n v="30.6"/>
    <s v="Feb"/>
    <d v="2015-02-10T10:30:33"/>
    <x v="7"/>
    <n v="3"/>
    <n v="10"/>
    <m/>
  </r>
  <r>
    <n v="977"/>
    <s v="Wisconsin"/>
    <s v="53217"/>
    <d v="2015-03-04T10:18:37"/>
    <d v="2015-03-05T22:19:40"/>
    <n v="5"/>
    <n v="1"/>
    <n v="4"/>
    <n v="5"/>
    <n v="1"/>
    <n v="2"/>
    <n v="9"/>
    <s v="Mar"/>
    <d v="2015-03-04T10:18:38"/>
    <x v="24"/>
    <n v="4"/>
    <n v="10"/>
    <m/>
  </r>
  <r>
    <n v="978"/>
    <s v="California"/>
    <s v="90720"/>
    <d v="2015-01-23T13:42:27"/>
    <d v="2015-01-27T14:39:02"/>
    <n v="6"/>
    <n v="0"/>
    <n v="6"/>
    <n v="6"/>
    <n v="2"/>
    <n v="3"/>
    <n v="28.8"/>
    <s v="Jan"/>
    <d v="2015-01-23T13:42:29"/>
    <x v="10"/>
    <n v="6"/>
    <n v="13"/>
    <m/>
  </r>
  <r>
    <n v="979"/>
    <s v="Florida"/>
    <s v="32608"/>
    <d v="2015-01-18T09:24:59"/>
    <d v="2015-01-18T09:25:03"/>
    <n v="1"/>
    <n v="0"/>
    <n v="2"/>
    <n v="2"/>
    <n v="1"/>
    <n v="2"/>
    <n v="18"/>
    <s v="Jan"/>
    <d v="2015-01-18T09:25:01"/>
    <x v="9"/>
    <n v="1"/>
    <n v="9"/>
    <m/>
  </r>
  <r>
    <n v="980"/>
    <s v="California"/>
    <s v="92101"/>
    <d v="2015-06-13T00:47:39"/>
    <d v="2015-06-13T00:47:42"/>
    <n v="1"/>
    <n v="6"/>
    <n v="2"/>
    <n v="2"/>
    <n v="1"/>
    <n v="1"/>
    <n v="28.8"/>
    <s v="Jun"/>
    <d v="2015-06-13T00:47:39"/>
    <x v="20"/>
    <n v="7"/>
    <n v="0"/>
    <m/>
  </r>
  <r>
    <n v="981"/>
    <s v="Texas"/>
    <s v="79407"/>
    <d v="2015-06-30T15:48:58"/>
    <d v="2015-06-30T11:49:04"/>
    <n v="1"/>
    <n v="4"/>
    <n v="4"/>
    <n v="2"/>
    <n v="1"/>
    <n v="2"/>
    <n v="72"/>
    <s v="Jun"/>
    <d v="2015-06-30T11:48:59"/>
    <x v="13"/>
    <n v="3"/>
    <n v="11"/>
    <m/>
  </r>
  <r>
    <n v="982"/>
    <s v="Texas"/>
    <s v="75229"/>
    <d v="2015-07-23T23:24:07"/>
    <d v="2015-07-23T23:24:11"/>
    <n v="1"/>
    <n v="6"/>
    <n v="8"/>
    <n v="2"/>
    <n v="1"/>
    <n v="4"/>
    <n v="45"/>
    <s v="Jul"/>
    <d v="2015-07-23T23:24:07"/>
    <x v="10"/>
    <n v="5"/>
    <n v="23"/>
    <m/>
  </r>
  <r>
    <n v="983"/>
    <s v="Tennessee"/>
    <s v="37206"/>
    <d v="2015-08-10T18:41:55"/>
    <d v="2015-08-10T14:41:57"/>
    <n v="1"/>
    <n v="8"/>
    <n v="2"/>
    <n v="2"/>
    <n v="1"/>
    <n v="1"/>
    <n v="32.64"/>
    <s v="Aug"/>
    <d v="2015-08-10T15:33:09"/>
    <x v="7"/>
    <n v="2"/>
    <n v="15"/>
    <m/>
  </r>
  <r>
    <n v="984"/>
    <s v="New Jersey"/>
    <s v="08560"/>
    <d v="2015-07-25T20:38:43"/>
    <d v="2015-07-25T20:38:47"/>
    <n v="1"/>
    <n v="0"/>
    <n v="2"/>
    <n v="2"/>
    <n v="1"/>
    <n v="1"/>
    <n v="29.92"/>
    <s v="Jul"/>
    <d v="2015-07-25T20:38:44"/>
    <x v="3"/>
    <n v="7"/>
    <n v="20"/>
    <m/>
  </r>
  <r>
    <n v="985"/>
    <s v="Georgia"/>
    <s v="31820"/>
    <d v="2015-02-25T19:16:04"/>
    <d v="2015-02-25T23:10:45"/>
    <n v="3"/>
    <n v="0"/>
    <n v="8"/>
    <n v="5"/>
    <n v="1"/>
    <n v="2"/>
    <n v="9"/>
    <s v="Feb"/>
    <d v="2015-02-25T19:17:55"/>
    <x v="3"/>
    <n v="4"/>
    <n v="19"/>
    <m/>
  </r>
  <r>
    <n v="986"/>
    <s v="Kentucky"/>
    <s v="40026"/>
    <d v="2015-02-19T20:34:58"/>
    <d v="2015-03-10T19:46:26"/>
    <n v="10"/>
    <n v="0"/>
    <n v="8"/>
    <n v="8"/>
    <n v="2"/>
    <n v="6"/>
    <n v="18"/>
    <s v="Feb"/>
    <d v="2015-02-19T20:39:04"/>
    <x v="19"/>
    <n v="5"/>
    <n v="20"/>
    <m/>
  </r>
  <r>
    <n v="987"/>
    <s v="Colorado"/>
    <s v="80504"/>
    <d v="2015-02-17T12:31:10"/>
    <d v="2015-02-23T16:22:36"/>
    <n v="6"/>
    <n v="0"/>
    <n v="1"/>
    <n v="3"/>
    <n v="1"/>
    <n v="1"/>
    <n v="28.8"/>
    <s v="Feb"/>
    <d v="2015-02-18T11:55:53"/>
    <x v="9"/>
    <n v="4"/>
    <n v="11"/>
    <m/>
  </r>
  <r>
    <n v="988"/>
    <s v="Texas"/>
    <s v="75098"/>
    <d v="2015-08-05T18:56:58"/>
    <d v="2015-08-05T14:57:03"/>
    <n v="1"/>
    <n v="6"/>
    <n v="4"/>
    <n v="2"/>
    <n v="1"/>
    <n v="2"/>
    <n v="38.72"/>
    <s v="Aug"/>
    <d v="2015-08-05T14:56:59"/>
    <x v="2"/>
    <n v="4"/>
    <n v="14"/>
    <m/>
  </r>
  <r>
    <n v="989"/>
    <s v="Georgia"/>
    <s v="30307"/>
    <d v="2015-09-09T16:24:30"/>
    <d v="2015-09-09T16:24:34"/>
    <n v="1"/>
    <n v="0"/>
    <n v="2"/>
    <n v="2"/>
    <n v="1"/>
    <n v="1"/>
    <n v="32.64"/>
    <s v="Sep"/>
    <d v="2015-09-09T16:24:30"/>
    <x v="21"/>
    <n v="4"/>
    <n v="16"/>
    <m/>
  </r>
  <r>
    <n v="990"/>
    <s v="Missouri"/>
    <s v="63042"/>
    <d v="2013-09-20T19:18:53"/>
    <d v="2015-07-22T09:02:41"/>
    <n v="3"/>
    <n v="0"/>
    <n v="1"/>
    <n v="2"/>
    <n v="1"/>
    <n v="1"/>
    <n v="37.4"/>
    <s v="Jul"/>
    <d v="2015-07-22T09:06:30"/>
    <x v="1"/>
    <n v="4"/>
    <n v="9"/>
    <m/>
  </r>
  <r>
    <n v="991"/>
    <m/>
    <m/>
    <d v="2015-01-27T12:55:15"/>
    <d v="2015-02-02T10:34:36"/>
    <n v="10"/>
    <n v="2"/>
    <n v="2"/>
    <n v="7"/>
    <n v="1"/>
    <n v="1"/>
    <n v="28.8"/>
    <s v="Jan"/>
    <d v="2015-01-28T08:11:35"/>
    <x v="4"/>
    <n v="4"/>
    <n v="8"/>
    <m/>
  </r>
  <r>
    <n v="992"/>
    <s v="Pennsylvania"/>
    <s v="19086"/>
    <d v="2015-09-12T11:58:14"/>
    <d v="2015-09-12T11:58:18"/>
    <n v="1"/>
    <n v="2"/>
    <n v="2"/>
    <n v="4"/>
    <n v="1"/>
    <n v="1"/>
    <n v="21.76"/>
    <s v="Sep"/>
    <d v="2015-09-12T11:58:14"/>
    <x v="5"/>
    <n v="7"/>
    <n v="11"/>
    <m/>
  </r>
  <r>
    <n v="993"/>
    <s v="Massachusetts"/>
    <s v="02184"/>
    <d v="2015-08-16T13:45:01"/>
    <d v="2015-08-16T22:17:30"/>
    <n v="2"/>
    <n v="3"/>
    <n v="3"/>
    <n v="6"/>
    <n v="1"/>
    <n v="1"/>
    <n v="29.92"/>
    <s v="Aug"/>
    <d v="2015-08-16T13:45:02"/>
    <x v="22"/>
    <n v="1"/>
    <n v="13"/>
    <m/>
  </r>
  <r>
    <n v="994"/>
    <s v="Alaska"/>
    <s v="99901"/>
    <d v="2015-05-28T15:38:34"/>
    <d v="2015-05-28T15:38:38"/>
    <n v="1"/>
    <n v="0"/>
    <n v="2"/>
    <n v="4"/>
    <n v="1"/>
    <n v="2"/>
    <n v="18"/>
    <s v="May"/>
    <d v="2015-05-28T15:38:35"/>
    <x v="4"/>
    <n v="5"/>
    <n v="15"/>
    <m/>
  </r>
  <r>
    <n v="995"/>
    <s v="Colorado"/>
    <s v="80816"/>
    <d v="2015-08-06T04:07:51"/>
    <d v="2015-08-06T11:40:52"/>
    <n v="5"/>
    <n v="8"/>
    <n v="4"/>
    <n v="2"/>
    <n v="1"/>
    <n v="2"/>
    <n v="17.600000000000001"/>
    <s v="Aug"/>
    <d v="2015-08-06T00:07:51"/>
    <x v="17"/>
    <n v="5"/>
    <n v="0"/>
    <m/>
  </r>
  <r>
    <n v="996"/>
    <s v="Ohio"/>
    <s v="44321"/>
    <d v="2015-03-25T11:06:08"/>
    <d v="2015-03-25T11:06:13"/>
    <n v="1"/>
    <n v="0"/>
    <n v="2"/>
    <n v="1"/>
    <n v="1"/>
    <n v="4"/>
    <n v="28.8"/>
    <s v="Mar"/>
    <d v="2015-03-25T11:06:09"/>
    <x v="3"/>
    <n v="4"/>
    <n v="11"/>
    <m/>
  </r>
  <r>
    <n v="997"/>
    <s v="Indiana"/>
    <s v="47720"/>
    <d v="2015-07-07T15:06:05"/>
    <d v="2015-07-07T11:06:10"/>
    <n v="1"/>
    <n v="6"/>
    <n v="6"/>
    <n v="2"/>
    <n v="1"/>
    <n v="1"/>
    <n v="28.8"/>
    <s v="Jul"/>
    <d v="2015-07-07T11:06:06"/>
    <x v="16"/>
    <n v="3"/>
    <n v="11"/>
    <m/>
  </r>
  <r>
    <n v="998"/>
    <s v="Wisconsin"/>
    <s v="54115"/>
    <d v="2015-03-24T22:24:55"/>
    <d v="2015-03-24T22:24:59"/>
    <n v="1"/>
    <n v="2"/>
    <n v="2"/>
    <n v="1"/>
    <n v="1"/>
    <n v="6"/>
    <n v="43.2"/>
    <s v="Mar"/>
    <d v="2015-03-24T22:24:56"/>
    <x v="11"/>
    <n v="3"/>
    <n v="22"/>
    <m/>
  </r>
  <r>
    <n v="999"/>
    <s v="Arizona"/>
    <s v="85253"/>
    <d v="2015-01-16T22:27:04"/>
    <d v="2015-01-16T22:27:07"/>
    <n v="1"/>
    <n v="0"/>
    <n v="4"/>
    <n v="2"/>
    <n v="1"/>
    <n v="2"/>
    <n v="72"/>
    <s v="Jan"/>
    <d v="2015-01-16T22:27:05"/>
    <x v="22"/>
    <n v="6"/>
    <n v="22"/>
    <m/>
  </r>
  <r>
    <n v="1000"/>
    <s v="Colorado"/>
    <s v="81242"/>
    <d v="2015-07-26T16:00:46"/>
    <d v="2015-07-26T12:00:47"/>
    <n v="1"/>
    <n v="4"/>
    <n v="8"/>
    <n v="4"/>
    <n v="1"/>
    <n v="2"/>
    <n v="22"/>
    <s v="Jul"/>
    <d v="2015-07-26T12:03:19"/>
    <x v="27"/>
    <n v="1"/>
    <n v="12"/>
    <m/>
  </r>
  <r>
    <n v="1001"/>
    <s v="Texas"/>
    <s v="77346"/>
    <d v="2015-09-04T09:41:04"/>
    <d v="2015-09-10T01:00:03"/>
    <n v="12"/>
    <n v="8"/>
    <n v="2"/>
    <n v="8"/>
    <n v="1"/>
    <n v="1"/>
    <n v="56.32"/>
    <s v="Sep"/>
    <d v="2015-09-04T05:41:05"/>
    <x v="24"/>
    <n v="6"/>
    <n v="5"/>
    <m/>
  </r>
  <r>
    <n v="1002"/>
    <s v="Florida"/>
    <s v="32708"/>
    <d v="2015-06-16T08:25:25"/>
    <d v="2015-06-16T08:25:32"/>
    <n v="1"/>
    <n v="8"/>
    <n v="8"/>
    <n v="2"/>
    <n v="1"/>
    <n v="4"/>
    <n v="31.2"/>
    <s v="Jun"/>
    <d v="2015-06-16T08:25:28"/>
    <x v="22"/>
    <n v="3"/>
    <n v="8"/>
    <m/>
  </r>
  <r>
    <n v="1003"/>
    <s v="Wisconsin"/>
    <s v="53562"/>
    <d v="2015-03-02T08:54:28"/>
    <d v="2015-03-02T08:54:32"/>
    <n v="1"/>
    <n v="0"/>
    <n v="2"/>
    <n v="1"/>
    <n v="1"/>
    <n v="1"/>
    <n v="57.6"/>
    <s v="Mar"/>
    <d v="2015-03-02T08:54:29"/>
    <x v="30"/>
    <n v="2"/>
    <n v="8"/>
    <m/>
  </r>
  <r>
    <n v="1004"/>
    <s v="New York"/>
    <s v="10003"/>
    <d v="2015-03-02T12:55:15"/>
    <d v="2015-03-02T12:55:20"/>
    <n v="1"/>
    <n v="0"/>
    <n v="2"/>
    <n v="2"/>
    <n v="1"/>
    <n v="1"/>
    <n v="61.2"/>
    <s v="Mar"/>
    <d v="2015-03-02T12:55:16"/>
    <x v="30"/>
    <n v="2"/>
    <n v="12"/>
    <m/>
  </r>
  <r>
    <n v="1005"/>
    <s v="Michigan"/>
    <s v="48642"/>
    <d v="2015-08-30T11:30:00"/>
    <d v="2015-08-30T11:30:03"/>
    <n v="1"/>
    <n v="4"/>
    <n v="4"/>
    <n v="2"/>
    <n v="1"/>
    <n v="4"/>
    <n v="35.200000000000003"/>
    <s v="Aug"/>
    <d v="2015-08-30T11:30:00"/>
    <x v="13"/>
    <n v="1"/>
    <n v="11"/>
    <m/>
  </r>
  <r>
    <n v="1006"/>
    <s v="Tennessee"/>
    <s v="37220"/>
    <d v="2015-03-11T09:53:53"/>
    <d v="2015-03-11T09:53:57"/>
    <n v="1"/>
    <n v="0"/>
    <n v="6"/>
    <n v="1"/>
    <n v="1"/>
    <n v="5"/>
    <n v="52.8"/>
    <s v="Mar"/>
    <d v="2015-03-11T09:53:54"/>
    <x v="12"/>
    <n v="4"/>
    <n v="9"/>
    <m/>
  </r>
  <r>
    <n v="1007"/>
    <s v="Alabama"/>
    <s v="35242"/>
    <d v="2015-05-06T13:02:51"/>
    <d v="2015-05-06T13:03:04"/>
    <n v="1"/>
    <n v="0"/>
    <n v="2"/>
    <n v="2"/>
    <n v="1"/>
    <n v="1"/>
    <n v="28.8"/>
    <s v="May"/>
    <d v="2015-05-06T13:03:02"/>
    <x v="17"/>
    <n v="4"/>
    <n v="13"/>
    <m/>
  </r>
  <r>
    <n v="1008"/>
    <s v="North Dakota"/>
    <s v="58104"/>
    <d v="2015-07-11T23:34:55"/>
    <d v="2015-07-11T19:34:56"/>
    <n v="1"/>
    <n v="4"/>
    <n v="4"/>
    <n v="2"/>
    <n v="1"/>
    <n v="6"/>
    <n v="43.2"/>
    <s v="Jul"/>
    <d v="2015-07-11T19:39:43"/>
    <x v="12"/>
    <n v="7"/>
    <n v="19"/>
    <m/>
  </r>
  <r>
    <n v="1009"/>
    <s v="Texas"/>
    <s v="78834"/>
    <d v="2015-06-13T22:11:37"/>
    <d v="2015-06-13T18:11:46"/>
    <n v="1"/>
    <n v="8"/>
    <n v="8"/>
    <n v="2"/>
    <n v="1"/>
    <n v="4"/>
    <n v="124.8"/>
    <s v="Jun"/>
    <d v="2015-06-13T18:11:41"/>
    <x v="20"/>
    <n v="7"/>
    <n v="18"/>
    <m/>
  </r>
  <r>
    <n v="1010"/>
    <s v="Pennsylvania"/>
    <s v="19146"/>
    <d v="2015-01-22T10:00:55"/>
    <d v="2015-02-04T17:39:09"/>
    <n v="2"/>
    <n v="2"/>
    <n v="6"/>
    <n v="5"/>
    <n v="2"/>
    <n v="4"/>
    <n v="9"/>
    <s v="Jan"/>
    <d v="2015-01-22T10:00:56"/>
    <x v="1"/>
    <n v="5"/>
    <n v="10"/>
    <m/>
  </r>
  <r>
    <n v="1011"/>
    <s v="Ohio"/>
    <s v="45230"/>
    <d v="2015-09-13T11:46:44"/>
    <d v="2015-09-13T11:46:48"/>
    <n v="1"/>
    <n v="2"/>
    <n v="2"/>
    <n v="2"/>
    <n v="1"/>
    <n v="1"/>
    <n v="56.32"/>
    <s v="Sep"/>
    <d v="2015-09-13T11:46:44"/>
    <x v="20"/>
    <n v="1"/>
    <n v="11"/>
    <m/>
  </r>
  <r>
    <n v="1012"/>
    <s v="Ohio"/>
    <s v="45429"/>
    <d v="2015-02-08T20:07:53"/>
    <d v="2015-02-08T20:07:58"/>
    <n v="1"/>
    <n v="0"/>
    <n v="4"/>
    <n v="1"/>
    <n v="1"/>
    <n v="2"/>
    <n v="18"/>
    <s v="Feb"/>
    <d v="2015-02-08T20:07:54"/>
    <x v="29"/>
    <n v="1"/>
    <n v="20"/>
    <m/>
  </r>
  <r>
    <n v="1013"/>
    <s v="Florida"/>
    <s v="34108"/>
    <d v="2015-06-26T16:54:52"/>
    <d v="2015-06-26T16:54:56"/>
    <n v="1"/>
    <n v="2"/>
    <n v="6"/>
    <n v="2"/>
    <n v="1"/>
    <n v="3"/>
    <n v="20.25"/>
    <s v="Jun"/>
    <d v="2015-06-26T16:54:53"/>
    <x v="27"/>
    <n v="6"/>
    <n v="16"/>
    <m/>
  </r>
  <r>
    <n v="1014"/>
    <s v="Ohio"/>
    <s v="45208"/>
    <d v="2015-01-31T20:21:25"/>
    <d v="2015-01-31T20:21:31"/>
    <n v="1"/>
    <n v="0"/>
    <n v="4"/>
    <n v="2"/>
    <n v="1"/>
    <n v="2"/>
    <n v="18"/>
    <s v="Jan"/>
    <d v="2015-01-31T20:21:26"/>
    <x v="14"/>
    <n v="7"/>
    <n v="20"/>
    <m/>
  </r>
  <r>
    <n v="1015"/>
    <s v="New York"/>
    <s v="10014"/>
    <d v="2015-02-25T09:34:35"/>
    <d v="2015-02-25T09:34:39"/>
    <n v="1"/>
    <n v="0"/>
    <n v="2"/>
    <n v="1"/>
    <n v="1"/>
    <n v="2"/>
    <n v="57.6"/>
    <s v="Feb"/>
    <d v="2015-02-25T09:34:36"/>
    <x v="3"/>
    <n v="4"/>
    <n v="9"/>
    <m/>
  </r>
  <r>
    <n v="1016"/>
    <s v="Virginia"/>
    <s v="22947"/>
    <d v="2015-05-20T10:24:04"/>
    <d v="2015-05-20T10:24:07"/>
    <n v="1"/>
    <n v="0"/>
    <n v="2"/>
    <n v="2"/>
    <n v="1"/>
    <n v="1"/>
    <n v="27"/>
    <s v="May"/>
    <d v="2015-05-20T10:24:05"/>
    <x v="15"/>
    <n v="4"/>
    <n v="10"/>
    <m/>
  </r>
  <r>
    <n v="1017"/>
    <s v="California"/>
    <s v="90404"/>
    <d v="2015-08-12T12:36:05"/>
    <d v="2015-08-12T12:36:08"/>
    <n v="1"/>
    <n v="2"/>
    <n v="6"/>
    <n v="2"/>
    <n v="1"/>
    <n v="2"/>
    <n v="16.5"/>
    <s v="Aug"/>
    <d v="2015-08-12T12:36:05"/>
    <x v="5"/>
    <n v="4"/>
    <n v="12"/>
    <m/>
  </r>
  <r>
    <n v="1018"/>
    <s v="California"/>
    <s v="91711"/>
    <d v="2015-09-17T17:16:43"/>
    <d v="2015-09-17T13:16:52"/>
    <n v="1"/>
    <n v="2"/>
    <n v="4"/>
    <n v="2"/>
    <n v="1"/>
    <n v="4"/>
    <n v="56.32"/>
    <s v="Sep"/>
    <d v="2015-09-17T13:16:44"/>
    <x v="8"/>
    <n v="5"/>
    <n v="13"/>
    <m/>
  </r>
  <r>
    <n v="1019"/>
    <s v="Oregon"/>
    <s v="97034"/>
    <d v="2015-08-02T01:47:10"/>
    <d v="2015-08-01T21:47:15"/>
    <n v="1"/>
    <n v="2"/>
    <n v="2"/>
    <n v="2"/>
    <n v="1"/>
    <n v="1"/>
    <n v="29.92"/>
    <s v="Aug"/>
    <d v="2015-08-01T21:47:11"/>
    <x v="6"/>
    <n v="7"/>
    <n v="21"/>
    <m/>
  </r>
  <r>
    <n v="1020"/>
    <m/>
    <m/>
    <d v="2015-08-24T23:43:34"/>
    <d v="2015-08-24T19:43:37"/>
    <n v="1"/>
    <n v="20"/>
    <n v="13"/>
    <n v="5"/>
    <n v="1"/>
    <n v="3"/>
    <n v="133.65"/>
    <s v="Aug"/>
    <d v="2015-08-24T20:02:17"/>
    <x v="11"/>
    <n v="2"/>
    <n v="20"/>
    <m/>
  </r>
  <r>
    <n v="1021"/>
    <s v="Minnesota"/>
    <s v="55904"/>
    <d v="2015-01-02T19:17:17"/>
    <d v="2015-01-22T23:57:10"/>
    <n v="8"/>
    <n v="2"/>
    <n v="10"/>
    <n v="6"/>
    <n v="1"/>
    <n v="4"/>
    <n v="28.8"/>
    <s v="Jan"/>
    <d v="2015-01-02T19:22:59"/>
    <x v="30"/>
    <n v="6"/>
    <n v="19"/>
    <m/>
  </r>
  <r>
    <n v="1022"/>
    <s v="New York"/>
    <s v="12203"/>
    <d v="2015-01-18T11:12:33"/>
    <d v="2015-01-18T11:12:37"/>
    <n v="1"/>
    <n v="0"/>
    <n v="10"/>
    <n v="4"/>
    <n v="1"/>
    <n v="4"/>
    <n v="28.8"/>
    <s v="Jan"/>
    <d v="2015-01-18T11:12:34"/>
    <x v="9"/>
    <n v="1"/>
    <n v="11"/>
    <m/>
  </r>
  <r>
    <n v="1023"/>
    <s v="Minnesota"/>
    <s v="55318"/>
    <d v="2015-01-30T15:02:49"/>
    <d v="2015-02-03T23:54:37"/>
    <n v="6"/>
    <n v="2"/>
    <n v="12"/>
    <n v="7"/>
    <n v="1"/>
    <n v="5"/>
    <n v="57.6"/>
    <s v="Jan"/>
    <d v="2015-01-30T15:02:50"/>
    <x v="13"/>
    <n v="6"/>
    <n v="15"/>
    <m/>
  </r>
  <r>
    <n v="1024"/>
    <s v="California"/>
    <s v="94941"/>
    <d v="2015-06-04T15:41:27"/>
    <d v="2015-06-04T11:41:33"/>
    <n v="1"/>
    <n v="0"/>
    <n v="2"/>
    <n v="2"/>
    <n v="1"/>
    <n v="1"/>
    <n v="27"/>
    <s v="Jun"/>
    <d v="2015-06-04T11:41:28"/>
    <x v="24"/>
    <n v="5"/>
    <n v="11"/>
    <m/>
  </r>
  <r>
    <n v="1025"/>
    <s v="California"/>
    <s v="94401"/>
    <d v="2015-08-02T19:22:48"/>
    <d v="2015-08-02T19:22:53"/>
    <n v="1"/>
    <n v="2"/>
    <n v="8"/>
    <n v="2"/>
    <n v="1"/>
    <n v="4"/>
    <n v="35.200000000000003"/>
    <s v="Aug"/>
    <d v="2015-08-02T19:22:49"/>
    <x v="30"/>
    <n v="1"/>
    <n v="19"/>
    <m/>
  </r>
  <r>
    <n v="1026"/>
    <s v="Nevada"/>
    <s v="89149"/>
    <d v="2015-06-29T19:34:06"/>
    <d v="2015-06-29T15:34:11"/>
    <n v="1"/>
    <n v="6"/>
    <n v="12"/>
    <n v="4"/>
    <n v="1"/>
    <n v="4"/>
    <n v="28.8"/>
    <s v="Jun"/>
    <d v="2015-06-29T15:34:07"/>
    <x v="26"/>
    <n v="2"/>
    <n v="15"/>
    <m/>
  </r>
  <r>
    <n v="1027"/>
    <s v="New York"/>
    <s v="12944"/>
    <d v="2015-06-27T12:07:04"/>
    <d v="2015-06-27T12:07:08"/>
    <n v="1"/>
    <n v="10"/>
    <n v="8"/>
    <n v="4"/>
    <n v="1"/>
    <n v="2"/>
    <n v="57.6"/>
    <s v="Jun"/>
    <d v="2015-06-27T12:07:04"/>
    <x v="28"/>
    <n v="7"/>
    <n v="12"/>
    <m/>
  </r>
  <r>
    <n v="1028"/>
    <m/>
    <m/>
    <d v="2015-03-14T19:54:25"/>
    <d v="2015-03-14T19:54:30"/>
    <n v="1"/>
    <n v="4"/>
    <n v="6"/>
    <n v="6"/>
    <n v="1"/>
    <n v="2"/>
    <n v="18"/>
    <s v="Mar"/>
    <d v="2015-03-14T20:37:32"/>
    <x v="25"/>
    <n v="7"/>
    <n v="20"/>
    <m/>
  </r>
  <r>
    <n v="1029"/>
    <s v="Florida"/>
    <s v="33510"/>
    <d v="2015-09-03T15:21:54"/>
    <d v="2015-09-03T11:21:58"/>
    <n v="1"/>
    <n v="16"/>
    <n v="6"/>
    <n v="2"/>
    <n v="1"/>
    <n v="1"/>
    <n v="27.2"/>
    <s v="Sep"/>
    <d v="2015-09-03T11:21:54"/>
    <x v="23"/>
    <n v="5"/>
    <n v="11"/>
    <m/>
  </r>
  <r>
    <n v="1030"/>
    <s v="Texas"/>
    <s v="75248"/>
    <d v="2015-01-20T21:35:25"/>
    <d v="2015-01-20T21:35:28"/>
    <n v="1"/>
    <n v="0"/>
    <n v="8"/>
    <n v="2"/>
    <n v="1"/>
    <n v="4"/>
    <n v="28.8"/>
    <s v="Jan"/>
    <d v="2015-01-20T21:35:26"/>
    <x v="15"/>
    <n v="3"/>
    <n v="21"/>
    <m/>
  </r>
  <r>
    <n v="1031"/>
    <s v="Virginia"/>
    <s v="23322"/>
    <d v="2015-06-23T08:56:31"/>
    <d v="2015-06-23T08:56:34"/>
    <n v="1"/>
    <n v="4"/>
    <n v="2"/>
    <n v="2"/>
    <n v="1"/>
    <n v="1"/>
    <n v="28.8"/>
    <s v="Jun"/>
    <d v="2015-06-23T08:56:31"/>
    <x v="10"/>
    <n v="3"/>
    <n v="8"/>
    <m/>
  </r>
  <r>
    <n v="1032"/>
    <s v="North Carolina"/>
    <s v="27713"/>
    <d v="2015-06-06T13:29:08"/>
    <d v="2015-06-06T09:29:14"/>
    <n v="1"/>
    <n v="0"/>
    <n v="2"/>
    <n v="2"/>
    <n v="1"/>
    <n v="1"/>
    <n v="28.8"/>
    <s v="Jun"/>
    <d v="2015-06-06T09:29:09"/>
    <x v="17"/>
    <n v="7"/>
    <n v="9"/>
    <m/>
  </r>
  <r>
    <n v="1033"/>
    <s v="Michigan"/>
    <s v="49417"/>
    <d v="2015-08-26T13:22:20"/>
    <d v="2015-08-26T13:22:23"/>
    <n v="1"/>
    <n v="2"/>
    <n v="2"/>
    <n v="4"/>
    <n v="1"/>
    <n v="1"/>
    <n v="29.92"/>
    <s v="Aug"/>
    <d v="2015-08-26T13:22:20"/>
    <x v="27"/>
    <n v="4"/>
    <n v="13"/>
    <m/>
  </r>
  <r>
    <n v="1035"/>
    <s v="California"/>
    <s v="92625"/>
    <d v="2015-05-23T19:31:48"/>
    <d v="2015-05-23T19:31:51"/>
    <n v="1"/>
    <n v="2"/>
    <n v="2"/>
    <n v="2"/>
    <n v="1"/>
    <n v="2"/>
    <n v="18"/>
    <s v="May"/>
    <d v="2015-05-23T19:31:49"/>
    <x v="10"/>
    <n v="7"/>
    <n v="19"/>
    <m/>
  </r>
  <r>
    <n v="1036"/>
    <s v="Pennsylvania"/>
    <s v="15905"/>
    <d v="2015-02-18T11:11:45"/>
    <d v="2015-02-18T11:11:50"/>
    <n v="1"/>
    <n v="2"/>
    <n v="10"/>
    <n v="1"/>
    <n v="1"/>
    <n v="4"/>
    <n v="28.8"/>
    <s v="Feb"/>
    <d v="2015-02-18T11:11:46"/>
    <x v="9"/>
    <n v="4"/>
    <n v="11"/>
    <m/>
  </r>
  <r>
    <n v="1037"/>
    <s v="Washington"/>
    <s v="98802"/>
    <d v="2015-03-25T17:45:36"/>
    <d v="2015-03-25T17:45:40"/>
    <n v="1"/>
    <n v="2"/>
    <n v="20"/>
    <n v="3"/>
    <n v="1"/>
    <n v="6"/>
    <n v="43.2"/>
    <s v="Mar"/>
    <d v="2015-03-25T17:48:06"/>
    <x v="3"/>
    <n v="4"/>
    <n v="17"/>
    <m/>
  </r>
  <r>
    <n v="1038"/>
    <s v="Alaska"/>
    <s v="99518"/>
    <d v="2015-01-20T11:34:08"/>
    <d v="2015-01-20T11:34:14"/>
    <n v="1"/>
    <n v="2"/>
    <n v="10"/>
    <n v="2"/>
    <n v="1"/>
    <n v="5"/>
    <n v="36"/>
    <s v="Jan"/>
    <d v="2015-01-20T11:34:11"/>
    <x v="15"/>
    <n v="3"/>
    <n v="11"/>
    <m/>
  </r>
  <r>
    <n v="1039"/>
    <m/>
    <m/>
    <d v="2014-12-12T16:51:30"/>
    <d v="2015-06-15T09:34:13"/>
    <n v="3"/>
    <n v="1"/>
    <n v="3"/>
    <n v="3"/>
    <n v="1"/>
    <n v="2"/>
    <n v="9"/>
    <s v="Jun"/>
    <d v="2015-06-15T09:36:10"/>
    <x v="0"/>
    <n v="2"/>
    <n v="9"/>
    <m/>
  </r>
  <r>
    <n v="1040"/>
    <m/>
    <m/>
    <d v="2015-03-10T14:29:53"/>
    <d v="2015-03-10T14:30:11"/>
    <n v="1"/>
    <n v="0"/>
    <n v="6"/>
    <n v="1"/>
    <n v="1"/>
    <n v="3"/>
    <n v="21.6"/>
    <s v="Mar"/>
    <d v="2015-03-10T14:29:55"/>
    <x v="7"/>
    <n v="3"/>
    <n v="14"/>
    <m/>
  </r>
  <r>
    <n v="1041"/>
    <s v="California"/>
    <s v="92705"/>
    <d v="2015-07-27T16:43:25"/>
    <d v="2015-07-27T16:43:29"/>
    <n v="1"/>
    <n v="6"/>
    <n v="8"/>
    <n v="5"/>
    <n v="1"/>
    <n v="3"/>
    <n v="50.24"/>
    <s v="Jul"/>
    <d v="2015-07-27T16:43:25"/>
    <x v="28"/>
    <n v="2"/>
    <n v="16"/>
    <m/>
  </r>
  <r>
    <n v="1042"/>
    <s v="Oklahoma"/>
    <s v="73008"/>
    <d v="2015-07-13T13:06:18"/>
    <d v="2015-07-13T09:06:23"/>
    <n v="1"/>
    <n v="4"/>
    <n v="4"/>
    <n v="2"/>
    <n v="1"/>
    <n v="2"/>
    <n v="57.6"/>
    <s v="Jul"/>
    <d v="2015-07-13T09:06:19"/>
    <x v="20"/>
    <n v="2"/>
    <n v="9"/>
    <m/>
  </r>
  <r>
    <n v="1043"/>
    <s v="Vermont"/>
    <s v="05655"/>
    <d v="2015-04-01T14:23:29"/>
    <d v="2015-04-01T14:23:35"/>
    <n v="1"/>
    <n v="2"/>
    <n v="6"/>
    <n v="1"/>
    <n v="1"/>
    <n v="3"/>
    <n v="27"/>
    <s v="Apr"/>
    <d v="2015-04-01T14:23:30"/>
    <x v="6"/>
    <n v="4"/>
    <n v="14"/>
    <m/>
  </r>
  <r>
    <n v="1044"/>
    <s v="Virginia"/>
    <s v="22611"/>
    <d v="2015-03-19T20:34:18"/>
    <d v="2015-03-19T20:34:30"/>
    <n v="1"/>
    <n v="0"/>
    <n v="6"/>
    <n v="1"/>
    <n v="1"/>
    <n v="3"/>
    <n v="21.6"/>
    <s v="Mar"/>
    <d v="2015-03-19T20:34:19"/>
    <x v="19"/>
    <n v="5"/>
    <n v="20"/>
    <m/>
  </r>
  <r>
    <n v="1045"/>
    <s v="California"/>
    <s v="91502"/>
    <d v="2015-08-21T00:23:47"/>
    <d v="2015-08-20T20:23:51"/>
    <n v="1"/>
    <n v="2"/>
    <n v="2"/>
    <n v="2"/>
    <n v="1"/>
    <n v="1"/>
    <n v="56.32"/>
    <s v="Aug"/>
    <d v="2015-08-20T20:23:48"/>
    <x v="15"/>
    <n v="5"/>
    <n v="20"/>
    <m/>
  </r>
  <r>
    <n v="1047"/>
    <m/>
    <m/>
    <d v="2015-04-21T15:59:43"/>
    <d v="2015-04-22T20:32:39"/>
    <n v="2"/>
    <n v="0"/>
    <n v="10"/>
    <n v="2"/>
    <n v="1"/>
    <n v="3"/>
    <n v="43.2"/>
    <s v="Apr"/>
    <d v="2015-04-21T16:00:05"/>
    <x v="18"/>
    <n v="3"/>
    <n v="16"/>
    <m/>
  </r>
  <r>
    <n v="1048"/>
    <s v="Kentucky"/>
    <s v="40353"/>
    <d v="2015-03-19T15:49:57"/>
    <d v="2015-03-19T15:50:00"/>
    <n v="1"/>
    <n v="0"/>
    <n v="2"/>
    <n v="2"/>
    <n v="1"/>
    <n v="1"/>
    <n v="36"/>
    <s v="Mar"/>
    <d v="2015-03-19T15:53:02"/>
    <x v="19"/>
    <n v="5"/>
    <n v="15"/>
    <m/>
  </r>
  <r>
    <n v="1049"/>
    <s v="Missouri"/>
    <s v="63130"/>
    <d v="2015-04-01T09:27:06"/>
    <d v="2015-04-01T09:27:10"/>
    <n v="1"/>
    <n v="2"/>
    <n v="2"/>
    <n v="2"/>
    <n v="1"/>
    <n v="1"/>
    <n v="28.8"/>
    <s v="Apr"/>
    <d v="2015-04-01T09:27:07"/>
    <x v="6"/>
    <n v="4"/>
    <n v="9"/>
    <m/>
  </r>
  <r>
    <n v="1051"/>
    <m/>
    <m/>
    <d v="2015-01-11T13:49:31"/>
    <d v="2015-01-26T10:35:09"/>
    <n v="4"/>
    <n v="4"/>
    <n v="11"/>
    <n v="3"/>
    <n v="1"/>
    <n v="2"/>
    <n v="72"/>
    <s v="Jan"/>
    <d v="2015-01-26T10:39:59"/>
    <x v="27"/>
    <n v="2"/>
    <n v="10"/>
    <m/>
  </r>
  <r>
    <n v="1052"/>
    <s v="North Carolina"/>
    <s v="27517"/>
    <d v="2015-09-02T12:27:53"/>
    <d v="2015-09-02T12:27:57"/>
    <n v="1"/>
    <n v="2"/>
    <n v="2"/>
    <n v="4"/>
    <n v="1"/>
    <n v="1"/>
    <n v="29.92"/>
    <s v="Sep"/>
    <d v="2015-09-02T12:27:53"/>
    <x v="30"/>
    <n v="4"/>
    <n v="12"/>
    <m/>
  </r>
  <r>
    <n v="1053"/>
    <s v="Kansas"/>
    <s v="66604"/>
    <d v="2015-03-17T13:51:24"/>
    <d v="2015-03-17T13:51:27"/>
    <n v="1"/>
    <n v="4"/>
    <n v="2"/>
    <n v="2"/>
    <n v="1"/>
    <n v="1"/>
    <n v="36"/>
    <s v="Mar"/>
    <d v="2015-03-17T13:57:15"/>
    <x v="8"/>
    <n v="3"/>
    <n v="13"/>
    <m/>
  </r>
  <r>
    <n v="1054"/>
    <s v="New York"/>
    <s v="10301"/>
    <d v="2015-06-08T00:14:55"/>
    <d v="2015-06-07T20:15:00"/>
    <n v="1"/>
    <n v="0"/>
    <n v="2"/>
    <n v="2"/>
    <n v="1"/>
    <n v="1"/>
    <n v="27"/>
    <s v="Jun"/>
    <d v="2015-06-07T20:14:56"/>
    <x v="16"/>
    <n v="1"/>
    <n v="20"/>
    <m/>
  </r>
  <r>
    <n v="1055"/>
    <s v="Iowa"/>
    <s v="52658"/>
    <d v="2015-05-29T20:58:10"/>
    <d v="2015-05-29T20:58:13"/>
    <n v="1"/>
    <n v="0"/>
    <n v="4"/>
    <n v="2"/>
    <n v="1"/>
    <n v="2"/>
    <n v="14.4"/>
    <s v="May"/>
    <d v="2015-05-29T20:58:10"/>
    <x v="26"/>
    <n v="6"/>
    <n v="20"/>
    <m/>
  </r>
  <r>
    <n v="1056"/>
    <s v="Minnesota"/>
    <s v="55807"/>
    <d v="2015-05-04T16:22:34"/>
    <d v="2015-05-04T19:23:14"/>
    <n v="3"/>
    <n v="0"/>
    <n v="6"/>
    <n v="2"/>
    <n v="1"/>
    <n v="3"/>
    <n v="27"/>
    <s v="May"/>
    <d v="2015-05-04T16:22:35"/>
    <x v="24"/>
    <n v="2"/>
    <n v="16"/>
    <m/>
  </r>
  <r>
    <n v="1057"/>
    <s v="Maryland"/>
    <s v="21042"/>
    <d v="2015-05-21T14:00:56"/>
    <d v="2015-05-21T14:00:58"/>
    <n v="1"/>
    <n v="2"/>
    <n v="6"/>
    <n v="2"/>
    <n v="1"/>
    <n v="3"/>
    <n v="21.6"/>
    <s v="May"/>
    <d v="2015-05-21T14:00:56"/>
    <x v="18"/>
    <n v="5"/>
    <n v="14"/>
    <m/>
  </r>
  <r>
    <n v="1058"/>
    <s v="Virginia"/>
    <s v="24018"/>
    <d v="2015-02-16T18:23:39"/>
    <d v="2015-02-16T18:23:47"/>
    <n v="1"/>
    <n v="0"/>
    <n v="16"/>
    <n v="1"/>
    <n v="1"/>
    <n v="7"/>
    <n v="49.99"/>
    <s v="Feb"/>
    <d v="2015-02-16T18:23:42"/>
    <x v="22"/>
    <n v="2"/>
    <n v="18"/>
    <m/>
  </r>
  <r>
    <n v="1059"/>
    <m/>
    <m/>
    <d v="2015-01-29T11:10:47"/>
    <d v="2015-01-29T11:14:37"/>
    <n v="2"/>
    <n v="2"/>
    <n v="2"/>
    <n v="2"/>
    <n v="1"/>
    <n v="2"/>
    <n v="9"/>
    <s v="Jan"/>
    <d v="2015-01-29T12:14:25"/>
    <x v="26"/>
    <n v="5"/>
    <n v="12"/>
    <m/>
  </r>
  <r>
    <n v="1060"/>
    <s v="Nebraska"/>
    <s v="68022"/>
    <d v="2015-08-27T08:19:09"/>
    <d v="2015-08-27T08:19:13"/>
    <n v="1"/>
    <n v="2"/>
    <n v="8"/>
    <n v="2"/>
    <n v="1"/>
    <n v="4"/>
    <n v="44"/>
    <s v="Aug"/>
    <d v="2015-08-27T08:19:10"/>
    <x v="28"/>
    <n v="5"/>
    <n v="8"/>
    <m/>
  </r>
  <r>
    <n v="1061"/>
    <s v="Wisconsin"/>
    <s v="53042"/>
    <d v="2015-08-11T15:35:37"/>
    <d v="2015-08-11T11:35:38"/>
    <n v="1"/>
    <n v="6"/>
    <n v="18"/>
    <n v="7"/>
    <n v="2"/>
    <n v="6"/>
    <n v="33"/>
    <s v="Aug"/>
    <d v="2015-08-11T11:48:10"/>
    <x v="12"/>
    <n v="3"/>
    <n v="11"/>
    <m/>
  </r>
  <r>
    <n v="1062"/>
    <s v="Maryland"/>
    <s v="20817"/>
    <d v="2015-02-04T18:24:48"/>
    <d v="2015-02-05T22:49:00"/>
    <n v="3"/>
    <n v="8"/>
    <n v="12"/>
    <n v="2"/>
    <n v="1"/>
    <n v="4"/>
    <n v="30.6"/>
    <s v="Feb"/>
    <d v="2015-02-04T18:24:49"/>
    <x v="24"/>
    <n v="4"/>
    <n v="18"/>
    <m/>
  </r>
  <r>
    <n v="1063"/>
    <s v="Florida"/>
    <s v="34711"/>
    <d v="2015-03-20T20:43:34"/>
    <d v="2015-03-20T20:43:41"/>
    <n v="1"/>
    <n v="0"/>
    <n v="22"/>
    <n v="1"/>
    <n v="1"/>
    <n v="6"/>
    <n v="43.2"/>
    <s v="Mar"/>
    <d v="2015-03-20T20:43:35"/>
    <x v="15"/>
    <n v="6"/>
    <n v="20"/>
    <m/>
  </r>
  <r>
    <n v="1064"/>
    <s v="Pennsylvania"/>
    <s v="17777"/>
    <d v="2015-06-11T07:56:27"/>
    <d v="2015-06-11T07:56:30"/>
    <n v="1"/>
    <n v="2"/>
    <n v="4"/>
    <n v="2"/>
    <n v="1"/>
    <n v="4"/>
    <n v="28.8"/>
    <s v="Jun"/>
    <d v="2015-06-11T07:56:27"/>
    <x v="12"/>
    <n v="5"/>
    <n v="7"/>
    <m/>
  </r>
  <r>
    <n v="1066"/>
    <s v="Oregon"/>
    <s v="97305"/>
    <d v="2015-03-22T23:02:41"/>
    <d v="2015-03-22T23:02:47"/>
    <n v="1"/>
    <n v="0"/>
    <n v="6"/>
    <n v="1"/>
    <n v="1"/>
    <n v="3"/>
    <n v="27"/>
    <s v="Mar"/>
    <d v="2015-03-22T23:02:42"/>
    <x v="1"/>
    <n v="1"/>
    <n v="23"/>
    <m/>
  </r>
  <r>
    <n v="1067"/>
    <s v="Florida"/>
    <s v="32439"/>
    <d v="2015-01-12T07:49:36"/>
    <d v="2015-01-12T07:49:41"/>
    <n v="1"/>
    <n v="6"/>
    <n v="2"/>
    <n v="2"/>
    <n v="1"/>
    <n v="1"/>
    <n v="57.6"/>
    <s v="Jan"/>
    <d v="2015-01-12T07:49:38"/>
    <x v="5"/>
    <n v="2"/>
    <n v="7"/>
    <m/>
  </r>
  <r>
    <n v="1068"/>
    <s v="New Jersey"/>
    <s v="07853"/>
    <d v="2015-02-08T10:51:23"/>
    <d v="2015-02-08T10:51:28"/>
    <n v="1"/>
    <n v="0"/>
    <n v="2"/>
    <n v="1"/>
    <n v="1"/>
    <n v="4"/>
    <n v="30.6"/>
    <s v="Feb"/>
    <d v="2015-02-08T10:51:24"/>
    <x v="29"/>
    <n v="1"/>
    <n v="10"/>
    <m/>
  </r>
  <r>
    <n v="1069"/>
    <s v="New York"/>
    <s v="10018"/>
    <d v="2015-05-22T16:52:52"/>
    <d v="2015-05-22T16:52:56"/>
    <n v="1"/>
    <n v="2"/>
    <n v="4"/>
    <n v="4"/>
    <n v="1"/>
    <n v="2"/>
    <n v="57.6"/>
    <s v="May"/>
    <d v="2015-05-22T16:52:53"/>
    <x v="1"/>
    <n v="6"/>
    <n v="16"/>
    <m/>
  </r>
  <r>
    <n v="1070"/>
    <s v="Tennessee"/>
    <s v="37716"/>
    <d v="2015-07-24T18:29:37"/>
    <d v="2015-07-24T14:29:41"/>
    <n v="1"/>
    <n v="2"/>
    <n v="2"/>
    <n v="2"/>
    <n v="1"/>
    <n v="1"/>
    <n v="32.64"/>
    <s v="Jul"/>
    <d v="2015-07-24T14:29:37"/>
    <x v="11"/>
    <n v="6"/>
    <n v="14"/>
    <m/>
  </r>
  <r>
    <n v="1071"/>
    <m/>
    <m/>
    <d v="2015-06-08T14:56:46"/>
    <d v="2015-06-08T10:56:48"/>
    <n v="1"/>
    <n v="2"/>
    <n v="2"/>
    <n v="2"/>
    <n v="1"/>
    <n v="2"/>
    <n v="18"/>
    <s v="Jun"/>
    <d v="2015-06-08T11:00:44"/>
    <x v="29"/>
    <n v="2"/>
    <n v="11"/>
    <m/>
  </r>
  <r>
    <n v="1072"/>
    <s v="California"/>
    <s v="94568"/>
    <d v="2015-04-07T17:22:58"/>
    <d v="2015-04-07T17:23:03"/>
    <n v="1"/>
    <n v="0"/>
    <n v="2"/>
    <n v="1"/>
    <n v="1"/>
    <n v="2"/>
    <n v="9"/>
    <s v="Apr"/>
    <d v="2015-04-07T17:22:59"/>
    <x v="16"/>
    <n v="3"/>
    <n v="17"/>
    <m/>
  </r>
  <r>
    <n v="1073"/>
    <m/>
    <m/>
    <d v="2014-12-15T23:51:36"/>
    <d v="2015-04-07T16:30:14"/>
    <n v="3"/>
    <n v="2"/>
    <n v="11"/>
    <n v="13"/>
    <n v="1"/>
    <n v="6"/>
    <n v="43.2"/>
    <s v="Apr"/>
    <d v="2015-04-07T16:33:26"/>
    <x v="16"/>
    <n v="3"/>
    <n v="16"/>
    <m/>
  </r>
  <r>
    <n v="1074"/>
    <s v="District of Columbia"/>
    <s v="20016"/>
    <d v="2015-01-03T07:46:27"/>
    <d v="2015-01-03T07:46:32"/>
    <n v="1"/>
    <n v="0"/>
    <n v="4"/>
    <n v="2"/>
    <n v="1"/>
    <n v="2"/>
    <n v="8"/>
    <s v="Jan"/>
    <d v="2015-01-03T07:46:28"/>
    <x v="23"/>
    <n v="7"/>
    <n v="7"/>
    <m/>
  </r>
  <r>
    <n v="1075"/>
    <m/>
    <m/>
    <d v="2015-01-12T15:27:01"/>
    <d v="2015-01-12T17:27:12"/>
    <n v="2"/>
    <n v="0"/>
    <n v="15"/>
    <n v="8"/>
    <n v="1"/>
    <n v="5"/>
    <n v="36"/>
    <s v="Jan"/>
    <d v="2015-01-12T17:39:18"/>
    <x v="5"/>
    <n v="2"/>
    <n v="17"/>
    <m/>
  </r>
  <r>
    <n v="1076"/>
    <s v="Minnesota"/>
    <s v="55317"/>
    <d v="2015-06-26T16:16:53"/>
    <d v="2015-06-26T16:16:58"/>
    <n v="1"/>
    <n v="14"/>
    <n v="12"/>
    <n v="2"/>
    <n v="1"/>
    <n v="10"/>
    <n v="76.8"/>
    <s v="Jun"/>
    <d v="2015-06-26T16:16:54"/>
    <x v="27"/>
    <n v="6"/>
    <n v="16"/>
    <m/>
  </r>
  <r>
    <n v="1077"/>
    <s v="Washington"/>
    <s v="98837"/>
    <d v="2015-02-09T20:19:40"/>
    <d v="2015-02-09T20:19:46"/>
    <n v="1"/>
    <n v="4"/>
    <n v="10"/>
    <n v="1"/>
    <n v="1"/>
    <n v="4"/>
    <n v="30.6"/>
    <s v="Feb"/>
    <d v="2015-02-09T20:19:41"/>
    <x v="21"/>
    <n v="2"/>
    <n v="20"/>
    <m/>
  </r>
  <r>
    <n v="1078"/>
    <s v="Maine"/>
    <s v="04011"/>
    <d v="2015-07-22T07:54:30"/>
    <d v="2015-07-22T07:54:39"/>
    <n v="1"/>
    <n v="4"/>
    <n v="2"/>
    <n v="2"/>
    <n v="1"/>
    <n v="1"/>
    <n v="28.05"/>
    <s v="Jul"/>
    <d v="2015-07-22T07:54:31"/>
    <x v="1"/>
    <n v="4"/>
    <n v="7"/>
    <m/>
  </r>
  <r>
    <n v="1079"/>
    <m/>
    <m/>
    <d v="2015-06-10T15:22:38"/>
    <d v="2015-06-10T11:22:40"/>
    <n v="1"/>
    <n v="0"/>
    <n v="2"/>
    <n v="1"/>
    <n v="1"/>
    <n v="2"/>
    <n v="18"/>
    <s v="Jun"/>
    <d v="2015-06-10T11:28:01"/>
    <x v="7"/>
    <n v="4"/>
    <n v="11"/>
    <m/>
  </r>
  <r>
    <n v="1080"/>
    <s v="Minnesota"/>
    <s v="56554"/>
    <d v="2015-07-14T21:25:38"/>
    <d v="2015-07-15T12:00:47"/>
    <n v="3"/>
    <n v="4"/>
    <n v="4"/>
    <n v="7"/>
    <n v="1"/>
    <n v="1"/>
    <n v="56.32"/>
    <s v="Jul"/>
    <d v="2015-07-14T17:28:13"/>
    <x v="25"/>
    <n v="3"/>
    <n v="17"/>
    <m/>
  </r>
  <r>
    <n v="1081"/>
    <s v="Washington"/>
    <s v="98321"/>
    <d v="2015-06-08T14:00:20"/>
    <d v="2015-06-08T14:00:50"/>
    <n v="1"/>
    <n v="0"/>
    <n v="2"/>
    <n v="2"/>
    <n v="1"/>
    <n v="1"/>
    <n v="9"/>
    <s v="Jun"/>
    <d v="2015-06-08T14:00:44"/>
    <x v="29"/>
    <n v="2"/>
    <n v="14"/>
    <m/>
  </r>
  <r>
    <n v="1082"/>
    <s v="New York"/>
    <s v="14845"/>
    <d v="2015-05-21T10:16:59"/>
    <d v="2015-05-21T10:17:02"/>
    <n v="1"/>
    <n v="2"/>
    <n v="8"/>
    <n v="3"/>
    <n v="1"/>
    <n v="4"/>
    <n v="28.8"/>
    <s v="May"/>
    <d v="2015-05-21T10:17:00"/>
    <x v="18"/>
    <n v="5"/>
    <n v="10"/>
    <m/>
  </r>
  <r>
    <n v="1083"/>
    <s v="Michigan"/>
    <s v="48867"/>
    <d v="2015-07-28T15:12:13"/>
    <d v="2015-07-28T15:12:16"/>
    <n v="1"/>
    <n v="8"/>
    <n v="4"/>
    <n v="2"/>
    <n v="1"/>
    <n v="2"/>
    <n v="16"/>
    <s v="Jul"/>
    <d v="2015-07-28T15:12:13"/>
    <x v="4"/>
    <n v="3"/>
    <n v="15"/>
    <m/>
  </r>
  <r>
    <n v="1084"/>
    <s v="New York"/>
    <s v="14216"/>
    <d v="2015-03-16T09:04:32"/>
    <d v="2015-03-16T09:04:36"/>
    <n v="1"/>
    <n v="4"/>
    <n v="2"/>
    <n v="1"/>
    <n v="1"/>
    <n v="2"/>
    <n v="18"/>
    <s v="Mar"/>
    <d v="2015-03-16T09:04:33"/>
    <x v="22"/>
    <n v="2"/>
    <n v="9"/>
    <m/>
  </r>
  <r>
    <n v="1085"/>
    <s v="Maryland"/>
    <s v="21773"/>
    <d v="2015-01-10T17:27:04"/>
    <d v="2015-01-10T17:27:07"/>
    <n v="1"/>
    <n v="2"/>
    <n v="8"/>
    <n v="2"/>
    <n v="1"/>
    <n v="4"/>
    <n v="36"/>
    <s v="Jan"/>
    <d v="2015-01-10T17:31:31"/>
    <x v="7"/>
    <n v="7"/>
    <n v="17"/>
    <m/>
  </r>
  <r>
    <n v="1086"/>
    <s v="Texas"/>
    <s v="77578"/>
    <d v="2015-07-16T21:33:35"/>
    <d v="2015-07-16T17:33:41"/>
    <n v="1"/>
    <n v="10"/>
    <n v="10"/>
    <n v="2"/>
    <n v="1"/>
    <n v="5"/>
    <n v="186.88"/>
    <s v="Jul"/>
    <d v="2015-07-16T17:33:37"/>
    <x v="22"/>
    <n v="5"/>
    <n v="17"/>
    <m/>
  </r>
  <r>
    <n v="1087"/>
    <s v="Kentucky"/>
    <s v="40057"/>
    <d v="2015-09-02T11:36:31"/>
    <d v="2015-09-02T07:36:37"/>
    <n v="1"/>
    <n v="2"/>
    <n v="2"/>
    <n v="2"/>
    <n v="1"/>
    <n v="1"/>
    <n v="29.92"/>
    <s v="Sep"/>
    <d v="2015-09-02T07:36:32"/>
    <x v="30"/>
    <n v="4"/>
    <n v="7"/>
    <m/>
  </r>
  <r>
    <n v="1088"/>
    <s v="Iowa"/>
    <s v="51334"/>
    <d v="2015-07-13T21:54:03"/>
    <d v="2015-07-13T21:54:07"/>
    <n v="1"/>
    <n v="2"/>
    <n v="8"/>
    <n v="4"/>
    <n v="1"/>
    <n v="4"/>
    <n v="36"/>
    <s v="Jul"/>
    <d v="2015-07-13T21:54:03"/>
    <x v="20"/>
    <n v="2"/>
    <n v="21"/>
    <m/>
  </r>
  <r>
    <n v="1089"/>
    <s v="Massachusetts"/>
    <s v="02190"/>
    <d v="2015-09-01T20:40:03"/>
    <d v="2015-09-01T20:40:06"/>
    <n v="1"/>
    <n v="2"/>
    <n v="4"/>
    <n v="2"/>
    <n v="1"/>
    <n v="2"/>
    <n v="59.84"/>
    <s v="Sep"/>
    <d v="2015-09-01T20:40:03"/>
    <x v="6"/>
    <n v="3"/>
    <n v="20"/>
    <m/>
  </r>
  <r>
    <n v="1090"/>
    <s v="Alabama"/>
    <s v="35756"/>
    <d v="2015-06-08T13:11:34"/>
    <d v="2015-06-08T13:11:38"/>
    <n v="1"/>
    <n v="0"/>
    <n v="2"/>
    <n v="2"/>
    <n v="1"/>
    <n v="1"/>
    <n v="36"/>
    <s v="Jun"/>
    <d v="2015-06-08T13:11:35"/>
    <x v="29"/>
    <n v="2"/>
    <n v="13"/>
    <m/>
  </r>
  <r>
    <n v="1091"/>
    <s v="New Jersey"/>
    <s v="07481"/>
    <d v="2015-03-14T08:50:56"/>
    <d v="2015-03-14T08:51:00"/>
    <n v="1"/>
    <n v="0"/>
    <n v="2"/>
    <n v="1"/>
    <n v="1"/>
    <n v="4"/>
    <n v="28.8"/>
    <s v="Mar"/>
    <d v="2015-03-14T08:50:57"/>
    <x v="25"/>
    <n v="7"/>
    <n v="8"/>
    <m/>
  </r>
  <r>
    <n v="1092"/>
    <s v="New York"/>
    <s v="10511"/>
    <d v="2015-03-21T16:15:31"/>
    <d v="2015-03-21T16:15:36"/>
    <n v="1"/>
    <n v="4"/>
    <n v="2"/>
    <n v="1"/>
    <n v="1"/>
    <n v="1"/>
    <n v="57.6"/>
    <s v="Mar"/>
    <d v="2015-03-21T16:15:32"/>
    <x v="18"/>
    <n v="7"/>
    <n v="16"/>
    <m/>
  </r>
  <r>
    <n v="1093"/>
    <s v="Minnesota"/>
    <s v="55369"/>
    <d v="2015-08-15T18:07:20"/>
    <d v="2015-08-18T12:21:39"/>
    <n v="3"/>
    <n v="2"/>
    <n v="3"/>
    <n v="8"/>
    <n v="1"/>
    <n v="1"/>
    <n v="37.4"/>
    <s v="Aug"/>
    <d v="2015-08-18T12:26:33"/>
    <x v="9"/>
    <n v="3"/>
    <n v="12"/>
    <m/>
  </r>
  <r>
    <n v="1094"/>
    <s v="Massachusetts"/>
    <s v="02081"/>
    <d v="2015-06-10T13:58:42"/>
    <d v="2015-06-10T13:58:48"/>
    <n v="1"/>
    <n v="12"/>
    <n v="20"/>
    <n v="7"/>
    <n v="1"/>
    <n v="4"/>
    <n v="28.8"/>
    <s v="Jun"/>
    <d v="2015-06-10T13:58:44"/>
    <x v="7"/>
    <n v="4"/>
    <n v="13"/>
    <m/>
  </r>
  <r>
    <n v="1095"/>
    <s v="Virginia"/>
    <s v="24018"/>
    <d v="2015-03-15T17:55:15"/>
    <d v="2015-03-15T17:55:20"/>
    <n v="1"/>
    <n v="2"/>
    <n v="6"/>
    <n v="1"/>
    <n v="1"/>
    <n v="2"/>
    <n v="14.4"/>
    <s v="Mar"/>
    <d v="2015-03-15T17:55:16"/>
    <x v="0"/>
    <n v="1"/>
    <n v="17"/>
    <m/>
  </r>
  <r>
    <n v="1096"/>
    <s v="California"/>
    <s v="90046"/>
    <d v="2015-01-14T17:59:42"/>
    <d v="2015-01-14T17:59:46"/>
    <n v="1"/>
    <n v="0"/>
    <n v="4"/>
    <n v="3"/>
    <n v="1"/>
    <n v="1"/>
    <n v="63"/>
    <s v="Jan"/>
    <d v="2015-01-14T17:59:44"/>
    <x v="25"/>
    <n v="4"/>
    <n v="17"/>
    <m/>
  </r>
  <r>
    <n v="1097"/>
    <s v="Alabama"/>
    <s v="35126"/>
    <d v="2015-09-05T04:35:33"/>
    <d v="2015-09-05T00:35:38"/>
    <n v="1"/>
    <n v="2"/>
    <n v="4"/>
    <n v="5"/>
    <n v="1"/>
    <n v="2"/>
    <n v="59.84"/>
    <s v="Sep"/>
    <d v="2015-09-05T00:35:34"/>
    <x v="2"/>
    <n v="7"/>
    <n v="0"/>
    <m/>
  </r>
  <r>
    <n v="1098"/>
    <s v="California"/>
    <s v="93555"/>
    <d v="2015-08-15T20:44:04"/>
    <d v="2015-08-15T20:44:07"/>
    <n v="1"/>
    <n v="2"/>
    <n v="2"/>
    <n v="2"/>
    <n v="1"/>
    <n v="1"/>
    <n v="28.05"/>
    <s v="Aug"/>
    <d v="2015-08-15T20:44:04"/>
    <x v="0"/>
    <n v="7"/>
    <n v="20"/>
    <m/>
  </r>
  <r>
    <n v="1099"/>
    <m/>
    <m/>
    <d v="2015-07-20T23:10:10"/>
    <d v="2015-07-20T19:10:12"/>
    <n v="1"/>
    <n v="0"/>
    <n v="2"/>
    <n v="2"/>
    <n v="1"/>
    <n v="1"/>
    <n v="29.92"/>
    <s v="Jul"/>
    <d v="2015-07-20T19:13:28"/>
    <x v="15"/>
    <n v="2"/>
    <n v="19"/>
    <m/>
  </r>
  <r>
    <n v="1100"/>
    <s v="New York"/>
    <s v="14617"/>
    <d v="2015-05-29T05:02:58"/>
    <d v="2015-05-29T05:03:02"/>
    <n v="1"/>
    <n v="2"/>
    <n v="2"/>
    <n v="3"/>
    <n v="1"/>
    <n v="1"/>
    <n v="28.8"/>
    <s v="May"/>
    <d v="2015-05-29T05:02:59"/>
    <x v="26"/>
    <n v="6"/>
    <n v="5"/>
    <m/>
  </r>
  <r>
    <m/>
    <m/>
    <m/>
    <m/>
    <m/>
    <m/>
    <m/>
    <m/>
    <m/>
    <m/>
    <m/>
    <m/>
    <m/>
    <m/>
    <x v="3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AC43D-6BDD-48D5-A5D3-CD65A9D9A327}"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12"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0"/>
        <item x="1"/>
        <item x="2"/>
        <item x="3"/>
        <item x="4"/>
        <item x="5"/>
        <item x="6"/>
        <item x="7"/>
        <item x="8"/>
        <item t="default"/>
      </items>
    </pivotField>
    <pivotField axis="axisRow" dataField="1" compact="0" outline="0" showAll="0">
      <items count="12">
        <item h="1" x="0"/>
        <item x="1"/>
        <item x="2"/>
        <item x="3"/>
        <item x="4"/>
        <item x="5"/>
        <item x="6"/>
        <item x="7"/>
        <item x="8"/>
        <item x="9"/>
        <item x="10"/>
        <item t="default"/>
      </items>
    </pivotField>
    <pivotField compact="0" outline="0" showAll="0"/>
    <pivotField compact="0" outline="0" showAll="0"/>
    <pivotField compact="0" outline="0" showAll="0"/>
    <pivotField compact="0" outline="0" showAll="0"/>
  </pivotFields>
  <rowFields count="1">
    <field x="11"/>
  </rowFields>
  <rowItems count="11">
    <i>
      <x v="1"/>
    </i>
    <i>
      <x v="2"/>
    </i>
    <i>
      <x v="3"/>
    </i>
    <i>
      <x v="4"/>
    </i>
    <i>
      <x v="5"/>
    </i>
    <i>
      <x v="6"/>
    </i>
    <i>
      <x v="7"/>
    </i>
    <i>
      <x v="8"/>
    </i>
    <i>
      <x v="9"/>
    </i>
    <i>
      <x v="10"/>
    </i>
    <i t="grand">
      <x/>
    </i>
  </rowItems>
  <colItems count="1">
    <i/>
  </colItems>
  <dataFields count="1">
    <dataField name="Count of First Order Revenue" fld="11" subtotal="count"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400A0-7371-461A-8641-E36AD7DD1D24}"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10"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10">
        <item h="1"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s>
  <rowFields count="1">
    <field x="10"/>
  </rowFields>
  <rowItems count="9">
    <i>
      <x v="1"/>
    </i>
    <i>
      <x v="2"/>
    </i>
    <i>
      <x v="3"/>
    </i>
    <i>
      <x v="4"/>
    </i>
    <i>
      <x v="5"/>
    </i>
    <i>
      <x v="6"/>
    </i>
    <i>
      <x v="7"/>
    </i>
    <i>
      <x v="8"/>
    </i>
    <i t="grand">
      <x/>
    </i>
  </rowItems>
  <colItems count="1">
    <i/>
  </colItems>
  <dataFields count="1">
    <dataField name="Count of Items purchased" fld="10" subtotal="count" baseField="1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08881-0E9D-466B-BEEC-CBEA9B25E0CC}"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3"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3">
        <item x="6"/>
        <item x="30"/>
        <item x="23"/>
        <item x="24"/>
        <item x="2"/>
        <item x="17"/>
        <item x="16"/>
        <item x="29"/>
        <item x="21"/>
        <item x="7"/>
        <item x="12"/>
        <item x="5"/>
        <item x="20"/>
        <item x="25"/>
        <item x="0"/>
        <item x="22"/>
        <item x="8"/>
        <item x="9"/>
        <item x="19"/>
        <item x="15"/>
        <item x="18"/>
        <item x="1"/>
        <item x="10"/>
        <item x="11"/>
        <item x="3"/>
        <item x="27"/>
        <item x="28"/>
        <item x="4"/>
        <item x="26"/>
        <item x="13"/>
        <item x="14"/>
        <item h="1" x="31"/>
        <item t="default"/>
      </items>
    </pivotField>
    <pivotField showAll="0"/>
    <pivotField showAll="0"/>
    <pivotField showAll="0"/>
  </pivotFields>
  <rowFields count="1">
    <field x="1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First Order Purchase day" fld="14" subtotal="count" baseField="1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01FC8-B605-436B-ADD5-F07950532267}"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I29" firstHeaderRow="1" firstDataRow="2" firstDataCol="1"/>
  <pivotFields count="16">
    <pivotField showAll="0"/>
    <pivotField showAll="0"/>
    <pivotField showAll="0"/>
    <pivotField numFmtId="22" showAll="0"/>
    <pivotField numFmtId="22" showAll="0"/>
    <pivotField showAll="0"/>
    <pivotField showAll="0"/>
    <pivotField showAll="0"/>
    <pivotField showAll="0"/>
    <pivotField showAll="0"/>
    <pivotField showAll="0"/>
    <pivotField dataField="1" showAll="0"/>
    <pivotField numFmtId="22" showAll="0"/>
    <pivotField showAll="0"/>
    <pivotField axis="axisCol" showAll="0">
      <items count="8">
        <item x="2"/>
        <item x="3"/>
        <item x="5"/>
        <item x="6"/>
        <item x="1"/>
        <item x="4"/>
        <item x="0"/>
        <item t="default"/>
      </items>
    </pivotField>
    <pivotField axis="axisRow" showAll="0">
      <items count="25">
        <item x="14"/>
        <item x="20"/>
        <item x="21"/>
        <item x="19"/>
        <item x="23"/>
        <item x="22"/>
        <item x="11"/>
        <item x="16"/>
        <item x="18"/>
        <item x="15"/>
        <item x="13"/>
        <item x="3"/>
        <item x="7"/>
        <item x="17"/>
        <item x="9"/>
        <item x="10"/>
        <item x="4"/>
        <item x="8"/>
        <item x="6"/>
        <item x="12"/>
        <item x="5"/>
        <item x="2"/>
        <item x="1"/>
        <item x="0"/>
        <item t="default"/>
      </items>
    </pivotField>
  </pivotFields>
  <rowFields count="1">
    <field x="1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4"/>
  </colFields>
  <colItems count="8">
    <i>
      <x/>
    </i>
    <i>
      <x v="1"/>
    </i>
    <i>
      <x v="2"/>
    </i>
    <i>
      <x v="3"/>
    </i>
    <i>
      <x v="4"/>
    </i>
    <i>
      <x v="5"/>
    </i>
    <i>
      <x v="6"/>
    </i>
    <i t="grand">
      <x/>
    </i>
  </colItems>
  <dataFields count="1">
    <dataField name="Count of First Order Revenue" fld="11"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6DA8BC-D91D-448D-BAF1-7767F43A30AB}"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3" firstHeaderRow="1" firstDataRow="1" firstDataCol="1"/>
  <pivotFields count="18">
    <pivotField showAll="0"/>
    <pivotField showAll="0"/>
    <pivotField showAll="0"/>
    <pivotField numFmtId="22" showAll="0"/>
    <pivotField numFmtId="22" showAll="0"/>
    <pivotField showAll="0"/>
    <pivotField showAll="0"/>
    <pivotField showAll="0"/>
    <pivotField showAll="0"/>
    <pivotField showAll="0"/>
    <pivotField showAll="0"/>
    <pivotField dataField="1" showAll="0"/>
    <pivotField axis="axisRow" showAll="0">
      <items count="10">
        <item x="1"/>
        <item x="3"/>
        <item x="8"/>
        <item x="7"/>
        <item x="4"/>
        <item x="6"/>
        <item x="2"/>
        <item x="0"/>
        <item x="5"/>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7"/>
    </i>
    <i>
      <x v="8"/>
    </i>
    <i t="grand">
      <x/>
    </i>
  </rowItems>
  <colItems count="1">
    <i/>
  </colItems>
  <dataFields count="1">
    <dataField name="Average of First Order Revenue" fld="11" subtotal="average" baseField="1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A3200E-9F1B-432B-A186-7C546031DC9A}"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1" firstHeaderRow="0" firstDataRow="1" firstDataCol="1"/>
  <pivotFields count="18">
    <pivotField showAll="0"/>
    <pivotField showAll="0"/>
    <pivotField showAll="0"/>
    <pivotField numFmtId="22" showAll="0"/>
    <pivotField numFmtId="22" showAll="0"/>
    <pivotField showAll="0"/>
    <pivotField showAll="0"/>
    <pivotField showAll="0"/>
    <pivotField showAll="0"/>
    <pivotField showAll="0"/>
    <pivotField showAll="0"/>
    <pivotField dataField="1"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8">
        <item x="2"/>
        <item x="3"/>
        <item x="5"/>
        <item x="6"/>
        <item x="1"/>
        <item x="4"/>
        <item x="0"/>
        <item t="default"/>
      </items>
    </pivotField>
    <pivotField showAll="0"/>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Fields count="1">
    <field x="-2"/>
  </colFields>
  <colItems count="2">
    <i>
      <x/>
    </i>
    <i i="1">
      <x v="1"/>
    </i>
  </colItems>
  <dataFields count="2">
    <dataField name="Count of First Order Revenue" fld="11" subtotal="count" baseField="15" baseItem="0"/>
    <dataField name="Average of First Order Revenue" fld="11"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BF12DC-898E-4F5A-882C-AEAEA611456F}"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28" firstHeaderRow="1" firstDataRow="1" firstDataCol="1"/>
  <pivotFields count="18">
    <pivotField showAll="0"/>
    <pivotField showAll="0"/>
    <pivotField showAll="0"/>
    <pivotField numFmtId="22" showAll="0"/>
    <pivotField numFmtId="22" showAll="0"/>
    <pivotField showAll="0"/>
    <pivotField showAll="0"/>
    <pivotField showAll="0"/>
    <pivotField showAll="0"/>
    <pivotField showAll="0"/>
    <pivotField showAll="0"/>
    <pivotField dataField="1"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25">
        <item x="14"/>
        <item x="20"/>
        <item x="21"/>
        <item x="19"/>
        <item x="23"/>
        <item x="22"/>
        <item x="11"/>
        <item x="16"/>
        <item x="18"/>
        <item x="15"/>
        <item x="13"/>
        <item x="3"/>
        <item x="7"/>
        <item x="17"/>
        <item x="9"/>
        <item x="10"/>
        <item x="4"/>
        <item x="8"/>
        <item x="6"/>
        <item x="12"/>
        <item x="5"/>
        <item x="2"/>
        <item x="1"/>
        <item x="0"/>
        <item t="default"/>
      </items>
    </pivotField>
    <pivotField showAll="0">
      <items count="15">
        <item x="0"/>
        <item x="1"/>
        <item x="2"/>
        <item x="3"/>
        <item x="4"/>
        <item x="5"/>
        <item x="6"/>
        <item x="7"/>
        <item x="8"/>
        <item x="9"/>
        <item x="10"/>
        <item x="11"/>
        <item x="12"/>
        <item x="13"/>
        <item t="default"/>
      </items>
    </pivotField>
  </pivotFields>
  <rowFields count="1">
    <field x="1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First Order Revenue" fld="11" subtotal="average" baseField="16"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0DA8F4-F1B7-4610-A0F5-78F68CF6003B}"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63" firstHeaderRow="1" firstDataRow="1" firstDataCol="1"/>
  <pivotFields count="18">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 axis="axisRow" dataField="1"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2">
    <field x="17"/>
    <field x="13"/>
  </rowFields>
  <rowItems count="260">
    <i>
      <x v="1"/>
    </i>
    <i r="1">
      <x v="2"/>
    </i>
    <i r="1">
      <x v="3"/>
    </i>
    <i r="1">
      <x v="4"/>
    </i>
    <i r="1">
      <x v="5"/>
    </i>
    <i r="1">
      <x v="7"/>
    </i>
    <i r="1">
      <x v="8"/>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7"/>
    </i>
    <i r="1">
      <x v="88"/>
    </i>
    <i r="1">
      <x v="89"/>
    </i>
    <i r="1">
      <x v="90"/>
    </i>
    <i>
      <x v="4"/>
    </i>
    <i r="1">
      <x v="92"/>
    </i>
    <i r="1">
      <x v="94"/>
    </i>
    <i r="1">
      <x v="95"/>
    </i>
    <i r="1">
      <x v="96"/>
    </i>
    <i r="1">
      <x v="97"/>
    </i>
    <i r="1">
      <x v="98"/>
    </i>
    <i r="1">
      <x v="99"/>
    </i>
    <i r="1">
      <x v="100"/>
    </i>
    <i r="1">
      <x v="102"/>
    </i>
    <i r="1">
      <x v="103"/>
    </i>
    <i r="1">
      <x v="104"/>
    </i>
    <i r="1">
      <x v="105"/>
    </i>
    <i r="1">
      <x v="106"/>
    </i>
    <i r="1">
      <x v="107"/>
    </i>
    <i r="1">
      <x v="108"/>
    </i>
    <i r="1">
      <x v="109"/>
    </i>
    <i r="1">
      <x v="110"/>
    </i>
    <i r="1">
      <x v="112"/>
    </i>
    <i r="1">
      <x v="114"/>
    </i>
    <i r="1">
      <x v="115"/>
    </i>
    <i r="1">
      <x v="116"/>
    </i>
    <i r="1">
      <x v="117"/>
    </i>
    <i r="1">
      <x v="118"/>
    </i>
    <i r="1">
      <x v="119"/>
    </i>
    <i r="1">
      <x v="121"/>
    </i>
    <i>
      <x v="5"/>
    </i>
    <i r="1">
      <x v="122"/>
    </i>
    <i r="1">
      <x v="123"/>
    </i>
    <i r="1">
      <x v="124"/>
    </i>
    <i r="1">
      <x v="125"/>
    </i>
    <i r="1">
      <x v="126"/>
    </i>
    <i r="1">
      <x v="127"/>
    </i>
    <i r="1">
      <x v="128"/>
    </i>
    <i r="1">
      <x v="130"/>
    </i>
    <i r="1">
      <x v="131"/>
    </i>
    <i r="1">
      <x v="132"/>
    </i>
    <i r="1">
      <x v="133"/>
    </i>
    <i r="1">
      <x v="134"/>
    </i>
    <i r="1">
      <x v="135"/>
    </i>
    <i r="1">
      <x v="136"/>
    </i>
    <i r="1">
      <x v="137"/>
    </i>
    <i r="1">
      <x v="138"/>
    </i>
    <i r="1">
      <x v="139"/>
    </i>
    <i r="1">
      <x v="140"/>
    </i>
    <i r="1">
      <x v="141"/>
    </i>
    <i r="1">
      <x v="142"/>
    </i>
    <i r="1">
      <x v="143"/>
    </i>
    <i r="1">
      <x v="144"/>
    </i>
    <i r="1">
      <x v="146"/>
    </i>
    <i r="1">
      <x v="147"/>
    </i>
    <i r="1">
      <x v="148"/>
    </i>
    <i r="1">
      <x v="149"/>
    </i>
    <i r="1">
      <x v="150"/>
    </i>
    <i r="1">
      <x v="151"/>
    </i>
    <i r="1">
      <x v="152"/>
    </i>
    <i>
      <x v="6"/>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x v="7"/>
    </i>
    <i r="1">
      <x v="183"/>
    </i>
    <i r="1">
      <x v="184"/>
    </i>
    <i r="1">
      <x v="185"/>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r="1">
      <x v="251"/>
    </i>
    <i r="1">
      <x v="252"/>
    </i>
    <i r="1">
      <x v="253"/>
    </i>
    <i r="1">
      <x v="254"/>
    </i>
    <i r="1">
      <x v="255"/>
    </i>
    <i r="1">
      <x v="256"/>
    </i>
    <i r="1">
      <x v="257"/>
    </i>
    <i r="1">
      <x v="259"/>
    </i>
    <i r="1">
      <x v="260"/>
    </i>
    <i r="1">
      <x v="261"/>
    </i>
    <i r="1">
      <x v="262"/>
    </i>
    <i r="1">
      <x v="263"/>
    </i>
    <i r="1">
      <x v="264"/>
    </i>
    <i r="1">
      <x v="266"/>
    </i>
    <i r="1">
      <x v="268"/>
    </i>
    <i t="grand">
      <x/>
    </i>
  </rowItems>
  <colItems count="1">
    <i/>
  </colItems>
  <dataFields count="1">
    <dataField name="Count of First Order Purchase Date" fld="13"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440F7-3448-46C6-A461-3F1B1B5D57DB}" name="Table1" displayName="Table1" ref="A1:R1050" totalsRowShown="0" dataDxfId="18">
  <autoFilter ref="A1:R1050" xr:uid="{00000000-0001-0000-0000-000000000000}"/>
  <tableColumns count="18">
    <tableColumn id="1" xr3:uid="{4A1B98DD-DD2E-43AA-B1CB-2CB8D8616640}" name="Customer ID" dataDxfId="17"/>
    <tableColumn id="2" xr3:uid="{8AA0E39A-AA2F-4E04-AA0D-FD62654C0E4A}" name="State" dataDxfId="16"/>
    <tableColumn id="3" xr3:uid="{02DB5CB3-B770-46F5-91BD-6AE2321F7EA9}" name="Postcode" dataDxfId="15"/>
    <tableColumn id="4" xr3:uid="{274DA465-7D97-4F1E-8A99-ACD5E20613F9}" name="Registration date" dataDxfId="14"/>
    <tableColumn id="5" xr3:uid="{4C95990C-931A-4C90-8BA0-636DB5263323}" name="Last site visit" dataDxfId="13"/>
    <tableColumn id="6" xr3:uid="{C007E5C5-36D1-4EF6-BFDA-D84A014A1A10}" name="Number of site visits" dataDxfId="12"/>
    <tableColumn id="7" xr3:uid="{A5E949DD-30AC-4D33-BC9B-A2C0345C3D93}" name="Number of product page views" dataDxfId="11"/>
    <tableColumn id="8" xr3:uid="{7D8D909D-393F-4A48-A6A0-C318FF772111}" name="Number of add to cart events" dataDxfId="10"/>
    <tableColumn id="9" xr3:uid="{4F6C2E7B-476E-4E41-AD10-4942255008D0}" name="Number of checkout events" dataDxfId="9"/>
    <tableColumn id="10" xr3:uid="{956DDBDD-E264-481C-A7A4-5900187B4CC6}" name="Number of orders placed" dataDxfId="8"/>
    <tableColumn id="11" xr3:uid="{6689229F-2D5A-4E03-A037-72140FA53ECA}" name="Items purchased" dataDxfId="7"/>
    <tableColumn id="12" xr3:uid="{BE6F5EAC-8025-4C25-8152-98EE0A115EE7}" name="First Order Revenue" dataDxfId="6"/>
    <tableColumn id="13" xr3:uid="{7B8495D2-E250-4B68-8702-B959A776BFE2}" name="First Order Purchase Mo" dataDxfId="5">
      <calculatedColumnFormula>TEXT(N2,"mmm")</calculatedColumnFormula>
    </tableColumn>
    <tableColumn id="14" xr3:uid="{A6FD97D8-4866-4F86-B26A-97FAA94DF6E8}" name="First Order Purchase Date" dataDxfId="4"/>
    <tableColumn id="15" xr3:uid="{3691AE60-79B1-4FE0-AB53-0D7CAC4CDD00}" name="First Order Purchase day" dataDxfId="3">
      <calculatedColumnFormula>DAY(N2)</calculatedColumnFormula>
    </tableColumn>
    <tableColumn id="16" xr3:uid="{FE8A3F76-C519-4DD4-9A6B-959918B4CE97}" name="First Order Purchase weekday" dataDxfId="2">
      <calculatedColumnFormula>WEEKDAY(N2,1)</calculatedColumnFormula>
    </tableColumn>
    <tableColumn id="17" xr3:uid="{C11731CA-D71A-4B9D-932F-C83D63E4581E}" name="First Order Purchase hour" dataDxfId="1">
      <calculatedColumnFormula>HOUR(N2)</calculatedColumnFormula>
    </tableColumn>
    <tableColumn id="18" xr3:uid="{EC510B6F-C81A-4A16-8E18-CF70C464C690}"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8EAD-A0A1-4B45-96A8-6E16E4D667B1}">
  <dimension ref="A1:J31"/>
  <sheetViews>
    <sheetView workbookViewId="0">
      <selection activeCell="H23" sqref="H23"/>
    </sheetView>
  </sheetViews>
  <sheetFormatPr defaultRowHeight="15" x14ac:dyDescent="0.25"/>
  <cols>
    <col min="1" max="1" width="26.7109375" bestFit="1" customWidth="1"/>
    <col min="2" max="2" width="44" bestFit="1" customWidth="1"/>
    <col min="3" max="3" width="33" style="8" bestFit="1" customWidth="1"/>
    <col min="8" max="8" width="13.42578125" bestFit="1" customWidth="1"/>
    <col min="9" max="9" width="15.28515625" bestFit="1" customWidth="1"/>
    <col min="10" max="10" width="13.85546875" bestFit="1" customWidth="1"/>
  </cols>
  <sheetData>
    <row r="1" spans="1:10" x14ac:dyDescent="0.25">
      <c r="A1" s="5" t="s">
        <v>0</v>
      </c>
      <c r="B1" s="5" t="s">
        <v>1</v>
      </c>
      <c r="C1" s="6" t="s">
        <v>2</v>
      </c>
      <c r="H1" s="10" t="s">
        <v>3</v>
      </c>
    </row>
    <row r="2" spans="1:10" x14ac:dyDescent="0.25">
      <c r="A2" s="1" t="s">
        <v>4</v>
      </c>
      <c r="B2" t="s">
        <v>5</v>
      </c>
      <c r="C2" s="7" t="s">
        <v>6</v>
      </c>
      <c r="H2" s="9" t="s">
        <v>7</v>
      </c>
      <c r="I2" s="9" t="s">
        <v>8</v>
      </c>
      <c r="J2" s="9" t="s">
        <v>9</v>
      </c>
    </row>
    <row r="3" spans="1:10" x14ac:dyDescent="0.25">
      <c r="A3" s="1" t="s">
        <v>10</v>
      </c>
      <c r="B3" t="s">
        <v>11</v>
      </c>
      <c r="C3" s="7" t="s">
        <v>12</v>
      </c>
      <c r="H3">
        <v>75</v>
      </c>
      <c r="I3">
        <v>116</v>
      </c>
      <c r="J3" s="1">
        <v>14</v>
      </c>
    </row>
    <row r="4" spans="1:10" x14ac:dyDescent="0.25">
      <c r="A4" s="1" t="s">
        <v>13</v>
      </c>
      <c r="B4" t="s">
        <v>14</v>
      </c>
      <c r="C4" s="7" t="s">
        <v>6</v>
      </c>
      <c r="H4">
        <v>117</v>
      </c>
      <c r="I4">
        <v>633</v>
      </c>
      <c r="J4" s="1">
        <v>31</v>
      </c>
    </row>
    <row r="5" spans="1:10" x14ac:dyDescent="0.25">
      <c r="A5" s="1" t="s">
        <v>15</v>
      </c>
      <c r="B5" t="s">
        <v>16</v>
      </c>
      <c r="C5" s="7" t="s">
        <v>17</v>
      </c>
      <c r="H5">
        <v>199</v>
      </c>
      <c r="J5" s="1">
        <v>81</v>
      </c>
    </row>
    <row r="6" spans="1:10" x14ac:dyDescent="0.25">
      <c r="A6" s="1" t="s">
        <v>18</v>
      </c>
      <c r="B6" t="s">
        <v>19</v>
      </c>
      <c r="C6" s="7" t="s">
        <v>17</v>
      </c>
      <c r="H6">
        <v>218</v>
      </c>
      <c r="J6" s="1">
        <v>94</v>
      </c>
    </row>
    <row r="7" spans="1:10" x14ac:dyDescent="0.25">
      <c r="A7" s="1" t="s">
        <v>20</v>
      </c>
      <c r="B7" t="s">
        <v>21</v>
      </c>
      <c r="C7" s="7" t="s">
        <v>22</v>
      </c>
      <c r="H7">
        <v>307</v>
      </c>
      <c r="J7" s="1">
        <v>95</v>
      </c>
    </row>
    <row r="8" spans="1:10" x14ac:dyDescent="0.25">
      <c r="A8" s="1" t="s">
        <v>23</v>
      </c>
      <c r="B8" t="s">
        <v>24</v>
      </c>
      <c r="C8" s="7" t="s">
        <v>22</v>
      </c>
      <c r="H8">
        <v>396</v>
      </c>
      <c r="J8" s="1">
        <v>126</v>
      </c>
    </row>
    <row r="9" spans="1:10" x14ac:dyDescent="0.25">
      <c r="A9" s="1" t="s">
        <v>25</v>
      </c>
      <c r="B9" t="s">
        <v>26</v>
      </c>
      <c r="C9" s="7" t="s">
        <v>22</v>
      </c>
      <c r="H9">
        <v>443</v>
      </c>
      <c r="J9" s="1">
        <v>160</v>
      </c>
    </row>
    <row r="10" spans="1:10" x14ac:dyDescent="0.25">
      <c r="A10" s="1" t="s">
        <v>27</v>
      </c>
      <c r="B10" t="s">
        <v>28</v>
      </c>
      <c r="C10" s="7" t="s">
        <v>22</v>
      </c>
      <c r="H10">
        <v>518</v>
      </c>
      <c r="J10" s="1">
        <v>161</v>
      </c>
    </row>
    <row r="11" spans="1:10" x14ac:dyDescent="0.25">
      <c r="A11" s="1" t="s">
        <v>29</v>
      </c>
      <c r="B11" t="s">
        <v>30</v>
      </c>
      <c r="C11" s="7" t="s">
        <v>22</v>
      </c>
      <c r="H11">
        <v>627</v>
      </c>
      <c r="J11" s="1">
        <v>204</v>
      </c>
    </row>
    <row r="12" spans="1:10" x14ac:dyDescent="0.25">
      <c r="A12" s="1" t="s">
        <v>31</v>
      </c>
      <c r="B12" t="s">
        <v>32</v>
      </c>
      <c r="C12" s="7" t="s">
        <v>22</v>
      </c>
      <c r="H12">
        <v>739</v>
      </c>
      <c r="J12" s="1">
        <v>287</v>
      </c>
    </row>
    <row r="13" spans="1:10" x14ac:dyDescent="0.25">
      <c r="A13" s="1" t="s">
        <v>33</v>
      </c>
      <c r="B13" t="s">
        <v>34</v>
      </c>
      <c r="C13" s="7" t="s">
        <v>22</v>
      </c>
      <c r="H13">
        <v>770</v>
      </c>
      <c r="J13" s="1">
        <v>361</v>
      </c>
    </row>
    <row r="14" spans="1:10" x14ac:dyDescent="0.25">
      <c r="A14" s="1" t="s">
        <v>35</v>
      </c>
      <c r="B14" t="s">
        <v>35</v>
      </c>
      <c r="C14" s="7" t="s">
        <v>17</v>
      </c>
      <c r="H14">
        <v>776</v>
      </c>
      <c r="J14" s="1">
        <v>479</v>
      </c>
    </row>
    <row r="15" spans="1:10" x14ac:dyDescent="0.25">
      <c r="A15" t="s">
        <v>36</v>
      </c>
      <c r="B15" t="s">
        <v>37</v>
      </c>
      <c r="C15" s="7" t="s">
        <v>17</v>
      </c>
      <c r="H15">
        <v>847</v>
      </c>
      <c r="J15" s="1">
        <v>482</v>
      </c>
    </row>
    <row r="16" spans="1:10" x14ac:dyDescent="0.25">
      <c r="A16" t="s">
        <v>38</v>
      </c>
      <c r="B16" t="s">
        <v>39</v>
      </c>
      <c r="C16" s="7" t="s">
        <v>17</v>
      </c>
      <c r="H16">
        <v>853</v>
      </c>
      <c r="J16" s="1">
        <v>492</v>
      </c>
    </row>
    <row r="17" spans="1:10" x14ac:dyDescent="0.25">
      <c r="A17" t="s">
        <v>40</v>
      </c>
      <c r="B17" t="s">
        <v>41</v>
      </c>
      <c r="C17" s="7" t="s">
        <v>17</v>
      </c>
      <c r="H17">
        <v>935</v>
      </c>
      <c r="J17" s="1">
        <v>559</v>
      </c>
    </row>
    <row r="18" spans="1:10" x14ac:dyDescent="0.25">
      <c r="H18">
        <v>965</v>
      </c>
      <c r="J18" s="1">
        <v>566</v>
      </c>
    </row>
    <row r="19" spans="1:10" x14ac:dyDescent="0.25">
      <c r="H19">
        <v>1050</v>
      </c>
      <c r="J19" s="1">
        <v>601</v>
      </c>
    </row>
    <row r="20" spans="1:10" x14ac:dyDescent="0.25">
      <c r="H20">
        <v>1065</v>
      </c>
      <c r="J20" s="1">
        <v>630</v>
      </c>
    </row>
    <row r="21" spans="1:10" x14ac:dyDescent="0.25">
      <c r="H21">
        <v>790</v>
      </c>
      <c r="J21" s="1">
        <v>651</v>
      </c>
    </row>
    <row r="22" spans="1:10" x14ac:dyDescent="0.25">
      <c r="H22">
        <v>925</v>
      </c>
      <c r="J22" s="1">
        <v>675</v>
      </c>
    </row>
    <row r="23" spans="1:10" x14ac:dyDescent="0.25">
      <c r="J23" s="1">
        <v>694</v>
      </c>
    </row>
    <row r="24" spans="1:10" x14ac:dyDescent="0.25">
      <c r="J24" s="1">
        <v>760</v>
      </c>
    </row>
    <row r="25" spans="1:10" x14ac:dyDescent="0.25">
      <c r="J25" s="1">
        <v>764</v>
      </c>
    </row>
    <row r="26" spans="1:10" x14ac:dyDescent="0.25">
      <c r="J26" s="1">
        <v>859</v>
      </c>
    </row>
    <row r="27" spans="1:10" x14ac:dyDescent="0.25">
      <c r="J27" s="1">
        <v>886</v>
      </c>
    </row>
    <row r="28" spans="1:10" x14ac:dyDescent="0.25">
      <c r="J28" s="1">
        <v>892</v>
      </c>
    </row>
    <row r="29" spans="1:10" x14ac:dyDescent="0.25">
      <c r="J29" s="1">
        <v>899</v>
      </c>
    </row>
    <row r="30" spans="1:10" x14ac:dyDescent="0.25">
      <c r="J30" s="1">
        <v>1034</v>
      </c>
    </row>
    <row r="31" spans="1:10" x14ac:dyDescent="0.25">
      <c r="J31" s="1">
        <v>1046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9C61-9F29-45A1-B45A-404261B5982A}">
  <dimension ref="A1:O15"/>
  <sheetViews>
    <sheetView workbookViewId="0">
      <selection activeCell="B1" sqref="B1"/>
    </sheetView>
  </sheetViews>
  <sheetFormatPr defaultRowHeight="15" x14ac:dyDescent="0.25"/>
  <cols>
    <col min="1" max="1" width="21.28515625" bestFit="1" customWidth="1"/>
    <col min="2" max="2" width="27.28515625" bestFit="1" customWidth="1"/>
  </cols>
  <sheetData>
    <row r="1" spans="1:15" x14ac:dyDescent="0.25">
      <c r="A1" s="11" t="s">
        <v>42</v>
      </c>
      <c r="B1" t="s">
        <v>43</v>
      </c>
      <c r="C1" s="14" t="s">
        <v>44</v>
      </c>
      <c r="D1" s="14"/>
    </row>
    <row r="2" spans="1:15" x14ac:dyDescent="0.25">
      <c r="A2" t="s">
        <v>45</v>
      </c>
      <c r="B2" s="17">
        <v>218</v>
      </c>
    </row>
    <row r="3" spans="1:15" ht="15.75" thickBot="1" x14ac:dyDescent="0.3">
      <c r="A3" t="s">
        <v>46</v>
      </c>
      <c r="B3" s="17">
        <v>516</v>
      </c>
      <c r="C3" t="s">
        <v>47</v>
      </c>
      <c r="D3">
        <v>37.815529075309747</v>
      </c>
    </row>
    <row r="4" spans="1:15" x14ac:dyDescent="0.25">
      <c r="A4" t="s">
        <v>48</v>
      </c>
      <c r="B4" s="17">
        <v>88</v>
      </c>
      <c r="C4" t="s">
        <v>49</v>
      </c>
      <c r="D4">
        <v>0.81074864392620305</v>
      </c>
      <c r="N4" s="13" t="s">
        <v>50</v>
      </c>
      <c r="O4" s="13" t="s">
        <v>51</v>
      </c>
    </row>
    <row r="5" spans="1:15" x14ac:dyDescent="0.25">
      <c r="A5" t="s">
        <v>52</v>
      </c>
      <c r="B5" s="17">
        <v>126</v>
      </c>
      <c r="C5" t="s">
        <v>53</v>
      </c>
      <c r="D5">
        <v>28.8</v>
      </c>
      <c r="N5">
        <v>10</v>
      </c>
      <c r="O5">
        <v>73</v>
      </c>
    </row>
    <row r="6" spans="1:15" x14ac:dyDescent="0.25">
      <c r="A6" t="s">
        <v>54</v>
      </c>
      <c r="B6" s="17">
        <v>47</v>
      </c>
      <c r="C6" t="s">
        <v>55</v>
      </c>
      <c r="D6">
        <v>28.8</v>
      </c>
      <c r="N6">
        <v>25</v>
      </c>
      <c r="O6">
        <v>166</v>
      </c>
    </row>
    <row r="7" spans="1:15" x14ac:dyDescent="0.25">
      <c r="A7" t="s">
        <v>56</v>
      </c>
      <c r="B7" s="17">
        <v>16</v>
      </c>
      <c r="C7" t="s">
        <v>57</v>
      </c>
      <c r="D7">
        <v>26.258745561164147</v>
      </c>
      <c r="N7">
        <v>40</v>
      </c>
      <c r="O7">
        <v>525</v>
      </c>
    </row>
    <row r="8" spans="1:15" x14ac:dyDescent="0.25">
      <c r="A8" t="s">
        <v>58</v>
      </c>
      <c r="B8" s="17">
        <v>6</v>
      </c>
      <c r="C8" t="s">
        <v>59</v>
      </c>
      <c r="D8">
        <v>689.52171844595784</v>
      </c>
      <c r="N8">
        <v>55</v>
      </c>
      <c r="O8">
        <v>76</v>
      </c>
    </row>
    <row r="9" spans="1:15" x14ac:dyDescent="0.25">
      <c r="A9" t="s">
        <v>60</v>
      </c>
      <c r="B9" s="17">
        <v>16</v>
      </c>
      <c r="C9" t="s">
        <v>61</v>
      </c>
      <c r="D9">
        <v>12.471024282951275</v>
      </c>
      <c r="N9">
        <v>70</v>
      </c>
      <c r="O9">
        <v>112</v>
      </c>
    </row>
    <row r="10" spans="1:15" x14ac:dyDescent="0.25">
      <c r="A10" t="s">
        <v>62</v>
      </c>
      <c r="B10" s="17">
        <v>4</v>
      </c>
      <c r="C10" t="s">
        <v>63</v>
      </c>
      <c r="D10">
        <v>2.7862024388239979</v>
      </c>
      <c r="N10">
        <v>85</v>
      </c>
      <c r="O10">
        <v>43</v>
      </c>
    </row>
    <row r="11" spans="1:15" x14ac:dyDescent="0.25">
      <c r="A11" t="s">
        <v>64</v>
      </c>
      <c r="B11" s="17">
        <v>12</v>
      </c>
      <c r="C11" t="s">
        <v>65</v>
      </c>
      <c r="D11">
        <v>260.55</v>
      </c>
      <c r="N11">
        <v>100</v>
      </c>
      <c r="O11">
        <v>17</v>
      </c>
    </row>
    <row r="12" spans="1:15" x14ac:dyDescent="0.25">
      <c r="A12" t="s">
        <v>66</v>
      </c>
      <c r="B12" s="17">
        <v>1049</v>
      </c>
      <c r="C12" t="s">
        <v>67</v>
      </c>
      <c r="D12">
        <v>6.75</v>
      </c>
      <c r="N12">
        <v>115</v>
      </c>
      <c r="O12">
        <v>7</v>
      </c>
    </row>
    <row r="13" spans="1:15" x14ac:dyDescent="0.25">
      <c r="C13" t="s">
        <v>68</v>
      </c>
      <c r="D13">
        <v>267.3</v>
      </c>
      <c r="N13">
        <v>130</v>
      </c>
      <c r="O13">
        <v>15</v>
      </c>
    </row>
    <row r="14" spans="1:15" ht="15.75" thickBot="1" x14ac:dyDescent="0.3">
      <c r="C14" t="s">
        <v>69</v>
      </c>
      <c r="D14">
        <v>39668.489999999925</v>
      </c>
      <c r="N14" s="12" t="s">
        <v>70</v>
      </c>
      <c r="O14" s="12">
        <v>15</v>
      </c>
    </row>
    <row r="15" spans="1:15" ht="15.75" thickBot="1" x14ac:dyDescent="0.3">
      <c r="C15" s="12" t="s">
        <v>71</v>
      </c>
      <c r="D15" s="12">
        <v>1049</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DCAB0-95D6-40CA-8F3B-D72F525FDA74}">
  <dimension ref="A1:W15"/>
  <sheetViews>
    <sheetView workbookViewId="0">
      <selection activeCell="B1" sqref="B1"/>
      <pivotSelection pane="bottomRight" showHeader="1" extendable="1" activeCol="1" click="1" r:id="rId1">
        <pivotArea dataOnly="0" outline="0" axis="axisValues" fieldPosition="0"/>
      </pivotSelection>
    </sheetView>
  </sheetViews>
  <sheetFormatPr defaultRowHeight="15" x14ac:dyDescent="0.25"/>
  <cols>
    <col min="1" max="1" width="18" bestFit="1" customWidth="1"/>
    <col min="2" max="2" width="24" bestFit="1" customWidth="1"/>
  </cols>
  <sheetData>
    <row r="1" spans="1:23" ht="15.75" thickBot="1" x14ac:dyDescent="0.3">
      <c r="A1" s="11" t="s">
        <v>31</v>
      </c>
      <c r="B1" t="s">
        <v>1237</v>
      </c>
      <c r="C1" s="21" t="s">
        <v>44</v>
      </c>
      <c r="D1" s="21"/>
    </row>
    <row r="2" spans="1:23" x14ac:dyDescent="0.25">
      <c r="A2" t="s">
        <v>1238</v>
      </c>
      <c r="B2" s="17">
        <v>597</v>
      </c>
      <c r="C2" s="18"/>
      <c r="D2" s="18"/>
      <c r="V2" s="20" t="s">
        <v>50</v>
      </c>
      <c r="W2" s="20" t="s">
        <v>51</v>
      </c>
    </row>
    <row r="3" spans="1:23" x14ac:dyDescent="0.25">
      <c r="A3" t="s">
        <v>1239</v>
      </c>
      <c r="B3" s="17">
        <v>310</v>
      </c>
      <c r="C3" s="18" t="s">
        <v>47</v>
      </c>
      <c r="D3" s="18">
        <v>2.9103908484270735</v>
      </c>
      <c r="V3" s="22">
        <v>1</v>
      </c>
      <c r="W3" s="18">
        <v>327</v>
      </c>
    </row>
    <row r="4" spans="1:23" x14ac:dyDescent="0.25">
      <c r="A4" t="s">
        <v>1240</v>
      </c>
      <c r="B4" s="17">
        <v>87</v>
      </c>
      <c r="C4" s="18" t="s">
        <v>49</v>
      </c>
      <c r="D4" s="18">
        <v>7.3553211834781654E-2</v>
      </c>
      <c r="V4" s="22">
        <v>3</v>
      </c>
      <c r="W4" s="18">
        <v>338</v>
      </c>
    </row>
    <row r="5" spans="1:23" x14ac:dyDescent="0.25">
      <c r="A5" t="s">
        <v>1241</v>
      </c>
      <c r="B5" s="17">
        <v>34</v>
      </c>
      <c r="C5" s="18" t="s">
        <v>53</v>
      </c>
      <c r="D5" s="18">
        <v>2</v>
      </c>
      <c r="V5" s="22">
        <v>5</v>
      </c>
      <c r="W5" s="18">
        <v>290</v>
      </c>
    </row>
    <row r="6" spans="1:23" x14ac:dyDescent="0.25">
      <c r="A6" t="s">
        <v>1242</v>
      </c>
      <c r="B6" s="17">
        <v>5</v>
      </c>
      <c r="C6" s="18" t="s">
        <v>55</v>
      </c>
      <c r="D6" s="18">
        <v>1</v>
      </c>
      <c r="V6" s="22">
        <v>7</v>
      </c>
      <c r="W6" s="18">
        <v>54</v>
      </c>
    </row>
    <row r="7" spans="1:23" x14ac:dyDescent="0.25">
      <c r="A7" t="s">
        <v>1243</v>
      </c>
      <c r="B7" s="17">
        <v>9</v>
      </c>
      <c r="C7" s="18" t="s">
        <v>57</v>
      </c>
      <c r="D7" s="18">
        <v>2.38226124612765</v>
      </c>
      <c r="V7" s="22">
        <v>9</v>
      </c>
      <c r="W7" s="18">
        <v>22</v>
      </c>
    </row>
    <row r="8" spans="1:23" x14ac:dyDescent="0.25">
      <c r="A8" t="s">
        <v>1244</v>
      </c>
      <c r="B8" s="17">
        <v>2</v>
      </c>
      <c r="C8" s="18" t="s">
        <v>59</v>
      </c>
      <c r="D8" s="18">
        <v>5.6751686448016647</v>
      </c>
      <c r="V8" s="22">
        <v>11</v>
      </c>
      <c r="W8" s="18">
        <v>3</v>
      </c>
    </row>
    <row r="9" spans="1:23" ht="15.75" thickBot="1" x14ac:dyDescent="0.3">
      <c r="A9" t="s">
        <v>1245</v>
      </c>
      <c r="B9" s="17">
        <v>5</v>
      </c>
      <c r="C9" s="18" t="s">
        <v>61</v>
      </c>
      <c r="D9" s="18">
        <v>29.941158073423342</v>
      </c>
      <c r="V9" s="19" t="s">
        <v>70</v>
      </c>
      <c r="W9" s="19">
        <v>15</v>
      </c>
    </row>
    <row r="10" spans="1:23" x14ac:dyDescent="0.25">
      <c r="A10" t="s">
        <v>66</v>
      </c>
      <c r="B10" s="17">
        <v>1049</v>
      </c>
      <c r="C10" s="18" t="s">
        <v>63</v>
      </c>
      <c r="D10" s="18">
        <v>3.7505920203880065</v>
      </c>
    </row>
    <row r="11" spans="1:23" x14ac:dyDescent="0.25">
      <c r="C11" s="18" t="s">
        <v>65</v>
      </c>
      <c r="D11" s="18">
        <v>31</v>
      </c>
    </row>
    <row r="12" spans="1:23" x14ac:dyDescent="0.25">
      <c r="C12" s="18" t="s">
        <v>67</v>
      </c>
      <c r="D12" s="18">
        <v>1</v>
      </c>
    </row>
    <row r="13" spans="1:23" x14ac:dyDescent="0.25">
      <c r="C13" s="18" t="s">
        <v>68</v>
      </c>
      <c r="D13" s="18">
        <v>32</v>
      </c>
    </row>
    <row r="14" spans="1:23" x14ac:dyDescent="0.25">
      <c r="C14" s="18" t="s">
        <v>69</v>
      </c>
      <c r="D14" s="18">
        <v>3053</v>
      </c>
    </row>
    <row r="15" spans="1:23" ht="15.75" thickBot="1" x14ac:dyDescent="0.3">
      <c r="C15" s="19" t="s">
        <v>71</v>
      </c>
      <c r="D15" s="19">
        <v>1049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A8316-D118-4CAB-B5BA-0E9A8D20BD4C}">
  <dimension ref="A1:B33"/>
  <sheetViews>
    <sheetView tabSelected="1" workbookViewId="0">
      <selection activeCell="J32" sqref="J32"/>
    </sheetView>
  </sheetViews>
  <sheetFormatPr defaultRowHeight="15" x14ac:dyDescent="0.25"/>
  <cols>
    <col min="1" max="1" width="13.140625" bestFit="1" customWidth="1"/>
    <col min="2" max="2" width="31.140625" bestFit="1" customWidth="1"/>
  </cols>
  <sheetData>
    <row r="1" spans="1:2" x14ac:dyDescent="0.25">
      <c r="A1" s="11" t="s">
        <v>972</v>
      </c>
      <c r="B1" t="s">
        <v>1246</v>
      </c>
    </row>
    <row r="2" spans="1:2" x14ac:dyDescent="0.25">
      <c r="A2" s="15">
        <v>1</v>
      </c>
      <c r="B2" s="17">
        <v>35</v>
      </c>
    </row>
    <row r="3" spans="1:2" x14ac:dyDescent="0.25">
      <c r="A3" s="15">
        <v>2</v>
      </c>
      <c r="B3" s="17">
        <v>30</v>
      </c>
    </row>
    <row r="4" spans="1:2" x14ac:dyDescent="0.25">
      <c r="A4" s="15">
        <v>3</v>
      </c>
      <c r="B4" s="17">
        <v>38</v>
      </c>
    </row>
    <row r="5" spans="1:2" x14ac:dyDescent="0.25">
      <c r="A5" s="15">
        <v>4</v>
      </c>
      <c r="B5" s="17">
        <v>36</v>
      </c>
    </row>
    <row r="6" spans="1:2" x14ac:dyDescent="0.25">
      <c r="A6" s="15">
        <v>5</v>
      </c>
      <c r="B6" s="17">
        <v>29</v>
      </c>
    </row>
    <row r="7" spans="1:2" x14ac:dyDescent="0.25">
      <c r="A7" s="15">
        <v>6</v>
      </c>
      <c r="B7" s="17">
        <v>37</v>
      </c>
    </row>
    <row r="8" spans="1:2" x14ac:dyDescent="0.25">
      <c r="A8" s="15">
        <v>7</v>
      </c>
      <c r="B8" s="17">
        <v>28</v>
      </c>
    </row>
    <row r="9" spans="1:2" x14ac:dyDescent="0.25">
      <c r="A9" s="15">
        <v>8</v>
      </c>
      <c r="B9" s="17">
        <v>33</v>
      </c>
    </row>
    <row r="10" spans="1:2" x14ac:dyDescent="0.25">
      <c r="A10" s="15">
        <v>9</v>
      </c>
      <c r="B10" s="17">
        <v>32</v>
      </c>
    </row>
    <row r="11" spans="1:2" x14ac:dyDescent="0.25">
      <c r="A11" s="15">
        <v>10</v>
      </c>
      <c r="B11" s="17">
        <v>35</v>
      </c>
    </row>
    <row r="12" spans="1:2" x14ac:dyDescent="0.25">
      <c r="A12" s="15">
        <v>11</v>
      </c>
      <c r="B12" s="17">
        <v>40</v>
      </c>
    </row>
    <row r="13" spans="1:2" x14ac:dyDescent="0.25">
      <c r="A13" s="15">
        <v>12</v>
      </c>
      <c r="B13" s="17">
        <v>41</v>
      </c>
    </row>
    <row r="14" spans="1:2" x14ac:dyDescent="0.25">
      <c r="A14" s="15">
        <v>13</v>
      </c>
      <c r="B14" s="17">
        <v>37</v>
      </c>
    </row>
    <row r="15" spans="1:2" x14ac:dyDescent="0.25">
      <c r="A15" s="15">
        <v>14</v>
      </c>
      <c r="B15" s="17">
        <v>23</v>
      </c>
    </row>
    <row r="16" spans="1:2" x14ac:dyDescent="0.25">
      <c r="A16" s="15">
        <v>15</v>
      </c>
      <c r="B16" s="17">
        <v>41</v>
      </c>
    </row>
    <row r="17" spans="1:2" x14ac:dyDescent="0.25">
      <c r="A17" s="15">
        <v>16</v>
      </c>
      <c r="B17" s="17">
        <v>37</v>
      </c>
    </row>
    <row r="18" spans="1:2" x14ac:dyDescent="0.25">
      <c r="A18" s="15">
        <v>17</v>
      </c>
      <c r="B18" s="17">
        <v>35</v>
      </c>
    </row>
    <row r="19" spans="1:2" x14ac:dyDescent="0.25">
      <c r="A19" s="15">
        <v>18</v>
      </c>
      <c r="B19" s="17">
        <v>41</v>
      </c>
    </row>
    <row r="20" spans="1:2" x14ac:dyDescent="0.25">
      <c r="A20" s="15">
        <v>19</v>
      </c>
      <c r="B20" s="17">
        <v>46</v>
      </c>
    </row>
    <row r="21" spans="1:2" x14ac:dyDescent="0.25">
      <c r="A21" s="15">
        <v>20</v>
      </c>
      <c r="B21" s="17">
        <v>36</v>
      </c>
    </row>
    <row r="22" spans="1:2" x14ac:dyDescent="0.25">
      <c r="A22" s="15">
        <v>21</v>
      </c>
      <c r="B22" s="17">
        <v>38</v>
      </c>
    </row>
    <row r="23" spans="1:2" x14ac:dyDescent="0.25">
      <c r="A23" s="15">
        <v>22</v>
      </c>
      <c r="B23" s="17">
        <v>48</v>
      </c>
    </row>
    <row r="24" spans="1:2" x14ac:dyDescent="0.25">
      <c r="A24" s="15">
        <v>23</v>
      </c>
      <c r="B24" s="17">
        <v>38</v>
      </c>
    </row>
    <row r="25" spans="1:2" x14ac:dyDescent="0.25">
      <c r="A25" s="15">
        <v>24</v>
      </c>
      <c r="B25" s="17">
        <v>30</v>
      </c>
    </row>
    <row r="26" spans="1:2" x14ac:dyDescent="0.25">
      <c r="A26" s="15">
        <v>25</v>
      </c>
      <c r="B26" s="17">
        <v>30</v>
      </c>
    </row>
    <row r="27" spans="1:2" x14ac:dyDescent="0.25">
      <c r="A27" s="15">
        <v>26</v>
      </c>
      <c r="B27" s="17">
        <v>26</v>
      </c>
    </row>
    <row r="28" spans="1:2" x14ac:dyDescent="0.25">
      <c r="A28" s="15">
        <v>27</v>
      </c>
      <c r="B28" s="17">
        <v>25</v>
      </c>
    </row>
    <row r="29" spans="1:2" x14ac:dyDescent="0.25">
      <c r="A29" s="15">
        <v>28</v>
      </c>
      <c r="B29" s="17">
        <v>34</v>
      </c>
    </row>
    <row r="30" spans="1:2" x14ac:dyDescent="0.25">
      <c r="A30" s="15">
        <v>29</v>
      </c>
      <c r="B30" s="17">
        <v>30</v>
      </c>
    </row>
    <row r="31" spans="1:2" x14ac:dyDescent="0.25">
      <c r="A31" s="15">
        <v>30</v>
      </c>
      <c r="B31" s="17">
        <v>30</v>
      </c>
    </row>
    <row r="32" spans="1:2" x14ac:dyDescent="0.25">
      <c r="A32" s="15">
        <v>31</v>
      </c>
      <c r="B32" s="17">
        <v>10</v>
      </c>
    </row>
    <row r="33" spans="1:2" x14ac:dyDescent="0.25">
      <c r="A33" s="15" t="s">
        <v>66</v>
      </c>
      <c r="B33" s="17">
        <v>1049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B5A9-374C-480C-9406-710DFA386534}">
  <dimension ref="A3:I29"/>
  <sheetViews>
    <sheetView workbookViewId="0">
      <selection activeCell="J37" sqref="J37"/>
    </sheetView>
  </sheetViews>
  <sheetFormatPr defaultRowHeight="15" x14ac:dyDescent="0.25"/>
  <cols>
    <col min="1" max="1" width="24.7109375" bestFit="1" customWidth="1"/>
    <col min="2" max="2" width="14.7109375" bestFit="1" customWidth="1"/>
    <col min="3" max="8" width="3.7109375" bestFit="1" customWidth="1"/>
    <col min="9" max="9" width="10.140625" bestFit="1" customWidth="1"/>
  </cols>
  <sheetData>
    <row r="3" spans="1:9" x14ac:dyDescent="0.25">
      <c r="A3" s="11" t="s">
        <v>43</v>
      </c>
      <c r="B3" s="11" t="s">
        <v>973</v>
      </c>
    </row>
    <row r="4" spans="1:9" x14ac:dyDescent="0.25">
      <c r="A4" s="11" t="s">
        <v>972</v>
      </c>
      <c r="B4">
        <v>1</v>
      </c>
      <c r="C4">
        <v>2</v>
      </c>
      <c r="D4">
        <v>3</v>
      </c>
      <c r="E4">
        <v>4</v>
      </c>
      <c r="F4">
        <v>5</v>
      </c>
      <c r="G4">
        <v>6</v>
      </c>
      <c r="H4">
        <v>7</v>
      </c>
      <c r="I4" t="s">
        <v>66</v>
      </c>
    </row>
    <row r="5" spans="1:9" x14ac:dyDescent="0.25">
      <c r="A5" s="15">
        <v>0</v>
      </c>
      <c r="B5">
        <v>3</v>
      </c>
      <c r="C5">
        <v>4</v>
      </c>
      <c r="D5">
        <v>4</v>
      </c>
      <c r="E5">
        <v>2</v>
      </c>
      <c r="F5">
        <v>1</v>
      </c>
      <c r="G5">
        <v>5</v>
      </c>
      <c r="H5">
        <v>7</v>
      </c>
      <c r="I5">
        <v>26</v>
      </c>
    </row>
    <row r="6" spans="1:9" x14ac:dyDescent="0.25">
      <c r="A6" s="15">
        <v>1</v>
      </c>
      <c r="B6">
        <v>3</v>
      </c>
      <c r="C6">
        <v>3</v>
      </c>
      <c r="D6">
        <v>5</v>
      </c>
      <c r="E6">
        <v>1</v>
      </c>
      <c r="F6">
        <v>1</v>
      </c>
      <c r="G6">
        <v>2</v>
      </c>
      <c r="I6">
        <v>15</v>
      </c>
    </row>
    <row r="7" spans="1:9" x14ac:dyDescent="0.25">
      <c r="A7" s="15">
        <v>2</v>
      </c>
      <c r="B7">
        <v>3</v>
      </c>
      <c r="D7">
        <v>2</v>
      </c>
      <c r="E7">
        <v>2</v>
      </c>
      <c r="G7">
        <v>2</v>
      </c>
      <c r="H7">
        <v>2</v>
      </c>
      <c r="I7">
        <v>11</v>
      </c>
    </row>
    <row r="8" spans="1:9" x14ac:dyDescent="0.25">
      <c r="A8" s="15">
        <v>3</v>
      </c>
      <c r="B8">
        <v>2</v>
      </c>
      <c r="D8">
        <v>1</v>
      </c>
      <c r="E8">
        <v>3</v>
      </c>
      <c r="F8">
        <v>1</v>
      </c>
      <c r="G8">
        <v>1</v>
      </c>
      <c r="H8">
        <v>2</v>
      </c>
      <c r="I8">
        <v>10</v>
      </c>
    </row>
    <row r="9" spans="1:9" x14ac:dyDescent="0.25">
      <c r="A9" s="15">
        <v>4</v>
      </c>
      <c r="C9">
        <v>1</v>
      </c>
      <c r="D9">
        <v>1</v>
      </c>
      <c r="H9">
        <v>1</v>
      </c>
      <c r="I9">
        <v>3</v>
      </c>
    </row>
    <row r="10" spans="1:9" x14ac:dyDescent="0.25">
      <c r="A10" s="15">
        <v>5</v>
      </c>
      <c r="C10">
        <v>1</v>
      </c>
      <c r="G10">
        <v>3</v>
      </c>
      <c r="H10">
        <v>1</v>
      </c>
      <c r="I10">
        <v>5</v>
      </c>
    </row>
    <row r="11" spans="1:9" x14ac:dyDescent="0.25">
      <c r="A11" s="15">
        <v>6</v>
      </c>
      <c r="B11">
        <v>1</v>
      </c>
      <c r="D11">
        <v>2</v>
      </c>
      <c r="F11">
        <v>2</v>
      </c>
      <c r="H11">
        <v>1</v>
      </c>
      <c r="I11">
        <v>6</v>
      </c>
    </row>
    <row r="12" spans="1:9" x14ac:dyDescent="0.25">
      <c r="A12" s="15">
        <v>7</v>
      </c>
      <c r="B12">
        <v>2</v>
      </c>
      <c r="C12">
        <v>3</v>
      </c>
      <c r="E12">
        <v>6</v>
      </c>
      <c r="F12">
        <v>4</v>
      </c>
      <c r="G12">
        <v>4</v>
      </c>
      <c r="H12">
        <v>5</v>
      </c>
      <c r="I12">
        <v>24</v>
      </c>
    </row>
    <row r="13" spans="1:9" x14ac:dyDescent="0.25">
      <c r="A13" s="15">
        <v>8</v>
      </c>
      <c r="B13">
        <v>3</v>
      </c>
      <c r="C13">
        <v>5</v>
      </c>
      <c r="D13">
        <v>7</v>
      </c>
      <c r="E13">
        <v>10</v>
      </c>
      <c r="F13">
        <v>7</v>
      </c>
      <c r="G13">
        <v>3</v>
      </c>
      <c r="H13">
        <v>5</v>
      </c>
      <c r="I13">
        <v>40</v>
      </c>
    </row>
    <row r="14" spans="1:9" x14ac:dyDescent="0.25">
      <c r="A14" s="15">
        <v>9</v>
      </c>
      <c r="B14">
        <v>5</v>
      </c>
      <c r="C14">
        <v>10</v>
      </c>
      <c r="D14">
        <v>4</v>
      </c>
      <c r="E14">
        <v>11</v>
      </c>
      <c r="F14">
        <v>10</v>
      </c>
      <c r="G14">
        <v>7</v>
      </c>
      <c r="H14">
        <v>9</v>
      </c>
      <c r="I14">
        <v>56</v>
      </c>
    </row>
    <row r="15" spans="1:9" x14ac:dyDescent="0.25">
      <c r="A15" s="15">
        <v>10</v>
      </c>
      <c r="B15">
        <v>6</v>
      </c>
      <c r="C15">
        <v>13</v>
      </c>
      <c r="D15">
        <v>6</v>
      </c>
      <c r="E15">
        <v>8</v>
      </c>
      <c r="F15">
        <v>7</v>
      </c>
      <c r="G15">
        <v>6</v>
      </c>
      <c r="H15">
        <v>8</v>
      </c>
      <c r="I15">
        <v>54</v>
      </c>
    </row>
    <row r="16" spans="1:9" x14ac:dyDescent="0.25">
      <c r="A16" s="15">
        <v>11</v>
      </c>
      <c r="B16">
        <v>15</v>
      </c>
      <c r="C16">
        <v>11</v>
      </c>
      <c r="D16">
        <v>13</v>
      </c>
      <c r="E16">
        <v>11</v>
      </c>
      <c r="F16">
        <v>17</v>
      </c>
      <c r="G16">
        <v>14</v>
      </c>
      <c r="H16">
        <v>16</v>
      </c>
      <c r="I16">
        <v>97</v>
      </c>
    </row>
    <row r="17" spans="1:9" x14ac:dyDescent="0.25">
      <c r="A17" s="15">
        <v>12</v>
      </c>
      <c r="B17">
        <v>9</v>
      </c>
      <c r="C17">
        <v>11</v>
      </c>
      <c r="D17">
        <v>11</v>
      </c>
      <c r="E17">
        <v>13</v>
      </c>
      <c r="F17">
        <v>9</v>
      </c>
      <c r="G17">
        <v>13</v>
      </c>
      <c r="H17">
        <v>10</v>
      </c>
      <c r="I17">
        <v>76</v>
      </c>
    </row>
    <row r="18" spans="1:9" x14ac:dyDescent="0.25">
      <c r="A18" s="15">
        <v>13</v>
      </c>
      <c r="B18">
        <v>5</v>
      </c>
      <c r="C18">
        <v>8</v>
      </c>
      <c r="D18">
        <v>5</v>
      </c>
      <c r="E18">
        <v>15</v>
      </c>
      <c r="F18">
        <v>9</v>
      </c>
      <c r="G18">
        <v>12</v>
      </c>
      <c r="H18">
        <v>6</v>
      </c>
      <c r="I18">
        <v>60</v>
      </c>
    </row>
    <row r="19" spans="1:9" x14ac:dyDescent="0.25">
      <c r="A19" s="15">
        <v>14</v>
      </c>
      <c r="B19">
        <v>7</v>
      </c>
      <c r="C19">
        <v>11</v>
      </c>
      <c r="D19">
        <v>13</v>
      </c>
      <c r="E19">
        <v>12</v>
      </c>
      <c r="F19">
        <v>14</v>
      </c>
      <c r="G19">
        <v>5</v>
      </c>
      <c r="H19">
        <v>5</v>
      </c>
      <c r="I19">
        <v>67</v>
      </c>
    </row>
    <row r="20" spans="1:9" x14ac:dyDescent="0.25">
      <c r="A20" s="15">
        <v>15</v>
      </c>
      <c r="B20">
        <v>4</v>
      </c>
      <c r="C20">
        <v>12</v>
      </c>
      <c r="D20">
        <v>18</v>
      </c>
      <c r="E20">
        <v>9</v>
      </c>
      <c r="F20">
        <v>5</v>
      </c>
      <c r="G20">
        <v>6</v>
      </c>
      <c r="H20">
        <v>8</v>
      </c>
      <c r="I20">
        <v>62</v>
      </c>
    </row>
    <row r="21" spans="1:9" x14ac:dyDescent="0.25">
      <c r="A21" s="15">
        <v>16</v>
      </c>
      <c r="B21">
        <v>9</v>
      </c>
      <c r="C21">
        <v>13</v>
      </c>
      <c r="D21">
        <v>10</v>
      </c>
      <c r="E21">
        <v>9</v>
      </c>
      <c r="F21">
        <v>15</v>
      </c>
      <c r="G21">
        <v>11</v>
      </c>
      <c r="H21">
        <v>8</v>
      </c>
      <c r="I21">
        <v>75</v>
      </c>
    </row>
    <row r="22" spans="1:9" x14ac:dyDescent="0.25">
      <c r="A22" s="15">
        <v>17</v>
      </c>
      <c r="B22">
        <v>8</v>
      </c>
      <c r="C22">
        <v>4</v>
      </c>
      <c r="D22">
        <v>7</v>
      </c>
      <c r="E22">
        <v>8</v>
      </c>
      <c r="F22">
        <v>9</v>
      </c>
      <c r="G22">
        <v>6</v>
      </c>
      <c r="H22">
        <v>9</v>
      </c>
      <c r="I22">
        <v>51</v>
      </c>
    </row>
    <row r="23" spans="1:9" x14ac:dyDescent="0.25">
      <c r="A23" s="15">
        <v>18</v>
      </c>
      <c r="B23">
        <v>7</v>
      </c>
      <c r="C23">
        <v>8</v>
      </c>
      <c r="D23">
        <v>3</v>
      </c>
      <c r="E23">
        <v>7</v>
      </c>
      <c r="F23">
        <v>6</v>
      </c>
      <c r="G23">
        <v>4</v>
      </c>
      <c r="H23">
        <v>6</v>
      </c>
      <c r="I23">
        <v>41</v>
      </c>
    </row>
    <row r="24" spans="1:9" x14ac:dyDescent="0.25">
      <c r="A24" s="15">
        <v>19</v>
      </c>
      <c r="B24">
        <v>12</v>
      </c>
      <c r="C24">
        <v>11</v>
      </c>
      <c r="D24">
        <v>9</v>
      </c>
      <c r="E24">
        <v>6</v>
      </c>
      <c r="F24">
        <v>10</v>
      </c>
      <c r="G24">
        <v>6</v>
      </c>
      <c r="H24">
        <v>6</v>
      </c>
      <c r="I24">
        <v>60</v>
      </c>
    </row>
    <row r="25" spans="1:9" x14ac:dyDescent="0.25">
      <c r="A25" s="15">
        <v>20</v>
      </c>
      <c r="B25">
        <v>10</v>
      </c>
      <c r="C25">
        <v>6</v>
      </c>
      <c r="D25">
        <v>9</v>
      </c>
      <c r="E25">
        <v>8</v>
      </c>
      <c r="F25">
        <v>14</v>
      </c>
      <c r="G25">
        <v>9</v>
      </c>
      <c r="H25">
        <v>8</v>
      </c>
      <c r="I25">
        <v>64</v>
      </c>
    </row>
    <row r="26" spans="1:9" x14ac:dyDescent="0.25">
      <c r="A26" s="15">
        <v>21</v>
      </c>
      <c r="B26">
        <v>6</v>
      </c>
      <c r="C26">
        <v>9</v>
      </c>
      <c r="D26">
        <v>11</v>
      </c>
      <c r="E26">
        <v>8</v>
      </c>
      <c r="F26">
        <v>7</v>
      </c>
      <c r="G26">
        <v>9</v>
      </c>
      <c r="H26">
        <v>8</v>
      </c>
      <c r="I26">
        <v>58</v>
      </c>
    </row>
    <row r="27" spans="1:9" x14ac:dyDescent="0.25">
      <c r="A27" s="15">
        <v>22</v>
      </c>
      <c r="B27">
        <v>5</v>
      </c>
      <c r="C27">
        <v>11</v>
      </c>
      <c r="D27">
        <v>12</v>
      </c>
      <c r="E27">
        <v>5</v>
      </c>
      <c r="F27">
        <v>5</v>
      </c>
      <c r="G27">
        <v>3</v>
      </c>
      <c r="H27">
        <v>4</v>
      </c>
      <c r="I27">
        <v>45</v>
      </c>
    </row>
    <row r="28" spans="1:9" x14ac:dyDescent="0.25">
      <c r="A28" s="15">
        <v>23</v>
      </c>
      <c r="B28">
        <v>7</v>
      </c>
      <c r="C28">
        <v>9</v>
      </c>
      <c r="D28">
        <v>3</v>
      </c>
      <c r="E28">
        <v>3</v>
      </c>
      <c r="F28">
        <v>9</v>
      </c>
      <c r="G28">
        <v>5</v>
      </c>
      <c r="H28">
        <v>7</v>
      </c>
      <c r="I28">
        <v>43</v>
      </c>
    </row>
    <row r="29" spans="1:9" x14ac:dyDescent="0.25">
      <c r="A29" s="15" t="s">
        <v>66</v>
      </c>
      <c r="B29">
        <v>132</v>
      </c>
      <c r="C29">
        <v>164</v>
      </c>
      <c r="D29">
        <v>156</v>
      </c>
      <c r="E29">
        <v>157</v>
      </c>
      <c r="F29">
        <v>162</v>
      </c>
      <c r="G29">
        <v>136</v>
      </c>
      <c r="H29">
        <v>142</v>
      </c>
      <c r="I29">
        <v>1049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ED91-105F-46F9-9626-7720D0B44658}">
  <dimension ref="A3:B13"/>
  <sheetViews>
    <sheetView workbookViewId="0">
      <selection activeCell="L7" sqref="L7"/>
    </sheetView>
  </sheetViews>
  <sheetFormatPr defaultRowHeight="15" x14ac:dyDescent="0.25"/>
  <cols>
    <col min="1" max="1" width="12" bestFit="1" customWidth="1"/>
    <col min="2" max="2" width="26.5703125" bestFit="1" customWidth="1"/>
  </cols>
  <sheetData>
    <row r="3" spans="1:2" x14ac:dyDescent="0.25">
      <c r="A3" s="11" t="s">
        <v>972</v>
      </c>
      <c r="B3" t="s">
        <v>984</v>
      </c>
    </row>
    <row r="4" spans="1:2" x14ac:dyDescent="0.25">
      <c r="A4" s="15" t="s">
        <v>975</v>
      </c>
      <c r="B4">
        <v>30.841059602649025</v>
      </c>
    </row>
    <row r="5" spans="1:2" x14ac:dyDescent="0.25">
      <c r="A5" s="15" t="s">
        <v>976</v>
      </c>
      <c r="B5">
        <v>32.239196428571418</v>
      </c>
    </row>
    <row r="6" spans="1:2" x14ac:dyDescent="0.25">
      <c r="A6" s="15" t="s">
        <v>977</v>
      </c>
      <c r="B6">
        <v>35.616541353383489</v>
      </c>
    </row>
    <row r="7" spans="1:2" x14ac:dyDescent="0.25">
      <c r="A7" s="15" t="s">
        <v>978</v>
      </c>
      <c r="B7">
        <v>33.151515151515135</v>
      </c>
    </row>
    <row r="8" spans="1:2" x14ac:dyDescent="0.25">
      <c r="A8" s="15" t="s">
        <v>979</v>
      </c>
      <c r="B8">
        <v>34.615471698113225</v>
      </c>
    </row>
    <row r="9" spans="1:2" x14ac:dyDescent="0.25">
      <c r="A9" s="15" t="s">
        <v>980</v>
      </c>
      <c r="B9">
        <v>38.850903225806476</v>
      </c>
    </row>
    <row r="10" spans="1:2" x14ac:dyDescent="0.25">
      <c r="A10" s="15" t="s">
        <v>981</v>
      </c>
      <c r="B10">
        <v>47.662589928057592</v>
      </c>
    </row>
    <row r="11" spans="1:2" x14ac:dyDescent="0.25">
      <c r="A11" s="15" t="s">
        <v>982</v>
      </c>
      <c r="B11">
        <v>43.385887850467299</v>
      </c>
    </row>
    <row r="12" spans="1:2" x14ac:dyDescent="0.25">
      <c r="A12" s="15" t="s">
        <v>983</v>
      </c>
      <c r="B12">
        <v>43.964750000000024</v>
      </c>
    </row>
    <row r="13" spans="1:2" x14ac:dyDescent="0.25">
      <c r="A13" s="15" t="s">
        <v>66</v>
      </c>
      <c r="B13">
        <v>37.815529075309605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8C23-3BA1-4D0D-B5E6-E8AD0D00F413}">
  <dimension ref="A3:C11"/>
  <sheetViews>
    <sheetView workbookViewId="0">
      <selection activeCell="C37" sqref="C37"/>
    </sheetView>
  </sheetViews>
  <sheetFormatPr defaultRowHeight="15" x14ac:dyDescent="0.25"/>
  <cols>
    <col min="1" max="1" width="12" bestFit="1" customWidth="1"/>
    <col min="2" max="2" width="24.7109375" bestFit="1" customWidth="1"/>
    <col min="3" max="3" width="26.5703125" bestFit="1" customWidth="1"/>
  </cols>
  <sheetData>
    <row r="3" spans="1:3" x14ac:dyDescent="0.25">
      <c r="A3" s="11" t="s">
        <v>972</v>
      </c>
      <c r="B3" t="s">
        <v>43</v>
      </c>
      <c r="C3" t="s">
        <v>984</v>
      </c>
    </row>
    <row r="4" spans="1:3" x14ac:dyDescent="0.25">
      <c r="A4" s="15">
        <v>1</v>
      </c>
      <c r="B4">
        <v>132</v>
      </c>
      <c r="C4">
        <v>38.089166666666671</v>
      </c>
    </row>
    <row r="5" spans="1:3" x14ac:dyDescent="0.25">
      <c r="A5" s="15">
        <v>2</v>
      </c>
      <c r="B5">
        <v>164</v>
      </c>
      <c r="C5">
        <v>40.63335365853662</v>
      </c>
    </row>
    <row r="6" spans="1:3" x14ac:dyDescent="0.25">
      <c r="A6" s="15">
        <v>3</v>
      </c>
      <c r="B6">
        <v>156</v>
      </c>
      <c r="C6">
        <v>34.94397435897438</v>
      </c>
    </row>
    <row r="7" spans="1:3" x14ac:dyDescent="0.25">
      <c r="A7" s="15">
        <v>4</v>
      </c>
      <c r="B7">
        <v>157</v>
      </c>
      <c r="C7">
        <v>38.304968152866273</v>
      </c>
    </row>
    <row r="8" spans="1:3" x14ac:dyDescent="0.25">
      <c r="A8" s="15">
        <v>5</v>
      </c>
      <c r="B8">
        <v>162</v>
      </c>
      <c r="C8">
        <v>35.692222222222249</v>
      </c>
    </row>
    <row r="9" spans="1:3" x14ac:dyDescent="0.25">
      <c r="A9" s="15">
        <v>6</v>
      </c>
      <c r="B9">
        <v>136</v>
      </c>
      <c r="C9">
        <v>37.366250000000008</v>
      </c>
    </row>
    <row r="10" spans="1:3" x14ac:dyDescent="0.25">
      <c r="A10" s="15">
        <v>7</v>
      </c>
      <c r="B10">
        <v>142</v>
      </c>
      <c r="C10">
        <v>39.772957746478895</v>
      </c>
    </row>
    <row r="11" spans="1:3" x14ac:dyDescent="0.25">
      <c r="A11" s="15" t="s">
        <v>66</v>
      </c>
      <c r="B11">
        <v>1049</v>
      </c>
      <c r="C11">
        <v>37.815529075309755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3538-CE9C-4DE1-823A-D9A3BD4882C8}">
  <dimension ref="A3:B28"/>
  <sheetViews>
    <sheetView workbookViewId="0">
      <selection activeCell="L12" sqref="L12"/>
    </sheetView>
  </sheetViews>
  <sheetFormatPr defaultRowHeight="15" x14ac:dyDescent="0.25"/>
  <cols>
    <col min="1" max="1" width="12" bestFit="1" customWidth="1"/>
    <col min="2" max="2" width="26.5703125" bestFit="1" customWidth="1"/>
  </cols>
  <sheetData>
    <row r="3" spans="1:2" x14ac:dyDescent="0.25">
      <c r="A3" s="11" t="s">
        <v>972</v>
      </c>
      <c r="B3" t="s">
        <v>984</v>
      </c>
    </row>
    <row r="4" spans="1:2" x14ac:dyDescent="0.25">
      <c r="A4" s="15">
        <v>0</v>
      </c>
      <c r="B4">
        <v>43.884615384615387</v>
      </c>
    </row>
    <row r="5" spans="1:2" x14ac:dyDescent="0.25">
      <c r="A5" s="15">
        <v>1</v>
      </c>
      <c r="B5">
        <v>30.57866666666667</v>
      </c>
    </row>
    <row r="6" spans="1:2" x14ac:dyDescent="0.25">
      <c r="A6" s="15">
        <v>2</v>
      </c>
      <c r="B6">
        <v>36.08</v>
      </c>
    </row>
    <row r="7" spans="1:2" x14ac:dyDescent="0.25">
      <c r="A7" s="15">
        <v>3</v>
      </c>
      <c r="B7">
        <v>28.3</v>
      </c>
    </row>
    <row r="8" spans="1:2" x14ac:dyDescent="0.25">
      <c r="A8" s="15">
        <v>4</v>
      </c>
      <c r="B8">
        <v>28.8</v>
      </c>
    </row>
    <row r="9" spans="1:2" x14ac:dyDescent="0.25">
      <c r="A9" s="15">
        <v>5</v>
      </c>
      <c r="B9">
        <v>37.904000000000003</v>
      </c>
    </row>
    <row r="10" spans="1:2" x14ac:dyDescent="0.25">
      <c r="A10" s="15">
        <v>6</v>
      </c>
      <c r="B10">
        <v>34.773333333333341</v>
      </c>
    </row>
    <row r="11" spans="1:2" x14ac:dyDescent="0.25">
      <c r="A11" s="15">
        <v>7</v>
      </c>
      <c r="B11">
        <v>30.332916666666662</v>
      </c>
    </row>
    <row r="12" spans="1:2" x14ac:dyDescent="0.25">
      <c r="A12" s="15">
        <v>8</v>
      </c>
      <c r="B12">
        <v>41.313249999999989</v>
      </c>
    </row>
    <row r="13" spans="1:2" x14ac:dyDescent="0.25">
      <c r="A13" s="15">
        <v>9</v>
      </c>
      <c r="B13">
        <v>37.841428571428573</v>
      </c>
    </row>
    <row r="14" spans="1:2" x14ac:dyDescent="0.25">
      <c r="A14" s="15">
        <v>10</v>
      </c>
      <c r="B14">
        <v>35.17555555555554</v>
      </c>
    </row>
    <row r="15" spans="1:2" x14ac:dyDescent="0.25">
      <c r="A15" s="15">
        <v>11</v>
      </c>
      <c r="B15">
        <v>33.835979381443316</v>
      </c>
    </row>
    <row r="16" spans="1:2" x14ac:dyDescent="0.25">
      <c r="A16" s="15">
        <v>12</v>
      </c>
      <c r="B16">
        <v>37.605921052631579</v>
      </c>
    </row>
    <row r="17" spans="1:2" x14ac:dyDescent="0.25">
      <c r="A17" s="15">
        <v>13</v>
      </c>
      <c r="B17">
        <v>35.732333333333344</v>
      </c>
    </row>
    <row r="18" spans="1:2" x14ac:dyDescent="0.25">
      <c r="A18" s="15">
        <v>14</v>
      </c>
      <c r="B18">
        <v>35.953432835820898</v>
      </c>
    </row>
    <row r="19" spans="1:2" x14ac:dyDescent="0.25">
      <c r="A19" s="15">
        <v>15</v>
      </c>
      <c r="B19">
        <v>35.483225806451607</v>
      </c>
    </row>
    <row r="20" spans="1:2" x14ac:dyDescent="0.25">
      <c r="A20" s="15">
        <v>16</v>
      </c>
      <c r="B20">
        <v>38.290133333333323</v>
      </c>
    </row>
    <row r="21" spans="1:2" x14ac:dyDescent="0.25">
      <c r="A21" s="15">
        <v>17</v>
      </c>
      <c r="B21">
        <v>44.380588235294105</v>
      </c>
    </row>
    <row r="22" spans="1:2" x14ac:dyDescent="0.25">
      <c r="A22" s="15">
        <v>18</v>
      </c>
      <c r="B22">
        <v>49.3421951219512</v>
      </c>
    </row>
    <row r="23" spans="1:2" x14ac:dyDescent="0.25">
      <c r="A23" s="15">
        <v>19</v>
      </c>
      <c r="B23">
        <v>39.627500000000005</v>
      </c>
    </row>
    <row r="24" spans="1:2" x14ac:dyDescent="0.25">
      <c r="A24" s="15">
        <v>20</v>
      </c>
      <c r="B24">
        <v>36.856562500000003</v>
      </c>
    </row>
    <row r="25" spans="1:2" x14ac:dyDescent="0.25">
      <c r="A25" s="15">
        <v>21</v>
      </c>
      <c r="B25">
        <v>36.326551724137921</v>
      </c>
    </row>
    <row r="26" spans="1:2" x14ac:dyDescent="0.25">
      <c r="A26" s="15">
        <v>22</v>
      </c>
      <c r="B26">
        <v>46.334222222222223</v>
      </c>
    </row>
    <row r="27" spans="1:2" x14ac:dyDescent="0.25">
      <c r="A27" s="15">
        <v>23</v>
      </c>
      <c r="B27">
        <v>35.480930232558123</v>
      </c>
    </row>
    <row r="28" spans="1:2" x14ac:dyDescent="0.25">
      <c r="A28" s="15" t="s">
        <v>66</v>
      </c>
      <c r="B28">
        <v>37.815529075309776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8BAC-6533-49EB-81D2-C86275D8767A}">
  <dimension ref="A3:N263"/>
  <sheetViews>
    <sheetView topLeftCell="B1" workbookViewId="0">
      <selection activeCell="N10" sqref="N10"/>
    </sheetView>
  </sheetViews>
  <sheetFormatPr defaultRowHeight="15" x14ac:dyDescent="0.25"/>
  <cols>
    <col min="1" max="1" width="12" bestFit="1" customWidth="1"/>
    <col min="2" max="2" width="29.28515625" bestFit="1" customWidth="1"/>
  </cols>
  <sheetData>
    <row r="3" spans="1:14" x14ac:dyDescent="0.25">
      <c r="A3" s="11" t="s">
        <v>972</v>
      </c>
      <c r="B3" t="s">
        <v>1235</v>
      </c>
    </row>
    <row r="4" spans="1:14" x14ac:dyDescent="0.25">
      <c r="A4" s="15" t="s">
        <v>975</v>
      </c>
      <c r="B4">
        <v>151</v>
      </c>
    </row>
    <row r="5" spans="1:14" x14ac:dyDescent="0.25">
      <c r="A5" s="16" t="s">
        <v>985</v>
      </c>
      <c r="B5">
        <v>3</v>
      </c>
    </row>
    <row r="6" spans="1:14" x14ac:dyDescent="0.25">
      <c r="A6" s="16" t="s">
        <v>986</v>
      </c>
      <c r="B6">
        <v>5</v>
      </c>
    </row>
    <row r="7" spans="1:14" x14ac:dyDescent="0.25">
      <c r="A7" s="16" t="s">
        <v>987</v>
      </c>
      <c r="B7">
        <v>4</v>
      </c>
    </row>
    <row r="8" spans="1:14" x14ac:dyDescent="0.25">
      <c r="A8" s="16" t="s">
        <v>988</v>
      </c>
      <c r="B8">
        <v>1</v>
      </c>
    </row>
    <row r="9" spans="1:14" x14ac:dyDescent="0.25">
      <c r="A9" s="16" t="s">
        <v>989</v>
      </c>
      <c r="B9">
        <v>1</v>
      </c>
    </row>
    <row r="10" spans="1:14" x14ac:dyDescent="0.25">
      <c r="A10" s="16" t="s">
        <v>990</v>
      </c>
      <c r="B10">
        <v>1</v>
      </c>
      <c r="N10" t="s">
        <v>1236</v>
      </c>
    </row>
    <row r="11" spans="1:14" x14ac:dyDescent="0.25">
      <c r="A11" s="16" t="s">
        <v>991</v>
      </c>
      <c r="B11">
        <v>4</v>
      </c>
    </row>
    <row r="12" spans="1:14" x14ac:dyDescent="0.25">
      <c r="A12" s="16" t="s">
        <v>992</v>
      </c>
      <c r="B12">
        <v>2</v>
      </c>
    </row>
    <row r="13" spans="1:14" x14ac:dyDescent="0.25">
      <c r="A13" s="16" t="s">
        <v>993</v>
      </c>
      <c r="B13">
        <v>4</v>
      </c>
    </row>
    <row r="14" spans="1:14" x14ac:dyDescent="0.25">
      <c r="A14" s="16" t="s">
        <v>994</v>
      </c>
      <c r="B14">
        <v>3</v>
      </c>
    </row>
    <row r="15" spans="1:14" x14ac:dyDescent="0.25">
      <c r="A15" s="16" t="s">
        <v>995</v>
      </c>
      <c r="B15">
        <v>2</v>
      </c>
    </row>
    <row r="16" spans="1:14" x14ac:dyDescent="0.25">
      <c r="A16" s="16" t="s">
        <v>996</v>
      </c>
      <c r="B16">
        <v>6</v>
      </c>
    </row>
    <row r="17" spans="1:2" x14ac:dyDescent="0.25">
      <c r="A17" s="16" t="s">
        <v>997</v>
      </c>
      <c r="B17">
        <v>7</v>
      </c>
    </row>
    <row r="18" spans="1:2" x14ac:dyDescent="0.25">
      <c r="A18" s="16" t="s">
        <v>998</v>
      </c>
      <c r="B18">
        <v>10</v>
      </c>
    </row>
    <row r="19" spans="1:2" x14ac:dyDescent="0.25">
      <c r="A19" s="16" t="s">
        <v>999</v>
      </c>
      <c r="B19">
        <v>9</v>
      </c>
    </row>
    <row r="20" spans="1:2" x14ac:dyDescent="0.25">
      <c r="A20" s="16" t="s">
        <v>1000</v>
      </c>
      <c r="B20">
        <v>8</v>
      </c>
    </row>
    <row r="21" spans="1:2" x14ac:dyDescent="0.25">
      <c r="A21" s="16" t="s">
        <v>1001</v>
      </c>
      <c r="B21">
        <v>6</v>
      </c>
    </row>
    <row r="22" spans="1:2" x14ac:dyDescent="0.25">
      <c r="A22" s="16" t="s">
        <v>1002</v>
      </c>
      <c r="B22">
        <v>9</v>
      </c>
    </row>
    <row r="23" spans="1:2" x14ac:dyDescent="0.25">
      <c r="A23" s="16" t="s">
        <v>1003</v>
      </c>
      <c r="B23">
        <v>15</v>
      </c>
    </row>
    <row r="24" spans="1:2" x14ac:dyDescent="0.25">
      <c r="A24" s="16" t="s">
        <v>1004</v>
      </c>
      <c r="B24">
        <v>9</v>
      </c>
    </row>
    <row r="25" spans="1:2" x14ac:dyDescent="0.25">
      <c r="A25" s="16" t="s">
        <v>1005</v>
      </c>
      <c r="B25">
        <v>3</v>
      </c>
    </row>
    <row r="26" spans="1:2" x14ac:dyDescent="0.25">
      <c r="A26" s="16" t="s">
        <v>1006</v>
      </c>
      <c r="B26">
        <v>3</v>
      </c>
    </row>
    <row r="27" spans="1:2" x14ac:dyDescent="0.25">
      <c r="A27" s="16" t="s">
        <v>1007</v>
      </c>
      <c r="B27">
        <v>6</v>
      </c>
    </row>
    <row r="28" spans="1:2" x14ac:dyDescent="0.25">
      <c r="A28" s="16" t="s">
        <v>1008</v>
      </c>
      <c r="B28">
        <v>9</v>
      </c>
    </row>
    <row r="29" spans="1:2" x14ac:dyDescent="0.25">
      <c r="A29" s="16" t="s">
        <v>1009</v>
      </c>
      <c r="B29">
        <v>6</v>
      </c>
    </row>
    <row r="30" spans="1:2" x14ac:dyDescent="0.25">
      <c r="A30" s="16" t="s">
        <v>1010</v>
      </c>
      <c r="B30">
        <v>6</v>
      </c>
    </row>
    <row r="31" spans="1:2" x14ac:dyDescent="0.25">
      <c r="A31" s="16" t="s">
        <v>1011</v>
      </c>
      <c r="B31">
        <v>7</v>
      </c>
    </row>
    <row r="32" spans="1:2" x14ac:dyDescent="0.25">
      <c r="A32" s="16" t="s">
        <v>1012</v>
      </c>
      <c r="B32">
        <v>2</v>
      </c>
    </row>
    <row r="33" spans="1:2" x14ac:dyDescent="0.25">
      <c r="A33" s="15" t="s">
        <v>976</v>
      </c>
      <c r="B33">
        <v>112</v>
      </c>
    </row>
    <row r="34" spans="1:2" x14ac:dyDescent="0.25">
      <c r="A34" s="16" t="s">
        <v>1013</v>
      </c>
      <c r="B34">
        <v>2</v>
      </c>
    </row>
    <row r="35" spans="1:2" x14ac:dyDescent="0.25">
      <c r="A35" s="16" t="s">
        <v>1014</v>
      </c>
      <c r="B35">
        <v>4</v>
      </c>
    </row>
    <row r="36" spans="1:2" x14ac:dyDescent="0.25">
      <c r="A36" s="16" t="s">
        <v>1015</v>
      </c>
      <c r="B36">
        <v>2</v>
      </c>
    </row>
    <row r="37" spans="1:2" x14ac:dyDescent="0.25">
      <c r="A37" s="16" t="s">
        <v>1016</v>
      </c>
      <c r="B37">
        <v>5</v>
      </c>
    </row>
    <row r="38" spans="1:2" x14ac:dyDescent="0.25">
      <c r="A38" s="16" t="s">
        <v>1017</v>
      </c>
      <c r="B38">
        <v>3</v>
      </c>
    </row>
    <row r="39" spans="1:2" x14ac:dyDescent="0.25">
      <c r="A39" s="16" t="s">
        <v>1018</v>
      </c>
      <c r="B39">
        <v>6</v>
      </c>
    </row>
    <row r="40" spans="1:2" x14ac:dyDescent="0.25">
      <c r="A40" s="16" t="s">
        <v>1019</v>
      </c>
      <c r="B40">
        <v>3</v>
      </c>
    </row>
    <row r="41" spans="1:2" x14ac:dyDescent="0.25">
      <c r="A41" s="16" t="s">
        <v>1020</v>
      </c>
      <c r="B41">
        <v>6</v>
      </c>
    </row>
    <row r="42" spans="1:2" x14ac:dyDescent="0.25">
      <c r="A42" s="16" t="s">
        <v>1021</v>
      </c>
      <c r="B42">
        <v>4</v>
      </c>
    </row>
    <row r="43" spans="1:2" x14ac:dyDescent="0.25">
      <c r="A43" s="16" t="s">
        <v>1022</v>
      </c>
      <c r="B43">
        <v>6</v>
      </c>
    </row>
    <row r="44" spans="1:2" x14ac:dyDescent="0.25">
      <c r="A44" s="16" t="s">
        <v>1023</v>
      </c>
      <c r="B44">
        <v>2</v>
      </c>
    </row>
    <row r="45" spans="1:2" x14ac:dyDescent="0.25">
      <c r="A45" s="16" t="s">
        <v>1024</v>
      </c>
      <c r="B45">
        <v>3</v>
      </c>
    </row>
    <row r="46" spans="1:2" x14ac:dyDescent="0.25">
      <c r="A46" s="16" t="s">
        <v>1025</v>
      </c>
      <c r="B46">
        <v>4</v>
      </c>
    </row>
    <row r="47" spans="1:2" x14ac:dyDescent="0.25">
      <c r="A47" s="16" t="s">
        <v>1026</v>
      </c>
      <c r="B47">
        <v>4</v>
      </c>
    </row>
    <row r="48" spans="1:2" x14ac:dyDescent="0.25">
      <c r="A48" s="16" t="s">
        <v>1027</v>
      </c>
      <c r="B48">
        <v>5</v>
      </c>
    </row>
    <row r="49" spans="1:2" x14ac:dyDescent="0.25">
      <c r="A49" s="16" t="s">
        <v>1028</v>
      </c>
      <c r="B49">
        <v>1</v>
      </c>
    </row>
    <row r="50" spans="1:2" x14ac:dyDescent="0.25">
      <c r="A50" s="16" t="s">
        <v>1029</v>
      </c>
      <c r="B50">
        <v>1</v>
      </c>
    </row>
    <row r="51" spans="1:2" x14ac:dyDescent="0.25">
      <c r="A51" s="16" t="s">
        <v>1030</v>
      </c>
      <c r="B51">
        <v>8</v>
      </c>
    </row>
    <row r="52" spans="1:2" x14ac:dyDescent="0.25">
      <c r="A52" s="16" t="s">
        <v>1031</v>
      </c>
      <c r="B52">
        <v>7</v>
      </c>
    </row>
    <row r="53" spans="1:2" x14ac:dyDescent="0.25">
      <c r="A53" s="16" t="s">
        <v>1032</v>
      </c>
      <c r="B53">
        <v>3</v>
      </c>
    </row>
    <row r="54" spans="1:2" x14ac:dyDescent="0.25">
      <c r="A54" s="16" t="s">
        <v>1033</v>
      </c>
      <c r="B54">
        <v>2</v>
      </c>
    </row>
    <row r="55" spans="1:2" x14ac:dyDescent="0.25">
      <c r="A55" s="16" t="s">
        <v>1034</v>
      </c>
      <c r="B55">
        <v>4</v>
      </c>
    </row>
    <row r="56" spans="1:2" x14ac:dyDescent="0.25">
      <c r="A56" s="16" t="s">
        <v>1035</v>
      </c>
      <c r="B56">
        <v>6</v>
      </c>
    </row>
    <row r="57" spans="1:2" x14ac:dyDescent="0.25">
      <c r="A57" s="16" t="s">
        <v>1036</v>
      </c>
      <c r="B57">
        <v>5</v>
      </c>
    </row>
    <row r="58" spans="1:2" x14ac:dyDescent="0.25">
      <c r="A58" s="16" t="s">
        <v>1037</v>
      </c>
      <c r="B58">
        <v>5</v>
      </c>
    </row>
    <row r="59" spans="1:2" x14ac:dyDescent="0.25">
      <c r="A59" s="16" t="s">
        <v>1038</v>
      </c>
      <c r="B59">
        <v>3</v>
      </c>
    </row>
    <row r="60" spans="1:2" x14ac:dyDescent="0.25">
      <c r="A60" s="16" t="s">
        <v>1039</v>
      </c>
      <c r="B60">
        <v>1</v>
      </c>
    </row>
    <row r="61" spans="1:2" x14ac:dyDescent="0.25">
      <c r="A61" s="16" t="s">
        <v>1040</v>
      </c>
      <c r="B61">
        <v>7</v>
      </c>
    </row>
    <row r="62" spans="1:2" x14ac:dyDescent="0.25">
      <c r="A62" s="15" t="s">
        <v>977</v>
      </c>
      <c r="B62">
        <v>133</v>
      </c>
    </row>
    <row r="63" spans="1:2" x14ac:dyDescent="0.25">
      <c r="A63" s="16" t="s">
        <v>1041</v>
      </c>
      <c r="B63">
        <v>3</v>
      </c>
    </row>
    <row r="64" spans="1:2" x14ac:dyDescent="0.25">
      <c r="A64" s="16" t="s">
        <v>1042</v>
      </c>
      <c r="B64">
        <v>5</v>
      </c>
    </row>
    <row r="65" spans="1:2" x14ac:dyDescent="0.25">
      <c r="A65" s="16" t="s">
        <v>1043</v>
      </c>
      <c r="B65">
        <v>7</v>
      </c>
    </row>
    <row r="66" spans="1:2" x14ac:dyDescent="0.25">
      <c r="A66" s="16" t="s">
        <v>1044</v>
      </c>
      <c r="B66">
        <v>11</v>
      </c>
    </row>
    <row r="67" spans="1:2" x14ac:dyDescent="0.25">
      <c r="A67" s="16" t="s">
        <v>1045</v>
      </c>
      <c r="B67">
        <v>5</v>
      </c>
    </row>
    <row r="68" spans="1:2" x14ac:dyDescent="0.25">
      <c r="A68" s="16" t="s">
        <v>1046</v>
      </c>
      <c r="B68">
        <v>1</v>
      </c>
    </row>
    <row r="69" spans="1:2" x14ac:dyDescent="0.25">
      <c r="A69" s="16" t="s">
        <v>1047</v>
      </c>
      <c r="B69">
        <v>5</v>
      </c>
    </row>
    <row r="70" spans="1:2" x14ac:dyDescent="0.25">
      <c r="A70" s="16" t="s">
        <v>1048</v>
      </c>
      <c r="B70">
        <v>5</v>
      </c>
    </row>
    <row r="71" spans="1:2" x14ac:dyDescent="0.25">
      <c r="A71" s="16" t="s">
        <v>1049</v>
      </c>
      <c r="B71">
        <v>4</v>
      </c>
    </row>
    <row r="72" spans="1:2" x14ac:dyDescent="0.25">
      <c r="A72" s="16" t="s">
        <v>1050</v>
      </c>
      <c r="B72">
        <v>6</v>
      </c>
    </row>
    <row r="73" spans="1:2" x14ac:dyDescent="0.25">
      <c r="A73" s="16" t="s">
        <v>1051</v>
      </c>
      <c r="B73">
        <v>6</v>
      </c>
    </row>
    <row r="74" spans="1:2" x14ac:dyDescent="0.25">
      <c r="A74" s="16" t="s">
        <v>1052</v>
      </c>
      <c r="B74">
        <v>5</v>
      </c>
    </row>
    <row r="75" spans="1:2" x14ac:dyDescent="0.25">
      <c r="A75" s="16" t="s">
        <v>1053</v>
      </c>
      <c r="B75">
        <v>2</v>
      </c>
    </row>
    <row r="76" spans="1:2" x14ac:dyDescent="0.25">
      <c r="A76" s="16" t="s">
        <v>1054</v>
      </c>
      <c r="B76">
        <v>4</v>
      </c>
    </row>
    <row r="77" spans="1:2" x14ac:dyDescent="0.25">
      <c r="A77" s="16" t="s">
        <v>1055</v>
      </c>
      <c r="B77">
        <v>5</v>
      </c>
    </row>
    <row r="78" spans="1:2" x14ac:dyDescent="0.25">
      <c r="A78" s="16" t="s">
        <v>1056</v>
      </c>
      <c r="B78">
        <v>3</v>
      </c>
    </row>
    <row r="79" spans="1:2" x14ac:dyDescent="0.25">
      <c r="A79" s="16" t="s">
        <v>1057</v>
      </c>
      <c r="B79">
        <v>6</v>
      </c>
    </row>
    <row r="80" spans="1:2" x14ac:dyDescent="0.25">
      <c r="A80" s="16" t="s">
        <v>1058</v>
      </c>
      <c r="B80">
        <v>6</v>
      </c>
    </row>
    <row r="81" spans="1:2" x14ac:dyDescent="0.25">
      <c r="A81" s="16" t="s">
        <v>1059</v>
      </c>
      <c r="B81">
        <v>5</v>
      </c>
    </row>
    <row r="82" spans="1:2" x14ac:dyDescent="0.25">
      <c r="A82" s="16" t="s">
        <v>1060</v>
      </c>
      <c r="B82">
        <v>3</v>
      </c>
    </row>
    <row r="83" spans="1:2" x14ac:dyDescent="0.25">
      <c r="A83" s="16" t="s">
        <v>1061</v>
      </c>
      <c r="B83">
        <v>4</v>
      </c>
    </row>
    <row r="84" spans="1:2" x14ac:dyDescent="0.25">
      <c r="A84" s="16" t="s">
        <v>1062</v>
      </c>
      <c r="B84">
        <v>7</v>
      </c>
    </row>
    <row r="85" spans="1:2" x14ac:dyDescent="0.25">
      <c r="A85" s="16" t="s">
        <v>1063</v>
      </c>
      <c r="B85">
        <v>4</v>
      </c>
    </row>
    <row r="86" spans="1:2" x14ac:dyDescent="0.25">
      <c r="A86" s="16" t="s">
        <v>1064</v>
      </c>
      <c r="B86">
        <v>9</v>
      </c>
    </row>
    <row r="87" spans="1:2" x14ac:dyDescent="0.25">
      <c r="A87" s="16" t="s">
        <v>1065</v>
      </c>
      <c r="B87">
        <v>5</v>
      </c>
    </row>
    <row r="88" spans="1:2" x14ac:dyDescent="0.25">
      <c r="A88" s="16" t="s">
        <v>1066</v>
      </c>
      <c r="B88">
        <v>1</v>
      </c>
    </row>
    <row r="89" spans="1:2" x14ac:dyDescent="0.25">
      <c r="A89" s="16" t="s">
        <v>1067</v>
      </c>
      <c r="B89">
        <v>3</v>
      </c>
    </row>
    <row r="90" spans="1:2" x14ac:dyDescent="0.25">
      <c r="A90" s="16" t="s">
        <v>1068</v>
      </c>
      <c r="B90">
        <v>1</v>
      </c>
    </row>
    <row r="91" spans="1:2" x14ac:dyDescent="0.25">
      <c r="A91" s="16" t="s">
        <v>1069</v>
      </c>
      <c r="B91">
        <v>2</v>
      </c>
    </row>
    <row r="92" spans="1:2" x14ac:dyDescent="0.25">
      <c r="A92" s="15" t="s">
        <v>978</v>
      </c>
      <c r="B92">
        <v>66</v>
      </c>
    </row>
    <row r="93" spans="1:2" x14ac:dyDescent="0.25">
      <c r="A93" s="16" t="s">
        <v>1070</v>
      </c>
      <c r="B93">
        <v>6</v>
      </c>
    </row>
    <row r="94" spans="1:2" x14ac:dyDescent="0.25">
      <c r="A94" s="16" t="s">
        <v>1071</v>
      </c>
      <c r="B94">
        <v>3</v>
      </c>
    </row>
    <row r="95" spans="1:2" x14ac:dyDescent="0.25">
      <c r="A95" s="16" t="s">
        <v>1072</v>
      </c>
      <c r="B95">
        <v>4</v>
      </c>
    </row>
    <row r="96" spans="1:2" x14ac:dyDescent="0.25">
      <c r="A96" s="16" t="s">
        <v>1073</v>
      </c>
      <c r="B96">
        <v>3</v>
      </c>
    </row>
    <row r="97" spans="1:2" x14ac:dyDescent="0.25">
      <c r="A97" s="16" t="s">
        <v>1074</v>
      </c>
      <c r="B97">
        <v>3</v>
      </c>
    </row>
    <row r="98" spans="1:2" x14ac:dyDescent="0.25">
      <c r="A98" s="16" t="s">
        <v>1075</v>
      </c>
      <c r="B98">
        <v>3</v>
      </c>
    </row>
    <row r="99" spans="1:2" x14ac:dyDescent="0.25">
      <c r="A99" s="16" t="s">
        <v>1076</v>
      </c>
      <c r="B99">
        <v>3</v>
      </c>
    </row>
    <row r="100" spans="1:2" x14ac:dyDescent="0.25">
      <c r="A100" s="16" t="s">
        <v>1077</v>
      </c>
      <c r="B100">
        <v>2</v>
      </c>
    </row>
    <row r="101" spans="1:2" x14ac:dyDescent="0.25">
      <c r="A101" s="16" t="s">
        <v>1078</v>
      </c>
      <c r="B101">
        <v>1</v>
      </c>
    </row>
    <row r="102" spans="1:2" x14ac:dyDescent="0.25">
      <c r="A102" s="16" t="s">
        <v>1079</v>
      </c>
      <c r="B102">
        <v>2</v>
      </c>
    </row>
    <row r="103" spans="1:2" x14ac:dyDescent="0.25">
      <c r="A103" s="16" t="s">
        <v>1080</v>
      </c>
      <c r="B103">
        <v>2</v>
      </c>
    </row>
    <row r="104" spans="1:2" x14ac:dyDescent="0.25">
      <c r="A104" s="16" t="s">
        <v>1081</v>
      </c>
      <c r="B104">
        <v>1</v>
      </c>
    </row>
    <row r="105" spans="1:2" x14ac:dyDescent="0.25">
      <c r="A105" s="16" t="s">
        <v>1082</v>
      </c>
      <c r="B105">
        <v>2</v>
      </c>
    </row>
    <row r="106" spans="1:2" x14ac:dyDescent="0.25">
      <c r="A106" s="16" t="s">
        <v>1083</v>
      </c>
      <c r="B106">
        <v>4</v>
      </c>
    </row>
    <row r="107" spans="1:2" x14ac:dyDescent="0.25">
      <c r="A107" s="16" t="s">
        <v>1084</v>
      </c>
      <c r="B107">
        <v>1</v>
      </c>
    </row>
    <row r="108" spans="1:2" x14ac:dyDescent="0.25">
      <c r="A108" s="16" t="s">
        <v>1085</v>
      </c>
      <c r="B108">
        <v>2</v>
      </c>
    </row>
    <row r="109" spans="1:2" x14ac:dyDescent="0.25">
      <c r="A109" s="16" t="s">
        <v>1086</v>
      </c>
      <c r="B109">
        <v>4</v>
      </c>
    </row>
    <row r="110" spans="1:2" x14ac:dyDescent="0.25">
      <c r="A110" s="16" t="s">
        <v>1087</v>
      </c>
      <c r="B110">
        <v>3</v>
      </c>
    </row>
    <row r="111" spans="1:2" x14ac:dyDescent="0.25">
      <c r="A111" s="16" t="s">
        <v>1088</v>
      </c>
      <c r="B111">
        <v>5</v>
      </c>
    </row>
    <row r="112" spans="1:2" x14ac:dyDescent="0.25">
      <c r="A112" s="16" t="s">
        <v>1089</v>
      </c>
      <c r="B112">
        <v>1</v>
      </c>
    </row>
    <row r="113" spans="1:2" x14ac:dyDescent="0.25">
      <c r="A113" s="16" t="s">
        <v>1090</v>
      </c>
      <c r="B113">
        <v>1</v>
      </c>
    </row>
    <row r="114" spans="1:2" x14ac:dyDescent="0.25">
      <c r="A114" s="16" t="s">
        <v>1091</v>
      </c>
      <c r="B114">
        <v>1</v>
      </c>
    </row>
    <row r="115" spans="1:2" x14ac:dyDescent="0.25">
      <c r="A115" s="16" t="s">
        <v>1092</v>
      </c>
      <c r="B115">
        <v>1</v>
      </c>
    </row>
    <row r="116" spans="1:2" x14ac:dyDescent="0.25">
      <c r="A116" s="16" t="s">
        <v>1093</v>
      </c>
      <c r="B116">
        <v>5</v>
      </c>
    </row>
    <row r="117" spans="1:2" x14ac:dyDescent="0.25">
      <c r="A117" s="16" t="s">
        <v>1094</v>
      </c>
      <c r="B117">
        <v>3</v>
      </c>
    </row>
    <row r="118" spans="1:2" x14ac:dyDescent="0.25">
      <c r="A118" s="15" t="s">
        <v>979</v>
      </c>
      <c r="B118">
        <v>106</v>
      </c>
    </row>
    <row r="119" spans="1:2" x14ac:dyDescent="0.25">
      <c r="A119" s="16" t="s">
        <v>1095</v>
      </c>
      <c r="B119">
        <v>4</v>
      </c>
    </row>
    <row r="120" spans="1:2" x14ac:dyDescent="0.25">
      <c r="A120" s="16" t="s">
        <v>1096</v>
      </c>
      <c r="B120">
        <v>1</v>
      </c>
    </row>
    <row r="121" spans="1:2" x14ac:dyDescent="0.25">
      <c r="A121" s="16" t="s">
        <v>1097</v>
      </c>
      <c r="B121">
        <v>1</v>
      </c>
    </row>
    <row r="122" spans="1:2" x14ac:dyDescent="0.25">
      <c r="A122" s="16" t="s">
        <v>1098</v>
      </c>
      <c r="B122">
        <v>1</v>
      </c>
    </row>
    <row r="123" spans="1:2" x14ac:dyDescent="0.25">
      <c r="A123" s="16" t="s">
        <v>1099</v>
      </c>
      <c r="B123">
        <v>1</v>
      </c>
    </row>
    <row r="124" spans="1:2" x14ac:dyDescent="0.25">
      <c r="A124" s="16" t="s">
        <v>1100</v>
      </c>
      <c r="B124">
        <v>1</v>
      </c>
    </row>
    <row r="125" spans="1:2" x14ac:dyDescent="0.25">
      <c r="A125" s="16" t="s">
        <v>1101</v>
      </c>
      <c r="B125">
        <v>2</v>
      </c>
    </row>
    <row r="126" spans="1:2" x14ac:dyDescent="0.25">
      <c r="A126" s="16" t="s">
        <v>1102</v>
      </c>
      <c r="B126">
        <v>4</v>
      </c>
    </row>
    <row r="127" spans="1:2" x14ac:dyDescent="0.25">
      <c r="A127" s="16" t="s">
        <v>1103</v>
      </c>
      <c r="B127">
        <v>2</v>
      </c>
    </row>
    <row r="128" spans="1:2" x14ac:dyDescent="0.25">
      <c r="A128" s="16" t="s">
        <v>1104</v>
      </c>
      <c r="B128">
        <v>2</v>
      </c>
    </row>
    <row r="129" spans="1:2" x14ac:dyDescent="0.25">
      <c r="A129" s="16" t="s">
        <v>1105</v>
      </c>
      <c r="B129">
        <v>2</v>
      </c>
    </row>
    <row r="130" spans="1:2" x14ac:dyDescent="0.25">
      <c r="A130" s="16" t="s">
        <v>1106</v>
      </c>
      <c r="B130">
        <v>2</v>
      </c>
    </row>
    <row r="131" spans="1:2" x14ac:dyDescent="0.25">
      <c r="A131" s="16" t="s">
        <v>1107</v>
      </c>
      <c r="B131">
        <v>2</v>
      </c>
    </row>
    <row r="132" spans="1:2" x14ac:dyDescent="0.25">
      <c r="A132" s="16" t="s">
        <v>1108</v>
      </c>
      <c r="B132">
        <v>5</v>
      </c>
    </row>
    <row r="133" spans="1:2" x14ac:dyDescent="0.25">
      <c r="A133" s="16" t="s">
        <v>1109</v>
      </c>
      <c r="B133">
        <v>1</v>
      </c>
    </row>
    <row r="134" spans="1:2" x14ac:dyDescent="0.25">
      <c r="A134" s="16" t="s">
        <v>1110</v>
      </c>
      <c r="B134">
        <v>1</v>
      </c>
    </row>
    <row r="135" spans="1:2" x14ac:dyDescent="0.25">
      <c r="A135" s="16" t="s">
        <v>1111</v>
      </c>
      <c r="B135">
        <v>6</v>
      </c>
    </row>
    <row r="136" spans="1:2" x14ac:dyDescent="0.25">
      <c r="A136" s="16" t="s">
        <v>1112</v>
      </c>
      <c r="B136">
        <v>8</v>
      </c>
    </row>
    <row r="137" spans="1:2" x14ac:dyDescent="0.25">
      <c r="A137" s="16" t="s">
        <v>1113</v>
      </c>
      <c r="B137">
        <v>6</v>
      </c>
    </row>
    <row r="138" spans="1:2" x14ac:dyDescent="0.25">
      <c r="A138" s="16" t="s">
        <v>1114</v>
      </c>
      <c r="B138">
        <v>11</v>
      </c>
    </row>
    <row r="139" spans="1:2" x14ac:dyDescent="0.25">
      <c r="A139" s="16" t="s">
        <v>1115</v>
      </c>
      <c r="B139">
        <v>10</v>
      </c>
    </row>
    <row r="140" spans="1:2" x14ac:dyDescent="0.25">
      <c r="A140" s="16" t="s">
        <v>1116</v>
      </c>
      <c r="B140">
        <v>5</v>
      </c>
    </row>
    <row r="141" spans="1:2" x14ac:dyDescent="0.25">
      <c r="A141" s="16" t="s">
        <v>1117</v>
      </c>
      <c r="B141">
        <v>5</v>
      </c>
    </row>
    <row r="142" spans="1:2" x14ac:dyDescent="0.25">
      <c r="A142" s="16" t="s">
        <v>1118</v>
      </c>
      <c r="B142">
        <v>4</v>
      </c>
    </row>
    <row r="143" spans="1:2" x14ac:dyDescent="0.25">
      <c r="A143" s="16" t="s">
        <v>1119</v>
      </c>
      <c r="B143">
        <v>1</v>
      </c>
    </row>
    <row r="144" spans="1:2" x14ac:dyDescent="0.25">
      <c r="A144" s="16" t="s">
        <v>1120</v>
      </c>
      <c r="B144">
        <v>5</v>
      </c>
    </row>
    <row r="145" spans="1:2" x14ac:dyDescent="0.25">
      <c r="A145" s="16" t="s">
        <v>1121</v>
      </c>
      <c r="B145">
        <v>6</v>
      </c>
    </row>
    <row r="146" spans="1:2" x14ac:dyDescent="0.25">
      <c r="A146" s="16" t="s">
        <v>1122</v>
      </c>
      <c r="B146">
        <v>3</v>
      </c>
    </row>
    <row r="147" spans="1:2" x14ac:dyDescent="0.25">
      <c r="A147" s="16" t="s">
        <v>1123</v>
      </c>
      <c r="B147">
        <v>4</v>
      </c>
    </row>
    <row r="148" spans="1:2" x14ac:dyDescent="0.25">
      <c r="A148" s="15" t="s">
        <v>980</v>
      </c>
      <c r="B148">
        <v>155</v>
      </c>
    </row>
    <row r="149" spans="1:2" x14ac:dyDescent="0.25">
      <c r="A149" s="16" t="s">
        <v>1124</v>
      </c>
      <c r="B149">
        <v>5</v>
      </c>
    </row>
    <row r="150" spans="1:2" x14ac:dyDescent="0.25">
      <c r="A150" s="16" t="s">
        <v>1125</v>
      </c>
      <c r="B150">
        <v>6</v>
      </c>
    </row>
    <row r="151" spans="1:2" x14ac:dyDescent="0.25">
      <c r="A151" s="16" t="s">
        <v>1126</v>
      </c>
      <c r="B151">
        <v>9</v>
      </c>
    </row>
    <row r="152" spans="1:2" x14ac:dyDescent="0.25">
      <c r="A152" s="16" t="s">
        <v>1127</v>
      </c>
      <c r="B152">
        <v>5</v>
      </c>
    </row>
    <row r="153" spans="1:2" x14ac:dyDescent="0.25">
      <c r="A153" s="16" t="s">
        <v>1128</v>
      </c>
      <c r="B153">
        <v>3</v>
      </c>
    </row>
    <row r="154" spans="1:2" x14ac:dyDescent="0.25">
      <c r="A154" s="16" t="s">
        <v>1129</v>
      </c>
      <c r="B154">
        <v>7</v>
      </c>
    </row>
    <row r="155" spans="1:2" x14ac:dyDescent="0.25">
      <c r="A155" s="16" t="s">
        <v>1130</v>
      </c>
      <c r="B155">
        <v>3</v>
      </c>
    </row>
    <row r="156" spans="1:2" x14ac:dyDescent="0.25">
      <c r="A156" s="16" t="s">
        <v>1131</v>
      </c>
      <c r="B156">
        <v>9</v>
      </c>
    </row>
    <row r="157" spans="1:2" x14ac:dyDescent="0.25">
      <c r="A157" s="16" t="s">
        <v>1132</v>
      </c>
      <c r="B157">
        <v>5</v>
      </c>
    </row>
    <row r="158" spans="1:2" x14ac:dyDescent="0.25">
      <c r="A158" s="16" t="s">
        <v>1133</v>
      </c>
      <c r="B158">
        <v>5</v>
      </c>
    </row>
    <row r="159" spans="1:2" x14ac:dyDescent="0.25">
      <c r="A159" s="16" t="s">
        <v>1134</v>
      </c>
      <c r="B159">
        <v>10</v>
      </c>
    </row>
    <row r="160" spans="1:2" x14ac:dyDescent="0.25">
      <c r="A160" s="16" t="s">
        <v>1135</v>
      </c>
      <c r="B160">
        <v>8</v>
      </c>
    </row>
    <row r="161" spans="1:2" x14ac:dyDescent="0.25">
      <c r="A161" s="16" t="s">
        <v>1136</v>
      </c>
      <c r="B161">
        <v>3</v>
      </c>
    </row>
    <row r="162" spans="1:2" x14ac:dyDescent="0.25">
      <c r="A162" s="16" t="s">
        <v>1137</v>
      </c>
      <c r="B162">
        <v>2</v>
      </c>
    </row>
    <row r="163" spans="1:2" x14ac:dyDescent="0.25">
      <c r="A163" s="16" t="s">
        <v>1138</v>
      </c>
      <c r="B163">
        <v>7</v>
      </c>
    </row>
    <row r="164" spans="1:2" x14ac:dyDescent="0.25">
      <c r="A164" s="16" t="s">
        <v>1139</v>
      </c>
      <c r="B164">
        <v>7</v>
      </c>
    </row>
    <row r="165" spans="1:2" x14ac:dyDescent="0.25">
      <c r="A165" s="16" t="s">
        <v>1140</v>
      </c>
      <c r="B165">
        <v>8</v>
      </c>
    </row>
    <row r="166" spans="1:2" x14ac:dyDescent="0.25">
      <c r="A166" s="16" t="s">
        <v>1141</v>
      </c>
      <c r="B166">
        <v>2</v>
      </c>
    </row>
    <row r="167" spans="1:2" x14ac:dyDescent="0.25">
      <c r="A167" s="16" t="s">
        <v>1142</v>
      </c>
      <c r="B167">
        <v>6</v>
      </c>
    </row>
    <row r="168" spans="1:2" x14ac:dyDescent="0.25">
      <c r="A168" s="16" t="s">
        <v>1143</v>
      </c>
      <c r="B168">
        <v>1</v>
      </c>
    </row>
    <row r="169" spans="1:2" x14ac:dyDescent="0.25">
      <c r="A169" s="16" t="s">
        <v>1144</v>
      </c>
      <c r="B169">
        <v>2</v>
      </c>
    </row>
    <row r="170" spans="1:2" x14ac:dyDescent="0.25">
      <c r="A170" s="16" t="s">
        <v>1145</v>
      </c>
      <c r="B170">
        <v>3</v>
      </c>
    </row>
    <row r="171" spans="1:2" x14ac:dyDescent="0.25">
      <c r="A171" s="16" t="s">
        <v>1146</v>
      </c>
      <c r="B171">
        <v>4</v>
      </c>
    </row>
    <row r="172" spans="1:2" x14ac:dyDescent="0.25">
      <c r="A172" s="16" t="s">
        <v>1147</v>
      </c>
      <c r="B172">
        <v>5</v>
      </c>
    </row>
    <row r="173" spans="1:2" x14ac:dyDescent="0.25">
      <c r="A173" s="16" t="s">
        <v>1148</v>
      </c>
      <c r="B173">
        <v>4</v>
      </c>
    </row>
    <row r="174" spans="1:2" x14ac:dyDescent="0.25">
      <c r="A174" s="16" t="s">
        <v>1149</v>
      </c>
      <c r="B174">
        <v>5</v>
      </c>
    </row>
    <row r="175" spans="1:2" x14ac:dyDescent="0.25">
      <c r="A175" s="16" t="s">
        <v>1150</v>
      </c>
      <c r="B175">
        <v>4</v>
      </c>
    </row>
    <row r="176" spans="1:2" x14ac:dyDescent="0.25">
      <c r="A176" s="16" t="s">
        <v>1151</v>
      </c>
      <c r="B176">
        <v>2</v>
      </c>
    </row>
    <row r="177" spans="1:2" x14ac:dyDescent="0.25">
      <c r="A177" s="16" t="s">
        <v>1152</v>
      </c>
      <c r="B177">
        <v>9</v>
      </c>
    </row>
    <row r="178" spans="1:2" x14ac:dyDescent="0.25">
      <c r="A178" s="16" t="s">
        <v>1153</v>
      </c>
      <c r="B178">
        <v>6</v>
      </c>
    </row>
    <row r="179" spans="1:2" x14ac:dyDescent="0.25">
      <c r="A179" s="15" t="s">
        <v>981</v>
      </c>
      <c r="B179">
        <v>139</v>
      </c>
    </row>
    <row r="180" spans="1:2" x14ac:dyDescent="0.25">
      <c r="A180" s="16" t="s">
        <v>1154</v>
      </c>
      <c r="B180">
        <v>6</v>
      </c>
    </row>
    <row r="181" spans="1:2" x14ac:dyDescent="0.25">
      <c r="A181" s="16" t="s">
        <v>1155</v>
      </c>
      <c r="B181">
        <v>4</v>
      </c>
    </row>
    <row r="182" spans="1:2" x14ac:dyDescent="0.25">
      <c r="A182" s="16" t="s">
        <v>1156</v>
      </c>
      <c r="B182">
        <v>4</v>
      </c>
    </row>
    <row r="183" spans="1:2" x14ac:dyDescent="0.25">
      <c r="A183" s="16" t="s">
        <v>1157</v>
      </c>
      <c r="B183">
        <v>4</v>
      </c>
    </row>
    <row r="184" spans="1:2" x14ac:dyDescent="0.25">
      <c r="A184" s="16" t="s">
        <v>1158</v>
      </c>
      <c r="B184">
        <v>12</v>
      </c>
    </row>
    <row r="185" spans="1:2" x14ac:dyDescent="0.25">
      <c r="A185" s="16" t="s">
        <v>1159</v>
      </c>
      <c r="B185">
        <v>8</v>
      </c>
    </row>
    <row r="186" spans="1:2" x14ac:dyDescent="0.25">
      <c r="A186" s="16" t="s">
        <v>1160</v>
      </c>
      <c r="B186">
        <v>3</v>
      </c>
    </row>
    <row r="187" spans="1:2" x14ac:dyDescent="0.25">
      <c r="A187" s="16" t="s">
        <v>1161</v>
      </c>
      <c r="B187">
        <v>7</v>
      </c>
    </row>
    <row r="188" spans="1:2" x14ac:dyDescent="0.25">
      <c r="A188" s="16" t="s">
        <v>1162</v>
      </c>
      <c r="B188">
        <v>3</v>
      </c>
    </row>
    <row r="189" spans="1:2" x14ac:dyDescent="0.25">
      <c r="A189" s="16" t="s">
        <v>1163</v>
      </c>
      <c r="B189">
        <v>6</v>
      </c>
    </row>
    <row r="190" spans="1:2" x14ac:dyDescent="0.25">
      <c r="A190" s="16" t="s">
        <v>1164</v>
      </c>
      <c r="B190">
        <v>6</v>
      </c>
    </row>
    <row r="191" spans="1:2" x14ac:dyDescent="0.25">
      <c r="A191" s="16" t="s">
        <v>1165</v>
      </c>
      <c r="B191">
        <v>14</v>
      </c>
    </row>
    <row r="192" spans="1:2" x14ac:dyDescent="0.25">
      <c r="A192" s="16" t="s">
        <v>1166</v>
      </c>
      <c r="B192">
        <v>4</v>
      </c>
    </row>
    <row r="193" spans="1:2" x14ac:dyDescent="0.25">
      <c r="A193" s="16" t="s">
        <v>1167</v>
      </c>
      <c r="B193">
        <v>3</v>
      </c>
    </row>
    <row r="194" spans="1:2" x14ac:dyDescent="0.25">
      <c r="A194" s="16" t="s">
        <v>1168</v>
      </c>
      <c r="B194">
        <v>8</v>
      </c>
    </row>
    <row r="195" spans="1:2" x14ac:dyDescent="0.25">
      <c r="A195" s="16" t="s">
        <v>1169</v>
      </c>
      <c r="B195">
        <v>1</v>
      </c>
    </row>
    <row r="196" spans="1:2" x14ac:dyDescent="0.25">
      <c r="A196" s="16" t="s">
        <v>1170</v>
      </c>
      <c r="B196">
        <v>1</v>
      </c>
    </row>
    <row r="197" spans="1:2" x14ac:dyDescent="0.25">
      <c r="A197" s="16" t="s">
        <v>1171</v>
      </c>
      <c r="B197">
        <v>1</v>
      </c>
    </row>
    <row r="198" spans="1:2" x14ac:dyDescent="0.25">
      <c r="A198" s="16" t="s">
        <v>1172</v>
      </c>
      <c r="B198">
        <v>9</v>
      </c>
    </row>
    <row r="199" spans="1:2" x14ac:dyDescent="0.25">
      <c r="A199" s="16" t="s">
        <v>1173</v>
      </c>
      <c r="B199">
        <v>2</v>
      </c>
    </row>
    <row r="200" spans="1:2" x14ac:dyDescent="0.25">
      <c r="A200" s="16" t="s">
        <v>1174</v>
      </c>
      <c r="B200">
        <v>5</v>
      </c>
    </row>
    <row r="201" spans="1:2" x14ac:dyDescent="0.25">
      <c r="A201" s="16" t="s">
        <v>1175</v>
      </c>
      <c r="B201">
        <v>3</v>
      </c>
    </row>
    <row r="202" spans="1:2" x14ac:dyDescent="0.25">
      <c r="A202" s="16" t="s">
        <v>1176</v>
      </c>
      <c r="B202">
        <v>2</v>
      </c>
    </row>
    <row r="203" spans="1:2" x14ac:dyDescent="0.25">
      <c r="A203" s="16" t="s">
        <v>1177</v>
      </c>
      <c r="B203">
        <v>6</v>
      </c>
    </row>
    <row r="204" spans="1:2" x14ac:dyDescent="0.25">
      <c r="A204" s="16" t="s">
        <v>1178</v>
      </c>
      <c r="B204">
        <v>4</v>
      </c>
    </row>
    <row r="205" spans="1:2" x14ac:dyDescent="0.25">
      <c r="A205" s="16" t="s">
        <v>1179</v>
      </c>
      <c r="B205">
        <v>5</v>
      </c>
    </row>
    <row r="206" spans="1:2" x14ac:dyDescent="0.25">
      <c r="A206" s="16" t="s">
        <v>1180</v>
      </c>
      <c r="B206">
        <v>3</v>
      </c>
    </row>
    <row r="207" spans="1:2" x14ac:dyDescent="0.25">
      <c r="A207" s="16" t="s">
        <v>1181</v>
      </c>
      <c r="B207">
        <v>4</v>
      </c>
    </row>
    <row r="208" spans="1:2" x14ac:dyDescent="0.25">
      <c r="A208" s="16" t="s">
        <v>1182</v>
      </c>
      <c r="B208">
        <v>1</v>
      </c>
    </row>
    <row r="209" spans="1:2" x14ac:dyDescent="0.25">
      <c r="A209" s="15" t="s">
        <v>982</v>
      </c>
      <c r="B209">
        <v>107</v>
      </c>
    </row>
    <row r="210" spans="1:2" x14ac:dyDescent="0.25">
      <c r="A210" s="16" t="s">
        <v>1183</v>
      </c>
      <c r="B210">
        <v>4</v>
      </c>
    </row>
    <row r="211" spans="1:2" x14ac:dyDescent="0.25">
      <c r="A211" s="16" t="s">
        <v>1184</v>
      </c>
      <c r="B211">
        <v>2</v>
      </c>
    </row>
    <row r="212" spans="1:2" x14ac:dyDescent="0.25">
      <c r="A212" s="16" t="s">
        <v>1185</v>
      </c>
      <c r="B212">
        <v>1</v>
      </c>
    </row>
    <row r="213" spans="1:2" x14ac:dyDescent="0.25">
      <c r="A213" s="16" t="s">
        <v>1186</v>
      </c>
      <c r="B213">
        <v>1</v>
      </c>
    </row>
    <row r="214" spans="1:2" x14ac:dyDescent="0.25">
      <c r="A214" s="16" t="s">
        <v>1187</v>
      </c>
      <c r="B214">
        <v>2</v>
      </c>
    </row>
    <row r="215" spans="1:2" x14ac:dyDescent="0.25">
      <c r="A215" s="16" t="s">
        <v>1188</v>
      </c>
      <c r="B215">
        <v>2</v>
      </c>
    </row>
    <row r="216" spans="1:2" x14ac:dyDescent="0.25">
      <c r="A216" s="16" t="s">
        <v>1189</v>
      </c>
      <c r="B216">
        <v>1</v>
      </c>
    </row>
    <row r="217" spans="1:2" x14ac:dyDescent="0.25">
      <c r="A217" s="16" t="s">
        <v>1190</v>
      </c>
      <c r="B217">
        <v>3</v>
      </c>
    </row>
    <row r="218" spans="1:2" x14ac:dyDescent="0.25">
      <c r="A218" s="16" t="s">
        <v>1191</v>
      </c>
      <c r="B218">
        <v>3</v>
      </c>
    </row>
    <row r="219" spans="1:2" x14ac:dyDescent="0.25">
      <c r="A219" s="16" t="s">
        <v>1192</v>
      </c>
      <c r="B219">
        <v>8</v>
      </c>
    </row>
    <row r="220" spans="1:2" x14ac:dyDescent="0.25">
      <c r="A220" s="16" t="s">
        <v>1193</v>
      </c>
      <c r="B220">
        <v>5</v>
      </c>
    </row>
    <row r="221" spans="1:2" x14ac:dyDescent="0.25">
      <c r="A221" s="16" t="s">
        <v>1194</v>
      </c>
      <c r="B221">
        <v>6</v>
      </c>
    </row>
    <row r="222" spans="1:2" x14ac:dyDescent="0.25">
      <c r="A222" s="16" t="s">
        <v>1195</v>
      </c>
      <c r="B222">
        <v>2</v>
      </c>
    </row>
    <row r="223" spans="1:2" x14ac:dyDescent="0.25">
      <c r="A223" s="16" t="s">
        <v>1196</v>
      </c>
      <c r="B223">
        <v>4</v>
      </c>
    </row>
    <row r="224" spans="1:2" x14ac:dyDescent="0.25">
      <c r="A224" s="16" t="s">
        <v>1197</v>
      </c>
      <c r="B224">
        <v>6</v>
      </c>
    </row>
    <row r="225" spans="1:2" x14ac:dyDescent="0.25">
      <c r="A225" s="16" t="s">
        <v>1198</v>
      </c>
      <c r="B225">
        <v>5</v>
      </c>
    </row>
    <row r="226" spans="1:2" x14ac:dyDescent="0.25">
      <c r="A226" s="16" t="s">
        <v>1199</v>
      </c>
      <c r="B226">
        <v>2</v>
      </c>
    </row>
    <row r="227" spans="1:2" x14ac:dyDescent="0.25">
      <c r="A227" s="16" t="s">
        <v>1200</v>
      </c>
      <c r="B227">
        <v>5</v>
      </c>
    </row>
    <row r="228" spans="1:2" x14ac:dyDescent="0.25">
      <c r="A228" s="16" t="s">
        <v>1201</v>
      </c>
      <c r="B228">
        <v>2</v>
      </c>
    </row>
    <row r="229" spans="1:2" x14ac:dyDescent="0.25">
      <c r="A229" s="16" t="s">
        <v>1202</v>
      </c>
      <c r="B229">
        <v>5</v>
      </c>
    </row>
    <row r="230" spans="1:2" x14ac:dyDescent="0.25">
      <c r="A230" s="16" t="s">
        <v>1203</v>
      </c>
      <c r="B230">
        <v>5</v>
      </c>
    </row>
    <row r="231" spans="1:2" x14ac:dyDescent="0.25">
      <c r="A231" s="16" t="s">
        <v>1204</v>
      </c>
      <c r="B231">
        <v>2</v>
      </c>
    </row>
    <row r="232" spans="1:2" x14ac:dyDescent="0.25">
      <c r="A232" s="16" t="s">
        <v>1205</v>
      </c>
      <c r="B232">
        <v>2</v>
      </c>
    </row>
    <row r="233" spans="1:2" x14ac:dyDescent="0.25">
      <c r="A233" s="16" t="s">
        <v>1206</v>
      </c>
      <c r="B233">
        <v>3</v>
      </c>
    </row>
    <row r="234" spans="1:2" x14ac:dyDescent="0.25">
      <c r="A234" s="16" t="s">
        <v>1207</v>
      </c>
      <c r="B234">
        <v>1</v>
      </c>
    </row>
    <row r="235" spans="1:2" x14ac:dyDescent="0.25">
      <c r="A235" s="16" t="s">
        <v>1208</v>
      </c>
      <c r="B235">
        <v>3</v>
      </c>
    </row>
    <row r="236" spans="1:2" x14ac:dyDescent="0.25">
      <c r="A236" s="16" t="s">
        <v>1209</v>
      </c>
      <c r="B236">
        <v>3</v>
      </c>
    </row>
    <row r="237" spans="1:2" x14ac:dyDescent="0.25">
      <c r="A237" s="16" t="s">
        <v>1210</v>
      </c>
      <c r="B237">
        <v>3</v>
      </c>
    </row>
    <row r="238" spans="1:2" x14ac:dyDescent="0.25">
      <c r="A238" s="16" t="s">
        <v>1211</v>
      </c>
      <c r="B238">
        <v>4</v>
      </c>
    </row>
    <row r="239" spans="1:2" x14ac:dyDescent="0.25">
      <c r="A239" s="16" t="s">
        <v>1212</v>
      </c>
      <c r="B239">
        <v>9</v>
      </c>
    </row>
    <row r="240" spans="1:2" x14ac:dyDescent="0.25">
      <c r="A240" s="16" t="s">
        <v>1213</v>
      </c>
      <c r="B240">
        <v>3</v>
      </c>
    </row>
    <row r="241" spans="1:2" x14ac:dyDescent="0.25">
      <c r="A241" s="15" t="s">
        <v>983</v>
      </c>
      <c r="B241">
        <v>80</v>
      </c>
    </row>
    <row r="242" spans="1:2" x14ac:dyDescent="0.25">
      <c r="A242" s="16" t="s">
        <v>1214</v>
      </c>
      <c r="B242">
        <v>5</v>
      </c>
    </row>
    <row r="243" spans="1:2" x14ac:dyDescent="0.25">
      <c r="A243" s="16" t="s">
        <v>1215</v>
      </c>
      <c r="B243">
        <v>5</v>
      </c>
    </row>
    <row r="244" spans="1:2" x14ac:dyDescent="0.25">
      <c r="A244" s="16" t="s">
        <v>1216</v>
      </c>
      <c r="B244">
        <v>6</v>
      </c>
    </row>
    <row r="245" spans="1:2" x14ac:dyDescent="0.25">
      <c r="A245" s="16" t="s">
        <v>1217</v>
      </c>
      <c r="B245">
        <v>5</v>
      </c>
    </row>
    <row r="246" spans="1:2" x14ac:dyDescent="0.25">
      <c r="A246" s="16" t="s">
        <v>1218</v>
      </c>
      <c r="B246">
        <v>7</v>
      </c>
    </row>
    <row r="247" spans="1:2" x14ac:dyDescent="0.25">
      <c r="A247" s="16" t="s">
        <v>1219</v>
      </c>
      <c r="B247">
        <v>5</v>
      </c>
    </row>
    <row r="248" spans="1:2" x14ac:dyDescent="0.25">
      <c r="A248" s="16" t="s">
        <v>1220</v>
      </c>
      <c r="B248">
        <v>2</v>
      </c>
    </row>
    <row r="249" spans="1:2" x14ac:dyDescent="0.25">
      <c r="A249" s="16" t="s">
        <v>1221</v>
      </c>
      <c r="B249">
        <v>3</v>
      </c>
    </row>
    <row r="250" spans="1:2" x14ac:dyDescent="0.25">
      <c r="A250" s="16" t="s">
        <v>1222</v>
      </c>
      <c r="B250">
        <v>3</v>
      </c>
    </row>
    <row r="251" spans="1:2" x14ac:dyDescent="0.25">
      <c r="A251" s="16" t="s">
        <v>1223</v>
      </c>
      <c r="B251">
        <v>1</v>
      </c>
    </row>
    <row r="252" spans="1:2" x14ac:dyDescent="0.25">
      <c r="A252" s="16" t="s">
        <v>1224</v>
      </c>
      <c r="B252">
        <v>6</v>
      </c>
    </row>
    <row r="253" spans="1:2" x14ac:dyDescent="0.25">
      <c r="A253" s="16" t="s">
        <v>1225</v>
      </c>
      <c r="B253">
        <v>5</v>
      </c>
    </row>
    <row r="254" spans="1:2" x14ac:dyDescent="0.25">
      <c r="A254" s="16" t="s">
        <v>1226</v>
      </c>
      <c r="B254">
        <v>5</v>
      </c>
    </row>
    <row r="255" spans="1:2" x14ac:dyDescent="0.25">
      <c r="A255" s="16" t="s">
        <v>1227</v>
      </c>
      <c r="B255">
        <v>2</v>
      </c>
    </row>
    <row r="256" spans="1:2" x14ac:dyDescent="0.25">
      <c r="A256" s="16" t="s">
        <v>1228</v>
      </c>
      <c r="B256">
        <v>1</v>
      </c>
    </row>
    <row r="257" spans="1:2" x14ac:dyDescent="0.25">
      <c r="A257" s="16" t="s">
        <v>1229</v>
      </c>
      <c r="B257">
        <v>5</v>
      </c>
    </row>
    <row r="258" spans="1:2" x14ac:dyDescent="0.25">
      <c r="A258" s="16" t="s">
        <v>1230</v>
      </c>
      <c r="B258">
        <v>2</v>
      </c>
    </row>
    <row r="259" spans="1:2" x14ac:dyDescent="0.25">
      <c r="A259" s="16" t="s">
        <v>1231</v>
      </c>
      <c r="B259">
        <v>5</v>
      </c>
    </row>
    <row r="260" spans="1:2" x14ac:dyDescent="0.25">
      <c r="A260" s="16" t="s">
        <v>1232</v>
      </c>
      <c r="B260">
        <v>3</v>
      </c>
    </row>
    <row r="261" spans="1:2" x14ac:dyDescent="0.25">
      <c r="A261" s="16" t="s">
        <v>1233</v>
      </c>
      <c r="B261">
        <v>2</v>
      </c>
    </row>
    <row r="262" spans="1:2" x14ac:dyDescent="0.25">
      <c r="A262" s="16" t="s">
        <v>1234</v>
      </c>
      <c r="B262">
        <v>2</v>
      </c>
    </row>
    <row r="263" spans="1:2" x14ac:dyDescent="0.25">
      <c r="A263" s="15" t="s">
        <v>66</v>
      </c>
      <c r="B263">
        <v>1049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D1050"/>
  <sheetViews>
    <sheetView zoomScaleNormal="100" workbookViewId="0">
      <selection sqref="A1:XFD1048576"/>
    </sheetView>
  </sheetViews>
  <sheetFormatPr defaultRowHeight="15" x14ac:dyDescent="0.25"/>
  <cols>
    <col min="1" max="1" width="12.7109375" customWidth="1"/>
    <col min="2" max="2" width="17.42578125" bestFit="1" customWidth="1"/>
    <col min="3" max="3" width="10" customWidth="1"/>
    <col min="4" max="4" width="16.5703125" customWidth="1"/>
    <col min="5" max="5" width="14.85546875" bestFit="1" customWidth="1"/>
    <col min="6" max="6" width="19.5703125" bestFit="1" customWidth="1"/>
    <col min="7" max="7" width="27.85546875" customWidth="1"/>
    <col min="8" max="8" width="27.28515625" bestFit="1" customWidth="1"/>
    <col min="9" max="9" width="26" bestFit="1" customWidth="1"/>
    <col min="10" max="10" width="23.42578125" bestFit="1" customWidth="1"/>
    <col min="11" max="11" width="16.140625" customWidth="1"/>
    <col min="12" max="12" width="19" bestFit="1" customWidth="1"/>
    <col min="13" max="13" width="22.28515625" customWidth="1"/>
    <col min="14" max="14" width="23.85546875" bestFit="1" customWidth="1"/>
    <col min="15" max="15" width="22.42578125" customWidth="1"/>
    <col min="16" max="16" width="26.85546875" customWidth="1"/>
    <col min="17" max="17" width="23.42578125" customWidth="1"/>
    <col min="18" max="18" width="18.42578125" bestFit="1" customWidth="1"/>
    <col min="19" max="19" width="5.5703125" bestFit="1" customWidth="1"/>
    <col min="20" max="20" width="7.140625" bestFit="1" customWidth="1"/>
    <col min="21" max="21" width="20.5703125" bestFit="1" customWidth="1"/>
    <col min="22" max="24" width="2.28515625" bestFit="1" customWidth="1"/>
    <col min="25" max="25" width="3" bestFit="1" customWidth="1"/>
    <col min="26" max="29" width="2.28515625" bestFit="1" customWidth="1"/>
    <col min="30" max="119" width="3.28515625" bestFit="1" customWidth="1"/>
    <col min="120" max="1019" width="4.42578125" bestFit="1" customWidth="1"/>
    <col min="1020" max="1120" width="5.42578125" bestFit="1" customWidth="1"/>
    <col min="1121" max="1121" width="7.42578125" bestFit="1" customWidth="1"/>
    <col min="1122" max="1122" width="11.7109375" bestFit="1" customWidth="1"/>
  </cols>
  <sheetData>
    <row r="1" spans="1:1122" s="1" customFormat="1" x14ac:dyDescent="0.25">
      <c r="A1" s="1" t="s">
        <v>4</v>
      </c>
      <c r="B1" s="1" t="s">
        <v>10</v>
      </c>
      <c r="C1" s="1" t="s">
        <v>13</v>
      </c>
      <c r="D1" s="1" t="s">
        <v>15</v>
      </c>
      <c r="E1" s="1" t="s">
        <v>18</v>
      </c>
      <c r="F1" s="1" t="s">
        <v>20</v>
      </c>
      <c r="G1" s="1" t="s">
        <v>23</v>
      </c>
      <c r="H1" s="1" t="s">
        <v>25</v>
      </c>
      <c r="I1" s="1" t="s">
        <v>27</v>
      </c>
      <c r="J1" s="1" t="s">
        <v>29</v>
      </c>
      <c r="K1" s="1" t="s">
        <v>31</v>
      </c>
      <c r="L1" s="1" t="s">
        <v>42</v>
      </c>
      <c r="M1" s="1" t="s">
        <v>974</v>
      </c>
      <c r="N1" s="1" t="s">
        <v>72</v>
      </c>
      <c r="O1" t="s">
        <v>73</v>
      </c>
      <c r="P1" t="s">
        <v>74</v>
      </c>
      <c r="Q1" t="s">
        <v>75</v>
      </c>
      <c r="R1" s="1" t="s">
        <v>44</v>
      </c>
      <c r="S1"/>
      <c r="T1"/>
    </row>
    <row r="2" spans="1:1122" s="1" customFormat="1" x14ac:dyDescent="0.25">
      <c r="A2" s="1">
        <v>1</v>
      </c>
      <c r="D2" s="2">
        <v>42232.128796296296</v>
      </c>
      <c r="E2" s="2">
        <v>42231.962152777778</v>
      </c>
      <c r="F2" s="1">
        <v>1</v>
      </c>
      <c r="G2" s="1">
        <v>2</v>
      </c>
      <c r="H2" s="1">
        <v>4</v>
      </c>
      <c r="I2" s="1">
        <v>6</v>
      </c>
      <c r="J2" s="1">
        <v>1</v>
      </c>
      <c r="K2" s="1">
        <v>1</v>
      </c>
      <c r="L2" s="3">
        <v>56.32</v>
      </c>
      <c r="M2" s="3" t="str">
        <f>TEXT(N2,"mmm")</f>
        <v>Aug</v>
      </c>
      <c r="N2" s="2">
        <v>42231.963449074072</v>
      </c>
      <c r="O2" s="1">
        <f>DAY(N2)</f>
        <v>15</v>
      </c>
      <c r="P2" s="1">
        <f>WEEKDAY(N2,1)</f>
        <v>7</v>
      </c>
      <c r="Q2" s="1">
        <f>HOUR(N2)</f>
        <v>23</v>
      </c>
      <c r="S2"/>
      <c r="T2"/>
    </row>
    <row r="3" spans="1:1122" s="1" customFormat="1" x14ac:dyDescent="0.25">
      <c r="A3" s="1">
        <v>2</v>
      </c>
      <c r="B3" s="1" t="s">
        <v>76</v>
      </c>
      <c r="C3" s="1" t="s">
        <v>77</v>
      </c>
      <c r="D3" s="2">
        <v>42026.936423611114</v>
      </c>
      <c r="E3" s="2">
        <v>42026.936481481483</v>
      </c>
      <c r="F3" s="1">
        <v>1</v>
      </c>
      <c r="G3" s="1">
        <v>0</v>
      </c>
      <c r="H3" s="1">
        <v>6</v>
      </c>
      <c r="I3" s="1">
        <v>2</v>
      </c>
      <c r="J3" s="1">
        <v>1</v>
      </c>
      <c r="K3" s="1">
        <v>3</v>
      </c>
      <c r="L3" s="4">
        <v>27</v>
      </c>
      <c r="M3" s="3" t="str">
        <f t="shared" ref="M3:M66" si="0">TEXT(N3,"mmm")</f>
        <v>Jan</v>
      </c>
      <c r="N3" s="2">
        <v>42026.93644675926</v>
      </c>
      <c r="O3" s="1">
        <f t="shared" ref="O3:O14" si="1">DAY(N3)</f>
        <v>22</v>
      </c>
      <c r="P3" s="1">
        <f t="shared" ref="P3:P14" si="2">WEEKDAY(N3,1)</f>
        <v>5</v>
      </c>
      <c r="Q3" s="1">
        <f t="shared" ref="Q3:Q14" si="3">HOUR(N3)</f>
        <v>22</v>
      </c>
      <c r="S3"/>
      <c r="T3"/>
    </row>
    <row r="4" spans="1:1122" s="1" customFormat="1" x14ac:dyDescent="0.25">
      <c r="A4" s="1">
        <v>3</v>
      </c>
      <c r="B4" s="1" t="s">
        <v>78</v>
      </c>
      <c r="C4" s="1" t="s">
        <v>79</v>
      </c>
      <c r="D4" s="2">
        <v>42191.06931712963</v>
      </c>
      <c r="E4" s="2">
        <v>42190.902731481481</v>
      </c>
      <c r="F4" s="1">
        <v>2</v>
      </c>
      <c r="G4" s="1">
        <v>1</v>
      </c>
      <c r="H4" s="1">
        <v>8</v>
      </c>
      <c r="I4" s="1">
        <v>2</v>
      </c>
      <c r="J4" s="1">
        <v>1</v>
      </c>
      <c r="K4" s="1">
        <v>4</v>
      </c>
      <c r="L4" s="3">
        <v>28.8</v>
      </c>
      <c r="M4" s="3" t="str">
        <f t="shared" si="0"/>
        <v>Jul</v>
      </c>
      <c r="N4" s="2">
        <v>42190.902662037035</v>
      </c>
      <c r="O4" s="1">
        <f t="shared" si="1"/>
        <v>5</v>
      </c>
      <c r="P4" s="1">
        <f t="shared" si="2"/>
        <v>1</v>
      </c>
      <c r="Q4" s="1">
        <f t="shared" si="3"/>
        <v>21</v>
      </c>
      <c r="S4"/>
      <c r="T4"/>
      <c r="V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row>
    <row r="5" spans="1:1122" s="1" customFormat="1" x14ac:dyDescent="0.25">
      <c r="A5" s="1">
        <v>4</v>
      </c>
      <c r="B5" s="1" t="s">
        <v>80</v>
      </c>
      <c r="C5" s="1" t="s">
        <v>81</v>
      </c>
      <c r="D5" s="2">
        <v>42210.466747685183</v>
      </c>
      <c r="E5" s="2">
        <v>42210.466782407406</v>
      </c>
      <c r="F5" s="1">
        <v>1</v>
      </c>
      <c r="G5" s="1">
        <v>4</v>
      </c>
      <c r="H5" s="1">
        <v>6</v>
      </c>
      <c r="I5" s="1">
        <v>15</v>
      </c>
      <c r="J5" s="1">
        <v>1</v>
      </c>
      <c r="K5" s="1">
        <v>1</v>
      </c>
      <c r="L5" s="3">
        <v>28.05</v>
      </c>
      <c r="M5" s="3" t="str">
        <f t="shared" si="0"/>
        <v>Jul</v>
      </c>
      <c r="N5" s="2">
        <v>42210.466747685183</v>
      </c>
      <c r="O5" s="1">
        <f t="shared" si="1"/>
        <v>25</v>
      </c>
      <c r="P5" s="1">
        <f t="shared" si="2"/>
        <v>7</v>
      </c>
      <c r="Q5" s="1">
        <f t="shared" si="3"/>
        <v>11</v>
      </c>
      <c r="S5"/>
      <c r="T5"/>
      <c r="V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row>
    <row r="6" spans="1:1122" s="1" customFormat="1" x14ac:dyDescent="0.25">
      <c r="A6" s="1">
        <v>5</v>
      </c>
      <c r="B6" s="1" t="s">
        <v>80</v>
      </c>
      <c r="C6" s="1" t="s">
        <v>82</v>
      </c>
      <c r="D6" s="2">
        <v>42063.707442129627</v>
      </c>
      <c r="E6" s="2">
        <v>42063.707511574074</v>
      </c>
      <c r="F6" s="1">
        <v>1</v>
      </c>
      <c r="G6" s="1">
        <v>0</v>
      </c>
      <c r="H6" s="1">
        <v>4</v>
      </c>
      <c r="I6" s="1">
        <v>1</v>
      </c>
      <c r="J6" s="1">
        <v>1</v>
      </c>
      <c r="K6" s="1">
        <v>2</v>
      </c>
      <c r="L6" s="4">
        <v>9</v>
      </c>
      <c r="M6" s="3" t="str">
        <f t="shared" si="0"/>
        <v>Feb</v>
      </c>
      <c r="N6" s="2">
        <v>42063.707453703704</v>
      </c>
      <c r="O6" s="1">
        <f t="shared" si="1"/>
        <v>28</v>
      </c>
      <c r="P6" s="1">
        <f t="shared" si="2"/>
        <v>7</v>
      </c>
      <c r="Q6" s="1">
        <f t="shared" si="3"/>
        <v>16</v>
      </c>
      <c r="S6"/>
      <c r="T6"/>
      <c r="V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row>
    <row r="7" spans="1:1122" s="1" customFormat="1" x14ac:dyDescent="0.25">
      <c r="A7" s="1">
        <v>6</v>
      </c>
      <c r="D7" s="2">
        <v>42016.859976851854</v>
      </c>
      <c r="E7" s="2">
        <v>42016.860034722224</v>
      </c>
      <c r="F7" s="1">
        <v>1</v>
      </c>
      <c r="G7" s="1">
        <v>0</v>
      </c>
      <c r="H7" s="1">
        <v>4</v>
      </c>
      <c r="I7" s="1">
        <v>3</v>
      </c>
      <c r="J7" s="1">
        <v>1</v>
      </c>
      <c r="K7" s="1">
        <v>2</v>
      </c>
      <c r="L7" s="4">
        <v>9</v>
      </c>
      <c r="M7" s="3" t="str">
        <f t="shared" si="0"/>
        <v>Jan</v>
      </c>
      <c r="N7" s="2">
        <v>42016.86</v>
      </c>
      <c r="O7" s="1">
        <f t="shared" si="1"/>
        <v>12</v>
      </c>
      <c r="P7" s="1">
        <f t="shared" si="2"/>
        <v>2</v>
      </c>
      <c r="Q7" s="1">
        <f t="shared" si="3"/>
        <v>20</v>
      </c>
      <c r="S7"/>
      <c r="T7"/>
      <c r="V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row>
    <row r="8" spans="1:1122" s="1" customFormat="1" x14ac:dyDescent="0.25">
      <c r="A8" s="1">
        <v>7</v>
      </c>
      <c r="B8" s="1" t="s">
        <v>83</v>
      </c>
      <c r="C8" s="1" t="s">
        <v>84</v>
      </c>
      <c r="D8" s="2">
        <v>42125.911215277774</v>
      </c>
      <c r="E8" s="2">
        <v>42125.911273148151</v>
      </c>
      <c r="F8" s="1">
        <v>1</v>
      </c>
      <c r="G8" s="1">
        <v>0</v>
      </c>
      <c r="H8" s="1">
        <v>4</v>
      </c>
      <c r="I8" s="1">
        <v>1</v>
      </c>
      <c r="J8" s="1">
        <v>1</v>
      </c>
      <c r="K8" s="1">
        <v>2</v>
      </c>
      <c r="L8" s="4">
        <v>18</v>
      </c>
      <c r="M8" s="3" t="str">
        <f t="shared" si="0"/>
        <v>May</v>
      </c>
      <c r="N8" s="2">
        <v>42125.911226851851</v>
      </c>
      <c r="O8" s="1">
        <f t="shared" si="1"/>
        <v>1</v>
      </c>
      <c r="P8" s="1">
        <f t="shared" si="2"/>
        <v>6</v>
      </c>
      <c r="Q8" s="1">
        <f t="shared" si="3"/>
        <v>21</v>
      </c>
      <c r="S8"/>
      <c r="T8"/>
      <c r="V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row>
    <row r="9" spans="1:1122" s="1" customFormat="1" x14ac:dyDescent="0.25">
      <c r="A9" s="1">
        <v>8</v>
      </c>
      <c r="B9" s="1" t="s">
        <v>85</v>
      </c>
      <c r="C9" s="1" t="s">
        <v>86</v>
      </c>
      <c r="D9" s="2">
        <v>42248.757314814815</v>
      </c>
      <c r="E9" s="2">
        <v>42248.757361111115</v>
      </c>
      <c r="F9" s="1">
        <v>1</v>
      </c>
      <c r="G9" s="1">
        <v>0</v>
      </c>
      <c r="H9" s="1">
        <v>2</v>
      </c>
      <c r="I9" s="1">
        <v>2</v>
      </c>
      <c r="J9" s="1">
        <v>1</v>
      </c>
      <c r="K9" s="1">
        <v>1</v>
      </c>
      <c r="L9" s="3">
        <v>29.92</v>
      </c>
      <c r="M9" s="3" t="str">
        <f t="shared" si="0"/>
        <v>Sep</v>
      </c>
      <c r="N9" s="2">
        <v>42248.757314814815</v>
      </c>
      <c r="O9" s="1">
        <f t="shared" si="1"/>
        <v>1</v>
      </c>
      <c r="P9" s="1">
        <f t="shared" si="2"/>
        <v>3</v>
      </c>
      <c r="Q9" s="1">
        <f t="shared" si="3"/>
        <v>18</v>
      </c>
      <c r="S9"/>
      <c r="T9"/>
      <c r="V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row>
    <row r="10" spans="1:1122" s="1" customFormat="1" x14ac:dyDescent="0.25">
      <c r="A10" s="1">
        <v>9</v>
      </c>
      <c r="B10" s="1" t="s">
        <v>87</v>
      </c>
      <c r="C10" s="1" t="s">
        <v>88</v>
      </c>
      <c r="D10" s="2">
        <v>42166.099548611113</v>
      </c>
      <c r="E10" s="2">
        <v>42165.932951388888</v>
      </c>
      <c r="F10" s="1">
        <v>1</v>
      </c>
      <c r="G10" s="1">
        <v>2</v>
      </c>
      <c r="H10" s="1">
        <v>14</v>
      </c>
      <c r="I10" s="1">
        <v>2</v>
      </c>
      <c r="J10" s="1">
        <v>1</v>
      </c>
      <c r="K10" s="1">
        <v>7</v>
      </c>
      <c r="L10" s="3">
        <v>51.75</v>
      </c>
      <c r="M10" s="3" t="str">
        <f t="shared" si="0"/>
        <v>Jun</v>
      </c>
      <c r="N10" s="2">
        <v>42165.932905092595</v>
      </c>
      <c r="O10" s="1">
        <f t="shared" si="1"/>
        <v>10</v>
      </c>
      <c r="P10" s="1">
        <f t="shared" si="2"/>
        <v>4</v>
      </c>
      <c r="Q10" s="1">
        <f t="shared" si="3"/>
        <v>22</v>
      </c>
      <c r="S10"/>
      <c r="T10"/>
      <c r="V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row>
    <row r="11" spans="1:1122" s="1" customFormat="1" x14ac:dyDescent="0.25">
      <c r="A11" s="1">
        <v>10</v>
      </c>
      <c r="B11" s="1" t="s">
        <v>89</v>
      </c>
      <c r="C11" s="1" t="s">
        <v>90</v>
      </c>
      <c r="D11" s="2">
        <v>42172.534837962965</v>
      </c>
      <c r="E11" s="2">
        <v>42172.634699074071</v>
      </c>
      <c r="F11" s="1">
        <v>2</v>
      </c>
      <c r="G11" s="1">
        <v>2</v>
      </c>
      <c r="H11" s="1">
        <v>2</v>
      </c>
      <c r="I11" s="1">
        <v>3</v>
      </c>
      <c r="J11" s="1">
        <v>1</v>
      </c>
      <c r="K11" s="1">
        <v>1</v>
      </c>
      <c r="L11" s="3">
        <v>28.8</v>
      </c>
      <c r="M11" s="3" t="str">
        <f t="shared" si="0"/>
        <v>Jun</v>
      </c>
      <c r="N11" s="2">
        <v>42172.534849537034</v>
      </c>
      <c r="O11" s="1">
        <f t="shared" si="1"/>
        <v>17</v>
      </c>
      <c r="P11" s="1">
        <f t="shared" si="2"/>
        <v>4</v>
      </c>
      <c r="Q11" s="1">
        <f t="shared" si="3"/>
        <v>12</v>
      </c>
      <c r="S11"/>
      <c r="T11"/>
      <c r="V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row>
    <row r="12" spans="1:1122" s="1" customFormat="1" x14ac:dyDescent="0.25">
      <c r="A12" s="1">
        <v>11</v>
      </c>
      <c r="B12" s="1" t="s">
        <v>91</v>
      </c>
      <c r="C12" s="1" t="s">
        <v>92</v>
      </c>
      <c r="D12" s="2">
        <v>42112.470810185187</v>
      </c>
      <c r="E12" s="2">
        <v>42112.471076388887</v>
      </c>
      <c r="F12" s="1">
        <v>1</v>
      </c>
      <c r="G12" s="1">
        <v>2</v>
      </c>
      <c r="H12" s="1">
        <v>8</v>
      </c>
      <c r="I12" s="1">
        <v>3</v>
      </c>
      <c r="J12" s="1">
        <v>1</v>
      </c>
      <c r="K12" s="1">
        <v>3</v>
      </c>
      <c r="L12" s="4">
        <v>21.6</v>
      </c>
      <c r="M12" s="3" t="str">
        <f t="shared" si="0"/>
        <v>Apr</v>
      </c>
      <c r="N12" s="2">
        <v>42112.471030092594</v>
      </c>
      <c r="O12" s="1">
        <f t="shared" si="1"/>
        <v>18</v>
      </c>
      <c r="P12" s="1">
        <f t="shared" si="2"/>
        <v>7</v>
      </c>
      <c r="Q12" s="1">
        <f t="shared" si="3"/>
        <v>11</v>
      </c>
      <c r="S12"/>
      <c r="T12"/>
      <c r="V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row>
    <row r="13" spans="1:1122" s="1" customFormat="1" x14ac:dyDescent="0.25">
      <c r="A13" s="1">
        <v>12</v>
      </c>
      <c r="B13" s="1" t="s">
        <v>76</v>
      </c>
      <c r="C13" s="1" t="s">
        <v>93</v>
      </c>
      <c r="D13" s="2">
        <v>42178.882557870369</v>
      </c>
      <c r="E13" s="2">
        <v>42178.715949074074</v>
      </c>
      <c r="F13" s="1">
        <v>1</v>
      </c>
      <c r="G13" s="1">
        <v>4</v>
      </c>
      <c r="H13" s="1">
        <v>4</v>
      </c>
      <c r="I13" s="1">
        <v>2</v>
      </c>
      <c r="J13" s="1">
        <v>1</v>
      </c>
      <c r="K13" s="1">
        <v>4</v>
      </c>
      <c r="L13" s="3">
        <v>27</v>
      </c>
      <c r="M13" s="3" t="str">
        <f t="shared" si="0"/>
        <v>Jun</v>
      </c>
      <c r="N13" s="2">
        <v>42178.715914351851</v>
      </c>
      <c r="O13" s="1">
        <f t="shared" si="1"/>
        <v>23</v>
      </c>
      <c r="P13" s="1">
        <f t="shared" si="2"/>
        <v>3</v>
      </c>
      <c r="Q13" s="1">
        <f t="shared" si="3"/>
        <v>17</v>
      </c>
      <c r="S13"/>
      <c r="T13"/>
      <c r="V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row>
    <row r="14" spans="1:1122" s="1" customFormat="1" x14ac:dyDescent="0.25">
      <c r="A14" s="1">
        <v>13</v>
      </c>
      <c r="B14" s="1" t="s">
        <v>94</v>
      </c>
      <c r="C14" s="1" t="s">
        <v>95</v>
      </c>
      <c r="D14" s="2">
        <v>42087.686249999999</v>
      </c>
      <c r="E14" s="2">
        <v>42087.686319444445</v>
      </c>
      <c r="F14" s="1">
        <v>1</v>
      </c>
      <c r="G14" s="1">
        <v>2</v>
      </c>
      <c r="H14" s="1">
        <v>2</v>
      </c>
      <c r="I14" s="1">
        <v>2</v>
      </c>
      <c r="J14" s="1">
        <v>1</v>
      </c>
      <c r="K14" s="1">
        <v>1</v>
      </c>
      <c r="L14" s="4">
        <v>64.8</v>
      </c>
      <c r="M14" s="3" t="str">
        <f t="shared" si="0"/>
        <v>Mar</v>
      </c>
      <c r="N14" s="2">
        <v>42087.689791666664</v>
      </c>
      <c r="O14" s="1">
        <f t="shared" si="1"/>
        <v>24</v>
      </c>
      <c r="P14" s="1">
        <f t="shared" si="2"/>
        <v>3</v>
      </c>
      <c r="Q14" s="1">
        <f t="shared" si="3"/>
        <v>16</v>
      </c>
      <c r="S14"/>
      <c r="T14"/>
      <c r="V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row>
    <row r="15" spans="1:1122" s="1" customFormat="1" x14ac:dyDescent="0.25">
      <c r="A15" s="1">
        <v>15</v>
      </c>
      <c r="B15" s="1" t="s">
        <v>96</v>
      </c>
      <c r="C15" s="1" t="s">
        <v>97</v>
      </c>
      <c r="D15" s="2">
        <v>42135.777627314812</v>
      </c>
      <c r="E15" s="2">
        <v>42136.551215277781</v>
      </c>
      <c r="F15" s="1">
        <v>5</v>
      </c>
      <c r="G15" s="1">
        <v>4</v>
      </c>
      <c r="H15" s="1">
        <v>6</v>
      </c>
      <c r="I15" s="1">
        <v>2</v>
      </c>
      <c r="J15" s="1">
        <v>1</v>
      </c>
      <c r="K15" s="1">
        <v>3</v>
      </c>
      <c r="L15" s="4">
        <v>27</v>
      </c>
      <c r="M15" s="3" t="str">
        <f t="shared" si="0"/>
        <v>May</v>
      </c>
      <c r="N15" s="2">
        <v>42135.777627314812</v>
      </c>
      <c r="O15" s="1">
        <f t="shared" ref="O15:O30" si="4">DAY(N15)</f>
        <v>11</v>
      </c>
      <c r="P15" s="1">
        <f t="shared" ref="P15:P30" si="5">WEEKDAY(N15,1)</f>
        <v>2</v>
      </c>
      <c r="Q15" s="1">
        <f t="shared" ref="Q15:Q30" si="6">HOUR(N15)</f>
        <v>18</v>
      </c>
      <c r="S15"/>
      <c r="T15"/>
      <c r="V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row>
    <row r="16" spans="1:1122" s="1" customFormat="1" x14ac:dyDescent="0.25">
      <c r="A16" s="1">
        <v>16</v>
      </c>
      <c r="B16" s="1" t="s">
        <v>98</v>
      </c>
      <c r="C16" s="1" t="s">
        <v>99</v>
      </c>
      <c r="D16" s="2">
        <v>42078.617812500001</v>
      </c>
      <c r="E16" s="2">
        <v>42078.61787037037</v>
      </c>
      <c r="F16" s="1">
        <v>1</v>
      </c>
      <c r="G16" s="1">
        <v>1</v>
      </c>
      <c r="H16" s="1">
        <v>8</v>
      </c>
      <c r="I16" s="1">
        <v>1</v>
      </c>
      <c r="J16" s="1">
        <v>1</v>
      </c>
      <c r="K16" s="1">
        <v>6</v>
      </c>
      <c r="L16" s="4">
        <v>43.2</v>
      </c>
      <c r="M16" s="3" t="str">
        <f t="shared" si="0"/>
        <v>Mar</v>
      </c>
      <c r="N16" s="2">
        <v>42078.617824074077</v>
      </c>
      <c r="O16" s="1">
        <f t="shared" si="4"/>
        <v>15</v>
      </c>
      <c r="P16" s="1">
        <f t="shared" si="5"/>
        <v>1</v>
      </c>
      <c r="Q16" s="1">
        <f t="shared" si="6"/>
        <v>14</v>
      </c>
      <c r="S16"/>
      <c r="T16"/>
      <c r="V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row>
    <row r="17" spans="1:1122" s="1" customFormat="1" x14ac:dyDescent="0.25">
      <c r="A17" s="1">
        <v>17</v>
      </c>
      <c r="B17" s="1" t="s">
        <v>100</v>
      </c>
      <c r="C17" s="1" t="s">
        <v>101</v>
      </c>
      <c r="D17" s="2">
        <v>42201.048680555556</v>
      </c>
      <c r="E17" s="2">
        <v>42200.882106481484</v>
      </c>
      <c r="F17" s="1">
        <v>1</v>
      </c>
      <c r="G17" s="1">
        <v>2</v>
      </c>
      <c r="H17" s="1">
        <v>8</v>
      </c>
      <c r="I17" s="1">
        <v>2</v>
      </c>
      <c r="J17" s="1">
        <v>1</v>
      </c>
      <c r="K17" s="1">
        <v>3</v>
      </c>
      <c r="L17" s="3">
        <v>81.599999999999994</v>
      </c>
      <c r="M17" s="3" t="str">
        <f t="shared" si="0"/>
        <v>Jul</v>
      </c>
      <c r="N17" s="2">
        <v>42200.882037037038</v>
      </c>
      <c r="O17" s="1">
        <f t="shared" si="4"/>
        <v>15</v>
      </c>
      <c r="P17" s="1">
        <f t="shared" si="5"/>
        <v>4</v>
      </c>
      <c r="Q17" s="1">
        <f t="shared" si="6"/>
        <v>21</v>
      </c>
      <c r="S17"/>
      <c r="T17"/>
      <c r="V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row>
    <row r="18" spans="1:1122" s="1" customFormat="1" x14ac:dyDescent="0.25">
      <c r="A18" s="1">
        <v>18</v>
      </c>
      <c r="B18" s="1" t="s">
        <v>100</v>
      </c>
      <c r="C18" s="1" t="s">
        <v>102</v>
      </c>
      <c r="D18" s="2">
        <v>42185.644467592596</v>
      </c>
      <c r="E18" s="2">
        <v>42185.644502314812</v>
      </c>
      <c r="F18" s="1">
        <v>1</v>
      </c>
      <c r="G18" s="1">
        <v>0</v>
      </c>
      <c r="H18" s="1">
        <v>2</v>
      </c>
      <c r="I18" s="1">
        <v>2</v>
      </c>
      <c r="J18" s="1">
        <v>1</v>
      </c>
      <c r="K18" s="1">
        <v>1</v>
      </c>
      <c r="L18" s="3">
        <v>28.8</v>
      </c>
      <c r="M18" s="3" t="str">
        <f t="shared" si="0"/>
        <v>Jun</v>
      </c>
      <c r="N18" s="2">
        <v>42185.644467592596</v>
      </c>
      <c r="O18" s="1">
        <f t="shared" si="4"/>
        <v>30</v>
      </c>
      <c r="P18" s="1">
        <f t="shared" si="5"/>
        <v>3</v>
      </c>
      <c r="Q18" s="1">
        <f t="shared" si="6"/>
        <v>15</v>
      </c>
      <c r="S18"/>
      <c r="T18"/>
      <c r="V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row>
    <row r="19" spans="1:1122" s="1" customFormat="1" x14ac:dyDescent="0.25">
      <c r="A19" s="1">
        <v>19</v>
      </c>
      <c r="B19" s="1" t="s">
        <v>103</v>
      </c>
      <c r="C19" s="1" t="s">
        <v>104</v>
      </c>
      <c r="D19" s="2">
        <v>42134.279386574075</v>
      </c>
      <c r="E19" s="2">
        <v>42134.279421296298</v>
      </c>
      <c r="F19" s="1">
        <v>1</v>
      </c>
      <c r="G19" s="1">
        <v>2</v>
      </c>
      <c r="H19" s="1">
        <v>2</v>
      </c>
      <c r="I19" s="1">
        <v>2</v>
      </c>
      <c r="J19" s="1">
        <v>1</v>
      </c>
      <c r="K19" s="1">
        <v>1</v>
      </c>
      <c r="L19" s="4">
        <v>28.8</v>
      </c>
      <c r="M19" s="3" t="str">
        <f t="shared" si="0"/>
        <v>May</v>
      </c>
      <c r="N19" s="2">
        <v>42134.279386574075</v>
      </c>
      <c r="O19" s="1">
        <f t="shared" si="4"/>
        <v>10</v>
      </c>
      <c r="P19" s="1">
        <f t="shared" si="5"/>
        <v>1</v>
      </c>
      <c r="Q19" s="1">
        <f t="shared" si="6"/>
        <v>6</v>
      </c>
      <c r="S19"/>
      <c r="T19"/>
      <c r="V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row>
    <row r="20" spans="1:1122" s="1" customFormat="1" x14ac:dyDescent="0.25">
      <c r="A20" s="1">
        <v>20</v>
      </c>
      <c r="B20" s="1" t="s">
        <v>103</v>
      </c>
      <c r="C20" s="1" t="s">
        <v>105</v>
      </c>
      <c r="D20" s="2">
        <v>42216.674988425926</v>
      </c>
      <c r="E20" s="2">
        <v>42216.675023148149</v>
      </c>
      <c r="F20" s="1">
        <v>1</v>
      </c>
      <c r="G20" s="1">
        <v>2</v>
      </c>
      <c r="H20" s="1">
        <v>4</v>
      </c>
      <c r="I20" s="1">
        <v>6</v>
      </c>
      <c r="J20" s="1">
        <v>1</v>
      </c>
      <c r="K20" s="1">
        <v>1</v>
      </c>
      <c r="L20" s="3">
        <v>29.92</v>
      </c>
      <c r="M20" s="3" t="str">
        <f t="shared" si="0"/>
        <v>Jul</v>
      </c>
      <c r="N20" s="2">
        <v>42216.674988425926</v>
      </c>
      <c r="O20" s="1">
        <f t="shared" si="4"/>
        <v>31</v>
      </c>
      <c r="P20" s="1">
        <f t="shared" si="5"/>
        <v>6</v>
      </c>
      <c r="Q20" s="1">
        <f t="shared" si="6"/>
        <v>16</v>
      </c>
      <c r="S20"/>
      <c r="T20"/>
      <c r="V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row>
    <row r="21" spans="1:1122" s="1" customFormat="1" x14ac:dyDescent="0.25">
      <c r="A21" s="1">
        <v>21</v>
      </c>
      <c r="D21" s="2">
        <v>42205.972962962966</v>
      </c>
      <c r="E21" s="2">
        <v>42205.806319444448</v>
      </c>
      <c r="F21" s="1">
        <v>1</v>
      </c>
      <c r="G21" s="1">
        <v>4</v>
      </c>
      <c r="H21" s="1">
        <v>4</v>
      </c>
      <c r="I21" s="1">
        <v>4</v>
      </c>
      <c r="J21" s="1">
        <v>1</v>
      </c>
      <c r="K21" s="1">
        <v>1</v>
      </c>
      <c r="L21" s="3">
        <v>56.32</v>
      </c>
      <c r="M21" s="3" t="str">
        <f t="shared" si="0"/>
        <v>Jul</v>
      </c>
      <c r="N21" s="2">
        <v>42205.811793981484</v>
      </c>
      <c r="O21" s="1">
        <f t="shared" si="4"/>
        <v>20</v>
      </c>
      <c r="P21" s="1">
        <f t="shared" si="5"/>
        <v>2</v>
      </c>
      <c r="Q21" s="1">
        <f t="shared" si="6"/>
        <v>19</v>
      </c>
      <c r="S21"/>
      <c r="T21"/>
      <c r="V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row>
    <row r="22" spans="1:1122" s="1" customFormat="1" x14ac:dyDescent="0.25">
      <c r="A22" s="1">
        <v>22</v>
      </c>
      <c r="B22" s="1" t="s">
        <v>89</v>
      </c>
      <c r="C22" s="1" t="s">
        <v>106</v>
      </c>
      <c r="D22" s="2">
        <v>42224.157384259262</v>
      </c>
      <c r="E22" s="2">
        <v>42223.990752314814</v>
      </c>
      <c r="F22" s="1">
        <v>1</v>
      </c>
      <c r="G22" s="1">
        <v>2</v>
      </c>
      <c r="H22" s="1">
        <v>2</v>
      </c>
      <c r="I22" s="1">
        <v>3</v>
      </c>
      <c r="J22" s="1">
        <v>1</v>
      </c>
      <c r="K22" s="1">
        <v>5</v>
      </c>
      <c r="L22" s="3">
        <v>44</v>
      </c>
      <c r="M22" s="3" t="str">
        <f t="shared" si="0"/>
        <v>Aug</v>
      </c>
      <c r="N22" s="2">
        <v>42223.990717592591</v>
      </c>
      <c r="O22" s="1">
        <f t="shared" si="4"/>
        <v>7</v>
      </c>
      <c r="P22" s="1">
        <f t="shared" si="5"/>
        <v>6</v>
      </c>
      <c r="Q22" s="1">
        <f t="shared" si="6"/>
        <v>23</v>
      </c>
      <c r="S22"/>
      <c r="T22"/>
      <c r="V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row>
    <row r="23" spans="1:1122" s="1" customFormat="1" x14ac:dyDescent="0.25">
      <c r="A23" s="1">
        <v>23</v>
      </c>
      <c r="B23" s="1" t="s">
        <v>107</v>
      </c>
      <c r="C23" s="1" t="s">
        <v>108</v>
      </c>
      <c r="D23" s="2">
        <v>42191.420775462961</v>
      </c>
      <c r="E23" s="2">
        <v>42191.420810185184</v>
      </c>
      <c r="F23" s="1">
        <v>1</v>
      </c>
      <c r="G23" s="1">
        <v>2</v>
      </c>
      <c r="H23" s="1">
        <v>8</v>
      </c>
      <c r="I23" s="1">
        <v>4</v>
      </c>
      <c r="J23" s="1">
        <v>1</v>
      </c>
      <c r="K23" s="1">
        <v>4</v>
      </c>
      <c r="L23" s="3">
        <v>28.8</v>
      </c>
      <c r="M23" s="3" t="str">
        <f t="shared" si="0"/>
        <v>Jul</v>
      </c>
      <c r="N23" s="2">
        <v>42191.420775462961</v>
      </c>
      <c r="O23" s="1">
        <f t="shared" si="4"/>
        <v>6</v>
      </c>
      <c r="P23" s="1">
        <f t="shared" si="5"/>
        <v>2</v>
      </c>
      <c r="Q23" s="1">
        <f t="shared" si="6"/>
        <v>10</v>
      </c>
      <c r="S23"/>
      <c r="T23"/>
      <c r="V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row>
    <row r="24" spans="1:1122" s="1" customFormat="1" x14ac:dyDescent="0.25">
      <c r="A24" s="1">
        <v>24</v>
      </c>
      <c r="D24" s="2">
        <v>42052.49019675926</v>
      </c>
      <c r="E24" s="2">
        <v>42056.833483796298</v>
      </c>
      <c r="F24" s="1">
        <v>2</v>
      </c>
      <c r="G24" s="1">
        <v>2</v>
      </c>
      <c r="H24" s="1">
        <v>14</v>
      </c>
      <c r="I24" s="1">
        <v>6</v>
      </c>
      <c r="J24" s="1">
        <v>1</v>
      </c>
      <c r="K24" s="1">
        <v>4</v>
      </c>
      <c r="L24" s="4">
        <v>27</v>
      </c>
      <c r="M24" s="3" t="str">
        <f t="shared" si="0"/>
        <v>Feb</v>
      </c>
      <c r="N24" s="2">
        <v>42056.836226851854</v>
      </c>
      <c r="O24" s="1">
        <f t="shared" si="4"/>
        <v>21</v>
      </c>
      <c r="P24" s="1">
        <f t="shared" si="5"/>
        <v>7</v>
      </c>
      <c r="Q24" s="1">
        <f t="shared" si="6"/>
        <v>20</v>
      </c>
      <c r="S24"/>
      <c r="T24"/>
    </row>
    <row r="25" spans="1:1122" s="1" customFormat="1" x14ac:dyDescent="0.25">
      <c r="A25" s="1">
        <v>25</v>
      </c>
      <c r="B25" s="1" t="s">
        <v>109</v>
      </c>
      <c r="C25" s="1" t="s">
        <v>110</v>
      </c>
      <c r="D25" s="2">
        <v>42024.902245370373</v>
      </c>
      <c r="E25" s="2">
        <v>42024.902337962965</v>
      </c>
      <c r="F25" s="1">
        <v>1</v>
      </c>
      <c r="G25" s="1">
        <v>2</v>
      </c>
      <c r="H25" s="1">
        <v>6</v>
      </c>
      <c r="I25" s="1">
        <v>2</v>
      </c>
      <c r="J25" s="1">
        <v>1</v>
      </c>
      <c r="K25" s="1">
        <v>2</v>
      </c>
      <c r="L25" s="4">
        <v>14.4</v>
      </c>
      <c r="M25" s="3" t="str">
        <f t="shared" si="0"/>
        <v>Jan</v>
      </c>
      <c r="N25" s="2">
        <v>42024.902256944442</v>
      </c>
      <c r="O25" s="1">
        <f t="shared" si="4"/>
        <v>20</v>
      </c>
      <c r="P25" s="1">
        <f t="shared" si="5"/>
        <v>3</v>
      </c>
      <c r="Q25" s="1">
        <f t="shared" si="6"/>
        <v>21</v>
      </c>
      <c r="S25"/>
      <c r="T25"/>
    </row>
    <row r="26" spans="1:1122" s="1" customFormat="1" x14ac:dyDescent="0.25">
      <c r="A26" s="1">
        <v>26</v>
      </c>
      <c r="B26" s="1" t="s">
        <v>91</v>
      </c>
      <c r="C26" s="1" t="s">
        <v>111</v>
      </c>
      <c r="D26" s="2">
        <v>42074.9378125</v>
      </c>
      <c r="E26" s="2">
        <v>42074.937881944446</v>
      </c>
      <c r="F26" s="1">
        <v>1</v>
      </c>
      <c r="G26" s="1">
        <v>0</v>
      </c>
      <c r="H26" s="1">
        <v>8</v>
      </c>
      <c r="I26" s="1">
        <v>4</v>
      </c>
      <c r="J26" s="1">
        <v>1</v>
      </c>
      <c r="K26" s="1">
        <v>4</v>
      </c>
      <c r="L26" s="4">
        <v>28.8</v>
      </c>
      <c r="M26" s="3" t="str">
        <f t="shared" si="0"/>
        <v>Mar</v>
      </c>
      <c r="N26" s="2">
        <v>42074.937824074077</v>
      </c>
      <c r="O26" s="1">
        <f t="shared" si="4"/>
        <v>11</v>
      </c>
      <c r="P26" s="1">
        <f t="shared" si="5"/>
        <v>4</v>
      </c>
      <c r="Q26" s="1">
        <f t="shared" si="6"/>
        <v>22</v>
      </c>
      <c r="S26"/>
      <c r="T26"/>
    </row>
    <row r="27" spans="1:1122" s="1" customFormat="1" x14ac:dyDescent="0.25">
      <c r="A27" s="1">
        <v>27</v>
      </c>
      <c r="B27" s="1" t="s">
        <v>112</v>
      </c>
      <c r="C27" s="1" t="s">
        <v>113</v>
      </c>
      <c r="D27" s="2">
        <v>42186.657858796294</v>
      </c>
      <c r="E27" s="2">
        <v>42198.702673611115</v>
      </c>
      <c r="F27" s="1">
        <v>19</v>
      </c>
      <c r="G27" s="1">
        <v>10</v>
      </c>
      <c r="H27" s="1">
        <v>13</v>
      </c>
      <c r="I27" s="1">
        <v>14</v>
      </c>
      <c r="J27" s="1">
        <v>1</v>
      </c>
      <c r="K27" s="1">
        <v>5</v>
      </c>
      <c r="L27" s="3">
        <v>36</v>
      </c>
      <c r="M27" s="3" t="str">
        <f t="shared" si="0"/>
        <v>Jul</v>
      </c>
      <c r="N27" s="2">
        <v>42196.028981481482</v>
      </c>
      <c r="O27" s="1">
        <f t="shared" si="4"/>
        <v>11</v>
      </c>
      <c r="P27" s="1">
        <f t="shared" si="5"/>
        <v>7</v>
      </c>
      <c r="Q27" s="1">
        <f t="shared" si="6"/>
        <v>0</v>
      </c>
      <c r="S27"/>
      <c r="T27"/>
    </row>
    <row r="28" spans="1:1122" s="1" customFormat="1" x14ac:dyDescent="0.25">
      <c r="A28" s="1">
        <v>28</v>
      </c>
      <c r="B28" s="1" t="s">
        <v>100</v>
      </c>
      <c r="C28" s="1" t="s">
        <v>114</v>
      </c>
      <c r="D28" s="2">
        <v>42266.897303240738</v>
      </c>
      <c r="E28" s="2">
        <v>42266.897361111114</v>
      </c>
      <c r="F28" s="1">
        <v>1</v>
      </c>
      <c r="G28" s="1">
        <v>4</v>
      </c>
      <c r="H28" s="1">
        <v>2</v>
      </c>
      <c r="I28" s="1">
        <v>3</v>
      </c>
      <c r="J28" s="1">
        <v>1</v>
      </c>
      <c r="K28" s="1">
        <v>1</v>
      </c>
      <c r="L28" s="3">
        <v>8.8000000000000007</v>
      </c>
      <c r="M28" s="3" t="str">
        <f t="shared" si="0"/>
        <v>Sep</v>
      </c>
      <c r="N28" s="2">
        <v>42266.897303240738</v>
      </c>
      <c r="O28" s="1">
        <f t="shared" si="4"/>
        <v>19</v>
      </c>
      <c r="P28" s="1">
        <f t="shared" si="5"/>
        <v>7</v>
      </c>
      <c r="Q28" s="1">
        <f t="shared" si="6"/>
        <v>21</v>
      </c>
      <c r="S28"/>
      <c r="T28"/>
    </row>
    <row r="29" spans="1:1122" s="1" customFormat="1" x14ac:dyDescent="0.25">
      <c r="A29" s="1">
        <v>29</v>
      </c>
      <c r="B29" s="1" t="s">
        <v>85</v>
      </c>
      <c r="C29" s="1" t="s">
        <v>115</v>
      </c>
      <c r="D29" s="2">
        <v>42147.573263888888</v>
      </c>
      <c r="E29" s="2">
        <v>42147.747025462966</v>
      </c>
      <c r="F29" s="1">
        <v>3</v>
      </c>
      <c r="G29" s="1">
        <v>2</v>
      </c>
      <c r="H29" s="1">
        <v>2</v>
      </c>
      <c r="I29" s="1">
        <v>4</v>
      </c>
      <c r="J29" s="1">
        <v>1</v>
      </c>
      <c r="K29" s="1">
        <v>2</v>
      </c>
      <c r="L29" s="3">
        <v>115.2</v>
      </c>
      <c r="M29" s="3" t="str">
        <f t="shared" si="0"/>
        <v>May</v>
      </c>
      <c r="N29" s="2">
        <v>42147.408055555556</v>
      </c>
      <c r="O29" s="1">
        <f t="shared" si="4"/>
        <v>23</v>
      </c>
      <c r="P29" s="1">
        <f t="shared" si="5"/>
        <v>7</v>
      </c>
      <c r="Q29" s="1">
        <f t="shared" si="6"/>
        <v>9</v>
      </c>
      <c r="S29"/>
      <c r="T29"/>
      <c r="U29"/>
    </row>
    <row r="30" spans="1:1122" s="1" customFormat="1" x14ac:dyDescent="0.25">
      <c r="A30" s="1">
        <v>30</v>
      </c>
      <c r="B30" s="1" t="s">
        <v>116</v>
      </c>
      <c r="C30" s="1" t="s">
        <v>117</v>
      </c>
      <c r="D30" s="2">
        <v>42017.512800925928</v>
      </c>
      <c r="E30" s="2">
        <v>42071.703634259262</v>
      </c>
      <c r="F30" s="1">
        <v>2</v>
      </c>
      <c r="G30" s="1">
        <v>0</v>
      </c>
      <c r="H30" s="1">
        <v>17</v>
      </c>
      <c r="I30" s="1">
        <v>8</v>
      </c>
      <c r="J30" s="1">
        <v>2</v>
      </c>
      <c r="K30" s="1">
        <v>13</v>
      </c>
      <c r="L30" s="4">
        <v>27</v>
      </c>
      <c r="M30" s="3" t="str">
        <f t="shared" si="0"/>
        <v>Jan</v>
      </c>
      <c r="N30" s="2">
        <v>42017.512812499997</v>
      </c>
      <c r="O30" s="1">
        <f t="shared" si="4"/>
        <v>13</v>
      </c>
      <c r="P30" s="1">
        <f t="shared" si="5"/>
        <v>3</v>
      </c>
      <c r="Q30" s="1">
        <f t="shared" si="6"/>
        <v>12</v>
      </c>
      <c r="S30"/>
      <c r="T30"/>
      <c r="U30"/>
    </row>
    <row r="31" spans="1:1122" s="1" customFormat="1" x14ac:dyDescent="0.25">
      <c r="A31" s="1">
        <v>32</v>
      </c>
      <c r="B31" s="1" t="s">
        <v>85</v>
      </c>
      <c r="C31" s="1" t="s">
        <v>118</v>
      </c>
      <c r="D31" s="2">
        <v>42055.855740740742</v>
      </c>
      <c r="E31" s="2">
        <v>42055.855798611112</v>
      </c>
      <c r="F31" s="1">
        <v>1</v>
      </c>
      <c r="G31" s="1">
        <v>0</v>
      </c>
      <c r="H31" s="1">
        <v>4</v>
      </c>
      <c r="I31" s="1">
        <v>1</v>
      </c>
      <c r="J31" s="1">
        <v>1</v>
      </c>
      <c r="K31" s="1">
        <v>2</v>
      </c>
      <c r="L31" s="4">
        <v>36</v>
      </c>
      <c r="M31" s="3" t="str">
        <f t="shared" si="0"/>
        <v>Feb</v>
      </c>
      <c r="N31" s="2">
        <v>42055.855752314812</v>
      </c>
      <c r="O31" s="1">
        <f t="shared" ref="O31:O73" si="7">DAY(N31)</f>
        <v>20</v>
      </c>
      <c r="P31" s="1">
        <f t="shared" ref="P31:P73" si="8">WEEKDAY(N31,1)</f>
        <v>6</v>
      </c>
      <c r="Q31" s="1">
        <f t="shared" ref="Q31:Q73" si="9">HOUR(N31)</f>
        <v>20</v>
      </c>
      <c r="S31"/>
      <c r="T31"/>
      <c r="U31"/>
    </row>
    <row r="32" spans="1:1122" s="1" customFormat="1" x14ac:dyDescent="0.25">
      <c r="A32" s="1">
        <v>33</v>
      </c>
      <c r="B32" s="1" t="s">
        <v>119</v>
      </c>
      <c r="C32" s="1" t="s">
        <v>120</v>
      </c>
      <c r="D32" s="2">
        <v>42196.751481481479</v>
      </c>
      <c r="E32" s="2">
        <v>42196.751527777778</v>
      </c>
      <c r="F32" s="1">
        <v>1</v>
      </c>
      <c r="G32" s="1">
        <v>8</v>
      </c>
      <c r="H32" s="1">
        <v>8</v>
      </c>
      <c r="I32" s="1">
        <v>2</v>
      </c>
      <c r="J32" s="1">
        <v>1</v>
      </c>
      <c r="K32" s="1">
        <v>4</v>
      </c>
      <c r="L32" s="3">
        <v>28.8</v>
      </c>
      <c r="M32" s="3" t="str">
        <f t="shared" si="0"/>
        <v>Jul</v>
      </c>
      <c r="N32" s="2">
        <v>42196.751481481479</v>
      </c>
      <c r="O32" s="1">
        <f t="shared" si="7"/>
        <v>11</v>
      </c>
      <c r="P32" s="1">
        <f t="shared" si="8"/>
        <v>7</v>
      </c>
      <c r="Q32" s="1">
        <f t="shared" si="9"/>
        <v>18</v>
      </c>
      <c r="S32"/>
      <c r="T32"/>
      <c r="U32"/>
    </row>
    <row r="33" spans="1:21" s="1" customFormat="1" x14ac:dyDescent="0.25">
      <c r="A33" s="1">
        <v>34</v>
      </c>
      <c r="B33" s="1" t="s">
        <v>91</v>
      </c>
      <c r="C33" s="1" t="s">
        <v>121</v>
      </c>
      <c r="D33" s="2">
        <v>42099.295810185184</v>
      </c>
      <c r="E33" s="2">
        <v>42099.295868055553</v>
      </c>
      <c r="F33" s="1">
        <v>1</v>
      </c>
      <c r="G33" s="1">
        <v>0</v>
      </c>
      <c r="H33" s="1">
        <v>8</v>
      </c>
      <c r="I33" s="1">
        <v>1</v>
      </c>
      <c r="J33" s="1">
        <v>1</v>
      </c>
      <c r="K33" s="1">
        <v>4</v>
      </c>
      <c r="L33" s="4">
        <v>36</v>
      </c>
      <c r="M33" s="3" t="str">
        <f t="shared" si="0"/>
        <v>Apr</v>
      </c>
      <c r="N33" s="2">
        <v>42099.29582175926</v>
      </c>
      <c r="O33" s="1">
        <f t="shared" si="7"/>
        <v>5</v>
      </c>
      <c r="P33" s="1">
        <f t="shared" si="8"/>
        <v>1</v>
      </c>
      <c r="Q33" s="1">
        <f t="shared" si="9"/>
        <v>7</v>
      </c>
      <c r="S33"/>
      <c r="T33"/>
      <c r="U33"/>
    </row>
    <row r="34" spans="1:21" s="1" customFormat="1" x14ac:dyDescent="0.25">
      <c r="A34" s="1">
        <v>35</v>
      </c>
      <c r="B34" s="1" t="s">
        <v>78</v>
      </c>
      <c r="C34" s="1" t="s">
        <v>122</v>
      </c>
      <c r="D34" s="2">
        <v>42044.826157407406</v>
      </c>
      <c r="E34" s="2">
        <v>42044.826226851852</v>
      </c>
      <c r="F34" s="1">
        <v>1</v>
      </c>
      <c r="G34" s="1">
        <v>0</v>
      </c>
      <c r="H34" s="1">
        <v>2</v>
      </c>
      <c r="I34" s="1">
        <v>1</v>
      </c>
      <c r="J34" s="1">
        <v>1</v>
      </c>
      <c r="K34" s="1">
        <v>1</v>
      </c>
      <c r="L34" s="4">
        <v>36</v>
      </c>
      <c r="M34" s="3" t="str">
        <f t="shared" si="0"/>
        <v>Feb</v>
      </c>
      <c r="N34" s="2">
        <v>42044.826180555552</v>
      </c>
      <c r="O34" s="1">
        <f t="shared" si="7"/>
        <v>9</v>
      </c>
      <c r="P34" s="1">
        <f t="shared" si="8"/>
        <v>2</v>
      </c>
      <c r="Q34" s="1">
        <f t="shared" si="9"/>
        <v>19</v>
      </c>
      <c r="S34"/>
      <c r="T34"/>
      <c r="U34"/>
    </row>
    <row r="35" spans="1:21" s="1" customFormat="1" x14ac:dyDescent="0.25">
      <c r="A35" s="1">
        <v>36</v>
      </c>
      <c r="B35" s="1" t="s">
        <v>123</v>
      </c>
      <c r="C35" s="1" t="s">
        <v>124</v>
      </c>
      <c r="D35" s="2">
        <v>42177.699155092596</v>
      </c>
      <c r="E35" s="2">
        <v>42177.532546296294</v>
      </c>
      <c r="F35" s="1">
        <v>1</v>
      </c>
      <c r="G35" s="1">
        <v>4</v>
      </c>
      <c r="H35" s="1">
        <v>4</v>
      </c>
      <c r="I35" s="1">
        <v>2</v>
      </c>
      <c r="J35" s="1">
        <v>1</v>
      </c>
      <c r="K35" s="1">
        <v>1</v>
      </c>
      <c r="L35" s="3">
        <v>28.8</v>
      </c>
      <c r="M35" s="3" t="str">
        <f t="shared" si="0"/>
        <v>Jun</v>
      </c>
      <c r="N35" s="2">
        <v>42177.532511574071</v>
      </c>
      <c r="O35" s="1">
        <f t="shared" si="7"/>
        <v>22</v>
      </c>
      <c r="P35" s="1">
        <f t="shared" si="8"/>
        <v>2</v>
      </c>
      <c r="Q35" s="1">
        <f t="shared" si="9"/>
        <v>12</v>
      </c>
      <c r="S35"/>
      <c r="T35"/>
      <c r="U35"/>
    </row>
    <row r="36" spans="1:21" s="1" customFormat="1" x14ac:dyDescent="0.25">
      <c r="A36" s="1">
        <v>37</v>
      </c>
      <c r="B36" s="1" t="s">
        <v>119</v>
      </c>
      <c r="C36" s="1" t="s">
        <v>125</v>
      </c>
      <c r="D36" s="2">
        <v>42023.544421296298</v>
      </c>
      <c r="E36" s="2">
        <v>42023.544502314813</v>
      </c>
      <c r="F36" s="1">
        <v>1</v>
      </c>
      <c r="G36" s="1">
        <v>3</v>
      </c>
      <c r="H36" s="1">
        <v>1</v>
      </c>
      <c r="I36" s="1">
        <v>1</v>
      </c>
      <c r="J36" s="1">
        <v>1</v>
      </c>
      <c r="K36" s="1">
        <v>1</v>
      </c>
      <c r="L36" s="4">
        <v>27</v>
      </c>
      <c r="M36" s="3" t="str">
        <f t="shared" si="0"/>
        <v>Jan</v>
      </c>
      <c r="N36" s="2">
        <v>42023.549884259257</v>
      </c>
      <c r="O36" s="1">
        <f t="shared" si="7"/>
        <v>19</v>
      </c>
      <c r="P36" s="1">
        <f t="shared" si="8"/>
        <v>2</v>
      </c>
      <c r="Q36" s="1">
        <f t="shared" si="9"/>
        <v>13</v>
      </c>
      <c r="S36"/>
      <c r="T36"/>
      <c r="U36"/>
    </row>
    <row r="37" spans="1:21" s="1" customFormat="1" x14ac:dyDescent="0.25">
      <c r="A37" s="1">
        <v>38</v>
      </c>
      <c r="B37" s="1" t="s">
        <v>96</v>
      </c>
      <c r="C37" s="1" t="s">
        <v>126</v>
      </c>
      <c r="D37" s="2">
        <v>42264.009837962964</v>
      </c>
      <c r="E37" s="2">
        <v>42263.843229166669</v>
      </c>
      <c r="F37" s="1">
        <v>1</v>
      </c>
      <c r="G37" s="1">
        <v>2</v>
      </c>
      <c r="H37" s="1">
        <v>2</v>
      </c>
      <c r="I37" s="1">
        <v>2</v>
      </c>
      <c r="J37" s="1">
        <v>1</v>
      </c>
      <c r="K37" s="1">
        <v>2</v>
      </c>
      <c r="L37" s="3">
        <v>20</v>
      </c>
      <c r="M37" s="3" t="str">
        <f t="shared" si="0"/>
        <v>Sep</v>
      </c>
      <c r="N37" s="2">
        <v>42263.843182870369</v>
      </c>
      <c r="O37" s="1">
        <f t="shared" si="7"/>
        <v>16</v>
      </c>
      <c r="P37" s="1">
        <f t="shared" si="8"/>
        <v>4</v>
      </c>
      <c r="Q37" s="1">
        <f t="shared" si="9"/>
        <v>20</v>
      </c>
      <c r="S37"/>
      <c r="T37"/>
      <c r="U37"/>
    </row>
    <row r="38" spans="1:21" s="1" customFormat="1" x14ac:dyDescent="0.25">
      <c r="A38" s="1">
        <v>39</v>
      </c>
      <c r="B38" s="1" t="s">
        <v>85</v>
      </c>
      <c r="C38" s="1" t="s">
        <v>127</v>
      </c>
      <c r="D38" s="2">
        <v>42014.460393518515</v>
      </c>
      <c r="E38" s="2">
        <v>42014.460451388892</v>
      </c>
      <c r="F38" s="1">
        <v>1</v>
      </c>
      <c r="G38" s="1">
        <v>0</v>
      </c>
      <c r="H38" s="1">
        <v>4</v>
      </c>
      <c r="I38" s="1">
        <v>3</v>
      </c>
      <c r="J38" s="1">
        <v>1</v>
      </c>
      <c r="K38" s="1">
        <v>2</v>
      </c>
      <c r="L38" s="4">
        <v>9</v>
      </c>
      <c r="M38" s="3" t="str">
        <f t="shared" si="0"/>
        <v>Jan</v>
      </c>
      <c r="N38" s="2">
        <v>42014.460416666669</v>
      </c>
      <c r="O38" s="1">
        <f t="shared" si="7"/>
        <v>10</v>
      </c>
      <c r="P38" s="1">
        <f t="shared" si="8"/>
        <v>7</v>
      </c>
      <c r="Q38" s="1">
        <f t="shared" si="9"/>
        <v>11</v>
      </c>
      <c r="S38"/>
      <c r="T38"/>
      <c r="U38"/>
    </row>
    <row r="39" spans="1:21" s="1" customFormat="1" x14ac:dyDescent="0.25">
      <c r="A39" s="1">
        <v>40</v>
      </c>
      <c r="B39" s="1" t="s">
        <v>100</v>
      </c>
      <c r="C39" s="1" t="s">
        <v>128</v>
      </c>
      <c r="D39" s="2">
        <v>41999.44390046296</v>
      </c>
      <c r="E39" s="2">
        <v>42007.534421296295</v>
      </c>
      <c r="F39" s="1">
        <v>2</v>
      </c>
      <c r="G39" s="1">
        <v>1</v>
      </c>
      <c r="H39" s="1">
        <v>3</v>
      </c>
      <c r="I39" s="1">
        <v>2</v>
      </c>
      <c r="J39" s="1">
        <v>1</v>
      </c>
      <c r="K39" s="1">
        <v>3</v>
      </c>
      <c r="L39" s="4">
        <v>27</v>
      </c>
      <c r="M39" s="3" t="str">
        <f t="shared" si="0"/>
        <v>Jan</v>
      </c>
      <c r="N39" s="2">
        <v>42007.541041666664</v>
      </c>
      <c r="O39" s="1">
        <f t="shared" si="7"/>
        <v>3</v>
      </c>
      <c r="P39" s="1">
        <f t="shared" si="8"/>
        <v>7</v>
      </c>
      <c r="Q39" s="1">
        <f t="shared" si="9"/>
        <v>12</v>
      </c>
      <c r="S39"/>
      <c r="T39"/>
      <c r="U39"/>
    </row>
    <row r="40" spans="1:21" s="1" customFormat="1" x14ac:dyDescent="0.25">
      <c r="A40" s="1">
        <v>41</v>
      </c>
      <c r="D40" s="2">
        <v>42229.782789351855</v>
      </c>
      <c r="E40" s="2">
        <v>42229.61613425926</v>
      </c>
      <c r="F40" s="1">
        <v>1</v>
      </c>
      <c r="G40" s="1">
        <v>4</v>
      </c>
      <c r="H40" s="1">
        <v>8</v>
      </c>
      <c r="I40" s="1">
        <v>7</v>
      </c>
      <c r="J40" s="1">
        <v>1</v>
      </c>
      <c r="K40" s="1">
        <v>4</v>
      </c>
      <c r="L40" s="3">
        <v>32.799999999999997</v>
      </c>
      <c r="M40" s="3" t="str">
        <f t="shared" si="0"/>
        <v>Aug</v>
      </c>
      <c r="N40" s="2">
        <v>42229.617430555554</v>
      </c>
      <c r="O40" s="1">
        <f t="shared" si="7"/>
        <v>13</v>
      </c>
      <c r="P40" s="1">
        <f t="shared" si="8"/>
        <v>5</v>
      </c>
      <c r="Q40" s="1">
        <f t="shared" si="9"/>
        <v>14</v>
      </c>
      <c r="S40"/>
      <c r="T40"/>
      <c r="U40"/>
    </row>
    <row r="41" spans="1:21" s="1" customFormat="1" x14ac:dyDescent="0.25">
      <c r="A41" s="1">
        <v>42</v>
      </c>
      <c r="B41" s="1" t="s">
        <v>123</v>
      </c>
      <c r="C41" s="1" t="s">
        <v>129</v>
      </c>
      <c r="D41" s="2">
        <v>42073.57471064815</v>
      </c>
      <c r="E41" s="2">
        <v>42073.57476851852</v>
      </c>
      <c r="F41" s="1">
        <v>1</v>
      </c>
      <c r="G41" s="1">
        <v>0</v>
      </c>
      <c r="H41" s="1">
        <v>10</v>
      </c>
      <c r="I41" s="1">
        <v>1</v>
      </c>
      <c r="J41" s="1">
        <v>1</v>
      </c>
      <c r="K41" s="1">
        <v>4</v>
      </c>
      <c r="L41" s="4">
        <v>28.8</v>
      </c>
      <c r="M41" s="3" t="str">
        <f t="shared" si="0"/>
        <v>Mar</v>
      </c>
      <c r="N41" s="2">
        <v>42073.57472222222</v>
      </c>
      <c r="O41" s="1">
        <f t="shared" si="7"/>
        <v>10</v>
      </c>
      <c r="P41" s="1">
        <f t="shared" si="8"/>
        <v>3</v>
      </c>
      <c r="Q41" s="1">
        <f t="shared" si="9"/>
        <v>13</v>
      </c>
      <c r="S41"/>
      <c r="T41"/>
      <c r="U41"/>
    </row>
    <row r="42" spans="1:21" s="1" customFormat="1" x14ac:dyDescent="0.25">
      <c r="A42" s="1">
        <v>43</v>
      </c>
      <c r="B42" s="1" t="s">
        <v>119</v>
      </c>
      <c r="C42" s="1" t="s">
        <v>130</v>
      </c>
      <c r="D42" s="2">
        <v>42146.58792824074</v>
      </c>
      <c r="E42" s="2">
        <v>42149.976446759261</v>
      </c>
      <c r="F42" s="1">
        <v>2</v>
      </c>
      <c r="G42" s="1">
        <v>0</v>
      </c>
      <c r="H42" s="1">
        <v>1</v>
      </c>
      <c r="I42" s="1">
        <v>2</v>
      </c>
      <c r="J42" s="1">
        <v>1</v>
      </c>
      <c r="K42" s="1">
        <v>1</v>
      </c>
      <c r="L42" s="3">
        <v>28.8</v>
      </c>
      <c r="M42" s="3" t="str">
        <f t="shared" si="0"/>
        <v>May</v>
      </c>
      <c r="N42" s="2">
        <v>42146.423738425925</v>
      </c>
      <c r="O42" s="1">
        <f t="shared" si="7"/>
        <v>22</v>
      </c>
      <c r="P42" s="1">
        <f t="shared" si="8"/>
        <v>6</v>
      </c>
      <c r="Q42" s="1">
        <f t="shared" si="9"/>
        <v>10</v>
      </c>
      <c r="S42"/>
      <c r="T42"/>
      <c r="U42"/>
    </row>
    <row r="43" spans="1:21" s="1" customFormat="1" x14ac:dyDescent="0.25">
      <c r="A43" s="1">
        <v>44</v>
      </c>
      <c r="B43" s="1" t="s">
        <v>131</v>
      </c>
      <c r="C43" s="1" t="s">
        <v>132</v>
      </c>
      <c r="D43" s="2">
        <v>42028.387696759259</v>
      </c>
      <c r="E43" s="2">
        <v>42028.387777777774</v>
      </c>
      <c r="F43" s="1">
        <v>1</v>
      </c>
      <c r="G43" s="1">
        <v>0</v>
      </c>
      <c r="H43" s="1">
        <v>4</v>
      </c>
      <c r="I43" s="1">
        <v>2</v>
      </c>
      <c r="J43" s="1">
        <v>1</v>
      </c>
      <c r="K43" s="1">
        <v>2</v>
      </c>
      <c r="L43" s="4">
        <v>9</v>
      </c>
      <c r="M43" s="3" t="str">
        <f t="shared" si="0"/>
        <v>Jan</v>
      </c>
      <c r="N43" s="2">
        <v>42028.387731481482</v>
      </c>
      <c r="O43" s="1">
        <f t="shared" si="7"/>
        <v>24</v>
      </c>
      <c r="P43" s="1">
        <f t="shared" si="8"/>
        <v>7</v>
      </c>
      <c r="Q43" s="1">
        <f t="shared" si="9"/>
        <v>9</v>
      </c>
      <c r="S43"/>
      <c r="T43"/>
    </row>
    <row r="44" spans="1:21" s="1" customFormat="1" x14ac:dyDescent="0.25">
      <c r="A44" s="1">
        <v>45</v>
      </c>
      <c r="B44" s="1" t="s">
        <v>96</v>
      </c>
      <c r="C44" s="1" t="s">
        <v>133</v>
      </c>
      <c r="D44" s="2">
        <v>42188.782592592594</v>
      </c>
      <c r="E44" s="2">
        <v>42196.616030092591</v>
      </c>
      <c r="F44" s="1">
        <v>3</v>
      </c>
      <c r="G44" s="1">
        <v>9</v>
      </c>
      <c r="H44" s="1">
        <v>24</v>
      </c>
      <c r="I44" s="1">
        <v>9</v>
      </c>
      <c r="J44" s="1">
        <v>1</v>
      </c>
      <c r="K44" s="1">
        <v>6</v>
      </c>
      <c r="L44" s="3">
        <v>48</v>
      </c>
      <c r="M44" s="3" t="str">
        <f t="shared" si="0"/>
        <v>Jul</v>
      </c>
      <c r="N44" s="2">
        <v>42196.619270833333</v>
      </c>
      <c r="O44" s="1">
        <f t="shared" si="7"/>
        <v>11</v>
      </c>
      <c r="P44" s="1">
        <f t="shared" si="8"/>
        <v>7</v>
      </c>
      <c r="Q44" s="1">
        <f t="shared" si="9"/>
        <v>14</v>
      </c>
      <c r="S44"/>
      <c r="T44"/>
    </row>
    <row r="45" spans="1:21" s="1" customFormat="1" x14ac:dyDescent="0.25">
      <c r="A45" s="1">
        <v>46</v>
      </c>
      <c r="B45" s="1" t="s">
        <v>134</v>
      </c>
      <c r="C45" s="1" t="s">
        <v>135</v>
      </c>
      <c r="D45" s="2">
        <v>42191.837812500002</v>
      </c>
      <c r="E45" s="2">
        <v>42191.837870370371</v>
      </c>
      <c r="F45" s="1">
        <v>1</v>
      </c>
      <c r="G45" s="1">
        <v>8</v>
      </c>
      <c r="H45" s="1">
        <v>12</v>
      </c>
      <c r="I45" s="1">
        <v>2</v>
      </c>
      <c r="J45" s="1">
        <v>1</v>
      </c>
      <c r="K45" s="1">
        <v>6</v>
      </c>
      <c r="L45" s="3">
        <v>86.4</v>
      </c>
      <c r="M45" s="3" t="str">
        <f t="shared" si="0"/>
        <v>Jul</v>
      </c>
      <c r="N45" s="2">
        <v>42191.837812500002</v>
      </c>
      <c r="O45" s="1">
        <f t="shared" si="7"/>
        <v>6</v>
      </c>
      <c r="P45" s="1">
        <f t="shared" si="8"/>
        <v>2</v>
      </c>
      <c r="Q45" s="1">
        <f t="shared" si="9"/>
        <v>20</v>
      </c>
      <c r="S45"/>
      <c r="T45"/>
    </row>
    <row r="46" spans="1:21" s="1" customFormat="1" x14ac:dyDescent="0.25">
      <c r="A46" s="1">
        <v>47</v>
      </c>
      <c r="B46" s="1" t="s">
        <v>100</v>
      </c>
      <c r="C46" s="1" t="s">
        <v>136</v>
      </c>
      <c r="D46" s="2">
        <v>42026.779062499998</v>
      </c>
      <c r="E46" s="2">
        <v>42026.779143518521</v>
      </c>
      <c r="F46" s="1">
        <v>1</v>
      </c>
      <c r="G46" s="1">
        <v>0</v>
      </c>
      <c r="H46" s="1">
        <v>2</v>
      </c>
      <c r="I46" s="1">
        <v>3</v>
      </c>
      <c r="J46" s="1">
        <v>1</v>
      </c>
      <c r="K46" s="1">
        <v>1</v>
      </c>
      <c r="L46" s="4">
        <v>28.8</v>
      </c>
      <c r="M46" s="3" t="str">
        <f t="shared" si="0"/>
        <v>Jan</v>
      </c>
      <c r="N46" s="2">
        <v>42026.779085648152</v>
      </c>
      <c r="O46" s="1">
        <f t="shared" si="7"/>
        <v>22</v>
      </c>
      <c r="P46" s="1">
        <f t="shared" si="8"/>
        <v>5</v>
      </c>
      <c r="Q46" s="1">
        <f t="shared" si="9"/>
        <v>18</v>
      </c>
      <c r="S46"/>
      <c r="T46"/>
    </row>
    <row r="47" spans="1:21" s="1" customFormat="1" x14ac:dyDescent="0.25">
      <c r="A47" s="1">
        <v>48</v>
      </c>
      <c r="B47" s="1" t="s">
        <v>137</v>
      </c>
      <c r="C47" s="1" t="s">
        <v>138</v>
      </c>
      <c r="D47" s="2">
        <v>42158.341597222221</v>
      </c>
      <c r="E47" s="2">
        <v>42158.341643518521</v>
      </c>
      <c r="F47" s="1">
        <v>1</v>
      </c>
      <c r="G47" s="1">
        <v>0</v>
      </c>
      <c r="H47" s="1">
        <v>4</v>
      </c>
      <c r="I47" s="1">
        <v>3</v>
      </c>
      <c r="J47" s="1">
        <v>1</v>
      </c>
      <c r="K47" s="1">
        <v>4</v>
      </c>
      <c r="L47" s="3">
        <v>36</v>
      </c>
      <c r="M47" s="3" t="str">
        <f t="shared" si="0"/>
        <v>Jun</v>
      </c>
      <c r="N47" s="2">
        <v>42158.341608796298</v>
      </c>
      <c r="O47" s="1">
        <f t="shared" si="7"/>
        <v>3</v>
      </c>
      <c r="P47" s="1">
        <f t="shared" si="8"/>
        <v>4</v>
      </c>
      <c r="Q47" s="1">
        <f t="shared" si="9"/>
        <v>8</v>
      </c>
      <c r="S47"/>
      <c r="T47"/>
    </row>
    <row r="48" spans="1:21" s="1" customFormat="1" x14ac:dyDescent="0.25">
      <c r="A48" s="1">
        <v>49</v>
      </c>
      <c r="B48" s="1" t="s">
        <v>91</v>
      </c>
      <c r="C48" s="1" t="s">
        <v>139</v>
      </c>
      <c r="D48" s="2">
        <v>42197.589641203704</v>
      </c>
      <c r="E48" s="2">
        <v>42197.589687500003</v>
      </c>
      <c r="F48" s="1">
        <v>1</v>
      </c>
      <c r="G48" s="1">
        <v>4</v>
      </c>
      <c r="H48" s="1">
        <v>6</v>
      </c>
      <c r="I48" s="1">
        <v>4</v>
      </c>
      <c r="J48" s="1">
        <v>1</v>
      </c>
      <c r="K48" s="1">
        <v>2</v>
      </c>
      <c r="L48" s="3">
        <v>36</v>
      </c>
      <c r="M48" s="3" t="str">
        <f t="shared" si="0"/>
        <v>Jul</v>
      </c>
      <c r="N48" s="2">
        <v>42197.589641203704</v>
      </c>
      <c r="O48" s="1">
        <f t="shared" si="7"/>
        <v>12</v>
      </c>
      <c r="P48" s="1">
        <f t="shared" si="8"/>
        <v>1</v>
      </c>
      <c r="Q48" s="1">
        <f t="shared" si="9"/>
        <v>14</v>
      </c>
      <c r="S48"/>
      <c r="T48"/>
    </row>
    <row r="49" spans="1:25" s="1" customFormat="1" x14ac:dyDescent="0.25">
      <c r="A49" s="1">
        <v>50</v>
      </c>
      <c r="B49" s="1" t="s">
        <v>109</v>
      </c>
      <c r="C49" s="1" t="s">
        <v>140</v>
      </c>
      <c r="D49" s="2">
        <v>42188.313738425924</v>
      </c>
      <c r="E49" s="2">
        <v>42188.147118055553</v>
      </c>
      <c r="F49" s="1">
        <v>1</v>
      </c>
      <c r="G49" s="1">
        <v>2</v>
      </c>
      <c r="H49" s="1">
        <v>4</v>
      </c>
      <c r="I49" s="1">
        <v>2</v>
      </c>
      <c r="J49" s="1">
        <v>1</v>
      </c>
      <c r="K49" s="1">
        <v>2</v>
      </c>
      <c r="L49" s="3">
        <v>18</v>
      </c>
      <c r="M49" s="3" t="str">
        <f t="shared" si="0"/>
        <v>Jul</v>
      </c>
      <c r="N49" s="2">
        <v>42188.14707175926</v>
      </c>
      <c r="O49" s="1">
        <f t="shared" si="7"/>
        <v>3</v>
      </c>
      <c r="P49" s="1">
        <f t="shared" si="8"/>
        <v>6</v>
      </c>
      <c r="Q49" s="1">
        <f t="shared" si="9"/>
        <v>3</v>
      </c>
      <c r="S49"/>
      <c r="T49"/>
    </row>
    <row r="50" spans="1:25" s="1" customFormat="1" x14ac:dyDescent="0.25">
      <c r="A50" s="1">
        <v>51</v>
      </c>
      <c r="B50" s="1" t="s">
        <v>100</v>
      </c>
      <c r="C50" s="1" t="s">
        <v>141</v>
      </c>
      <c r="D50" s="2">
        <v>42098.67460648148</v>
      </c>
      <c r="E50" s="2">
        <v>42098.674641203703</v>
      </c>
      <c r="F50" s="1">
        <v>1</v>
      </c>
      <c r="G50" s="1">
        <v>0</v>
      </c>
      <c r="H50" s="1">
        <v>6</v>
      </c>
      <c r="I50" s="1">
        <v>4</v>
      </c>
      <c r="J50" s="1">
        <v>1</v>
      </c>
      <c r="K50" s="1">
        <v>1</v>
      </c>
      <c r="L50" s="4">
        <v>28.8</v>
      </c>
      <c r="M50" s="3" t="str">
        <f t="shared" si="0"/>
        <v>Apr</v>
      </c>
      <c r="N50" s="2">
        <v>42098.678229166668</v>
      </c>
      <c r="O50" s="1">
        <f t="shared" si="7"/>
        <v>4</v>
      </c>
      <c r="P50" s="1">
        <f t="shared" si="8"/>
        <v>7</v>
      </c>
      <c r="Q50" s="1">
        <f t="shared" si="9"/>
        <v>16</v>
      </c>
      <c r="S50"/>
      <c r="T50"/>
      <c r="U50"/>
    </row>
    <row r="51" spans="1:25" s="1" customFormat="1" x14ac:dyDescent="0.25">
      <c r="A51" s="1">
        <v>52</v>
      </c>
      <c r="B51" s="1" t="s">
        <v>134</v>
      </c>
      <c r="C51" s="1" t="s">
        <v>142</v>
      </c>
      <c r="D51" s="2">
        <v>42083.527141203704</v>
      </c>
      <c r="E51" s="2">
        <v>42083.527199074073</v>
      </c>
      <c r="F51" s="1">
        <v>1</v>
      </c>
      <c r="G51" s="1">
        <v>0</v>
      </c>
      <c r="H51" s="1">
        <v>10</v>
      </c>
      <c r="I51" s="1">
        <v>1</v>
      </c>
      <c r="J51" s="1">
        <v>1</v>
      </c>
      <c r="K51" s="1">
        <v>1</v>
      </c>
      <c r="L51" s="4">
        <v>57.6</v>
      </c>
      <c r="M51" s="3" t="str">
        <f t="shared" si="0"/>
        <v>Mar</v>
      </c>
      <c r="N51" s="2">
        <v>42083.52715277778</v>
      </c>
      <c r="O51" s="1">
        <f t="shared" si="7"/>
        <v>20</v>
      </c>
      <c r="P51" s="1">
        <f t="shared" si="8"/>
        <v>6</v>
      </c>
      <c r="Q51" s="1">
        <f t="shared" si="9"/>
        <v>12</v>
      </c>
      <c r="S51"/>
      <c r="T51"/>
      <c r="U51"/>
    </row>
    <row r="52" spans="1:25" s="1" customFormat="1" x14ac:dyDescent="0.25">
      <c r="A52" s="1">
        <v>53</v>
      </c>
      <c r="D52" s="2">
        <v>42053.07508101852</v>
      </c>
      <c r="E52" s="2">
        <v>42053.075115740743</v>
      </c>
      <c r="F52" s="1">
        <v>1</v>
      </c>
      <c r="G52" s="1">
        <v>2</v>
      </c>
      <c r="H52" s="1">
        <v>2</v>
      </c>
      <c r="I52" s="1">
        <v>4</v>
      </c>
      <c r="J52" s="1">
        <v>1</v>
      </c>
      <c r="K52" s="1">
        <v>1</v>
      </c>
      <c r="L52" s="4">
        <v>28.8</v>
      </c>
      <c r="M52" s="3" t="str">
        <f t="shared" si="0"/>
        <v>Feb</v>
      </c>
      <c r="N52" s="2">
        <v>42053.077800925923</v>
      </c>
      <c r="O52" s="1">
        <f t="shared" si="7"/>
        <v>18</v>
      </c>
      <c r="P52" s="1">
        <f t="shared" si="8"/>
        <v>4</v>
      </c>
      <c r="Q52" s="1">
        <f t="shared" si="9"/>
        <v>1</v>
      </c>
      <c r="S52"/>
      <c r="T52"/>
      <c r="U52"/>
    </row>
    <row r="53" spans="1:25" s="1" customFormat="1" x14ac:dyDescent="0.25">
      <c r="A53" s="1">
        <v>54</v>
      </c>
      <c r="D53" s="2">
        <v>42147.053229166668</v>
      </c>
      <c r="E53" s="2">
        <v>42146.886597222219</v>
      </c>
      <c r="F53" s="1">
        <v>1</v>
      </c>
      <c r="G53" s="1">
        <v>6</v>
      </c>
      <c r="H53" s="1">
        <v>16</v>
      </c>
      <c r="I53" s="1">
        <v>4</v>
      </c>
      <c r="J53" s="1">
        <v>1</v>
      </c>
      <c r="K53" s="1">
        <v>4</v>
      </c>
      <c r="L53" s="3">
        <v>28.8</v>
      </c>
      <c r="M53" s="3" t="str">
        <f t="shared" si="0"/>
        <v>May</v>
      </c>
      <c r="N53" s="2">
        <v>42146.888078703705</v>
      </c>
      <c r="O53" s="1">
        <f t="shared" si="7"/>
        <v>22</v>
      </c>
      <c r="P53" s="1">
        <f t="shared" si="8"/>
        <v>6</v>
      </c>
      <c r="Q53" s="1">
        <f t="shared" si="9"/>
        <v>21</v>
      </c>
      <c r="S53"/>
      <c r="T53"/>
      <c r="U53"/>
    </row>
    <row r="54" spans="1:25" s="1" customFormat="1" x14ac:dyDescent="0.25">
      <c r="A54" s="1">
        <v>55</v>
      </c>
      <c r="D54" s="2">
        <v>42067.162430555552</v>
      </c>
      <c r="E54" s="2">
        <v>42067.162453703706</v>
      </c>
      <c r="F54" s="1">
        <v>1</v>
      </c>
      <c r="G54" s="1">
        <v>10</v>
      </c>
      <c r="H54" s="1">
        <v>12</v>
      </c>
      <c r="I54" s="1">
        <v>4</v>
      </c>
      <c r="J54" s="1">
        <v>1</v>
      </c>
      <c r="K54" s="1">
        <v>1</v>
      </c>
      <c r="L54" s="4">
        <v>57.6</v>
      </c>
      <c r="M54" s="3" t="str">
        <f t="shared" si="0"/>
        <v>Mar</v>
      </c>
      <c r="N54" s="2">
        <v>42067.164189814815</v>
      </c>
      <c r="O54" s="1">
        <f t="shared" si="7"/>
        <v>4</v>
      </c>
      <c r="P54" s="1">
        <f t="shared" si="8"/>
        <v>4</v>
      </c>
      <c r="Q54" s="1">
        <f t="shared" si="9"/>
        <v>3</v>
      </c>
      <c r="S54"/>
      <c r="T54"/>
      <c r="U54"/>
    </row>
    <row r="55" spans="1:25" s="1" customFormat="1" x14ac:dyDescent="0.25">
      <c r="A55" s="1">
        <v>56</v>
      </c>
      <c r="B55" s="1" t="s">
        <v>107</v>
      </c>
      <c r="C55" s="1" t="s">
        <v>143</v>
      </c>
      <c r="D55" s="2">
        <v>42205.850266203706</v>
      </c>
      <c r="E55" s="2">
        <v>42206.443842592591</v>
      </c>
      <c r="F55" s="1">
        <v>5</v>
      </c>
      <c r="G55" s="1">
        <v>6</v>
      </c>
      <c r="H55" s="1">
        <v>8</v>
      </c>
      <c r="I55" s="1">
        <v>5</v>
      </c>
      <c r="J55" s="1">
        <v>1</v>
      </c>
      <c r="K55" s="1">
        <v>4</v>
      </c>
      <c r="L55" s="3">
        <v>35.200000000000003</v>
      </c>
      <c r="M55" s="3" t="str">
        <f t="shared" si="0"/>
        <v>Jul</v>
      </c>
      <c r="N55" s="2">
        <v>42206.49391203704</v>
      </c>
      <c r="O55" s="1">
        <f t="shared" si="7"/>
        <v>21</v>
      </c>
      <c r="P55" s="1">
        <f t="shared" si="8"/>
        <v>3</v>
      </c>
      <c r="Q55" s="1">
        <f t="shared" si="9"/>
        <v>11</v>
      </c>
      <c r="S55"/>
      <c r="T55"/>
      <c r="U55"/>
    </row>
    <row r="56" spans="1:25" s="1" customFormat="1" x14ac:dyDescent="0.25">
      <c r="A56" s="1">
        <v>57</v>
      </c>
      <c r="B56" s="1" t="s">
        <v>83</v>
      </c>
      <c r="C56" s="1" t="s">
        <v>144</v>
      </c>
      <c r="D56" s="2">
        <v>42058.918969907405</v>
      </c>
      <c r="E56" s="2">
        <v>42059.018796296295</v>
      </c>
      <c r="F56" s="1">
        <v>3</v>
      </c>
      <c r="G56" s="1">
        <v>0</v>
      </c>
      <c r="H56" s="1">
        <v>4</v>
      </c>
      <c r="I56" s="1">
        <v>1</v>
      </c>
      <c r="J56" s="1">
        <v>1</v>
      </c>
      <c r="K56" s="1">
        <v>2</v>
      </c>
      <c r="L56" s="4">
        <v>9</v>
      </c>
      <c r="M56" s="3" t="str">
        <f t="shared" si="0"/>
        <v>Feb</v>
      </c>
      <c r="N56" s="2">
        <v>42058.918981481482</v>
      </c>
      <c r="O56" s="1">
        <f t="shared" si="7"/>
        <v>23</v>
      </c>
      <c r="P56" s="1">
        <f t="shared" si="8"/>
        <v>2</v>
      </c>
      <c r="Q56" s="1">
        <f t="shared" si="9"/>
        <v>22</v>
      </c>
      <c r="S56"/>
      <c r="T56"/>
      <c r="U56"/>
    </row>
    <row r="57" spans="1:25" s="1" customFormat="1" x14ac:dyDescent="0.25">
      <c r="A57" s="1">
        <v>58</v>
      </c>
      <c r="B57" s="1" t="s">
        <v>87</v>
      </c>
      <c r="C57" s="1" t="s">
        <v>88</v>
      </c>
      <c r="D57" s="2">
        <v>42021.015613425923</v>
      </c>
      <c r="E57" s="2">
        <v>42021.840370370373</v>
      </c>
      <c r="F57" s="1">
        <v>2</v>
      </c>
      <c r="G57" s="1">
        <v>2</v>
      </c>
      <c r="H57" s="1">
        <v>9</v>
      </c>
      <c r="I57" s="1">
        <v>5</v>
      </c>
      <c r="J57" s="1">
        <v>2</v>
      </c>
      <c r="K57" s="1">
        <v>5</v>
      </c>
      <c r="L57" s="4">
        <v>18</v>
      </c>
      <c r="M57" s="3" t="str">
        <f t="shared" si="0"/>
        <v>Jan</v>
      </c>
      <c r="N57" s="2">
        <v>42021.015648148146</v>
      </c>
      <c r="O57" s="1">
        <f t="shared" si="7"/>
        <v>17</v>
      </c>
      <c r="P57" s="1">
        <f t="shared" si="8"/>
        <v>7</v>
      </c>
      <c r="Q57" s="1">
        <f t="shared" si="9"/>
        <v>0</v>
      </c>
      <c r="S57"/>
      <c r="T57"/>
      <c r="U57"/>
    </row>
    <row r="58" spans="1:25" s="1" customFormat="1" x14ac:dyDescent="0.25">
      <c r="A58" s="1">
        <v>59</v>
      </c>
      <c r="B58" s="1" t="s">
        <v>119</v>
      </c>
      <c r="C58" s="1" t="s">
        <v>145</v>
      </c>
      <c r="D58" s="2">
        <v>42169.99863425926</v>
      </c>
      <c r="E58" s="2">
        <v>42169.998680555553</v>
      </c>
      <c r="F58" s="1">
        <v>1</v>
      </c>
      <c r="G58" s="1">
        <v>6</v>
      </c>
      <c r="H58" s="1">
        <v>6</v>
      </c>
      <c r="I58" s="1">
        <v>3</v>
      </c>
      <c r="J58" s="1">
        <v>1</v>
      </c>
      <c r="K58" s="1">
        <v>1</v>
      </c>
      <c r="L58" s="3">
        <v>27</v>
      </c>
      <c r="M58" s="3" t="str">
        <f t="shared" si="0"/>
        <v>Jun</v>
      </c>
      <c r="N58" s="2">
        <v>42169.998645833337</v>
      </c>
      <c r="O58" s="1">
        <f t="shared" si="7"/>
        <v>14</v>
      </c>
      <c r="P58" s="1">
        <f t="shared" si="8"/>
        <v>1</v>
      </c>
      <c r="Q58" s="1">
        <f t="shared" si="9"/>
        <v>23</v>
      </c>
      <c r="S58"/>
      <c r="T58"/>
      <c r="U58"/>
    </row>
    <row r="59" spans="1:25" s="1" customFormat="1" x14ac:dyDescent="0.25">
      <c r="A59" s="1">
        <v>60</v>
      </c>
      <c r="B59" s="1" t="s">
        <v>131</v>
      </c>
      <c r="C59" s="1" t="s">
        <v>146</v>
      </c>
      <c r="D59" s="2">
        <v>42158.37164351852</v>
      </c>
      <c r="E59" s="2">
        <v>42158.371689814812</v>
      </c>
      <c r="F59" s="1">
        <v>1</v>
      </c>
      <c r="G59" s="1">
        <v>4</v>
      </c>
      <c r="H59" s="1">
        <v>10</v>
      </c>
      <c r="I59" s="1">
        <v>2</v>
      </c>
      <c r="J59" s="1">
        <v>1</v>
      </c>
      <c r="K59" s="1">
        <v>5</v>
      </c>
      <c r="L59" s="3">
        <v>36</v>
      </c>
      <c r="M59" s="3" t="str">
        <f t="shared" si="0"/>
        <v>Jun</v>
      </c>
      <c r="N59" s="2">
        <v>42158.371655092589</v>
      </c>
      <c r="O59" s="1">
        <f t="shared" si="7"/>
        <v>3</v>
      </c>
      <c r="P59" s="1">
        <f t="shared" si="8"/>
        <v>4</v>
      </c>
      <c r="Q59" s="1">
        <f t="shared" si="9"/>
        <v>8</v>
      </c>
      <c r="S59"/>
      <c r="T59"/>
      <c r="U59"/>
    </row>
    <row r="60" spans="1:25" s="1" customFormat="1" x14ac:dyDescent="0.25">
      <c r="A60" s="1">
        <v>61</v>
      </c>
      <c r="B60" s="1" t="s">
        <v>147</v>
      </c>
      <c r="C60" s="1" t="s">
        <v>148</v>
      </c>
      <c r="D60" s="2">
        <v>41994.983796296299</v>
      </c>
      <c r="E60" s="2">
        <v>42019.939212962963</v>
      </c>
      <c r="F60" s="1">
        <v>3</v>
      </c>
      <c r="G60" s="1">
        <v>1</v>
      </c>
      <c r="H60" s="1">
        <v>1</v>
      </c>
      <c r="I60" s="1">
        <v>2</v>
      </c>
      <c r="J60" s="1">
        <v>1</v>
      </c>
      <c r="K60" s="1">
        <v>1</v>
      </c>
      <c r="L60" s="4">
        <v>72</v>
      </c>
      <c r="M60" s="3" t="str">
        <f t="shared" si="0"/>
        <v>Jan</v>
      </c>
      <c r="N60" s="2">
        <v>42019.946770833332</v>
      </c>
      <c r="O60" s="1">
        <f t="shared" si="7"/>
        <v>15</v>
      </c>
      <c r="P60" s="1">
        <f t="shared" si="8"/>
        <v>5</v>
      </c>
      <c r="Q60" s="1">
        <f t="shared" si="9"/>
        <v>22</v>
      </c>
      <c r="S60"/>
      <c r="T60"/>
      <c r="U60"/>
    </row>
    <row r="61" spans="1:25" s="1" customFormat="1" x14ac:dyDescent="0.25">
      <c r="A61" s="1">
        <v>62</v>
      </c>
      <c r="B61" s="1" t="s">
        <v>89</v>
      </c>
      <c r="C61" s="1" t="s">
        <v>149</v>
      </c>
      <c r="D61" s="2">
        <v>42153.374456018515</v>
      </c>
      <c r="E61" s="2">
        <v>42153.374502314815</v>
      </c>
      <c r="F61" s="1">
        <v>1</v>
      </c>
      <c r="G61" s="1">
        <v>0</v>
      </c>
      <c r="H61" s="1">
        <v>4</v>
      </c>
      <c r="I61" s="1">
        <v>2</v>
      </c>
      <c r="J61" s="1">
        <v>1</v>
      </c>
      <c r="K61" s="1">
        <v>2</v>
      </c>
      <c r="L61" s="3">
        <v>36</v>
      </c>
      <c r="M61" s="3" t="str">
        <f t="shared" si="0"/>
        <v>May</v>
      </c>
      <c r="N61" s="2">
        <v>42153.374467592592</v>
      </c>
      <c r="O61" s="1">
        <f t="shared" si="7"/>
        <v>29</v>
      </c>
      <c r="P61" s="1">
        <f t="shared" si="8"/>
        <v>6</v>
      </c>
      <c r="Q61" s="1">
        <f t="shared" si="9"/>
        <v>8</v>
      </c>
      <c r="S61"/>
      <c r="T61"/>
      <c r="U61"/>
    </row>
    <row r="62" spans="1:25" s="1" customFormat="1" x14ac:dyDescent="0.25">
      <c r="A62" s="1">
        <v>63</v>
      </c>
      <c r="D62" s="2">
        <v>42265.126284722224</v>
      </c>
      <c r="E62" s="2">
        <v>42267.017430555556</v>
      </c>
      <c r="F62" s="1">
        <v>2</v>
      </c>
      <c r="G62" s="1">
        <v>6</v>
      </c>
      <c r="H62" s="1">
        <v>8</v>
      </c>
      <c r="I62" s="1">
        <v>12</v>
      </c>
      <c r="J62" s="1">
        <v>1</v>
      </c>
      <c r="K62" s="1">
        <v>2</v>
      </c>
      <c r="L62" s="3">
        <v>17.600000000000001</v>
      </c>
      <c r="M62" s="3" t="str">
        <f t="shared" si="0"/>
        <v>Sep</v>
      </c>
      <c r="N62" s="2">
        <v>42267.043009259258</v>
      </c>
      <c r="O62" s="1">
        <f t="shared" si="7"/>
        <v>20</v>
      </c>
      <c r="P62" s="1">
        <f t="shared" si="8"/>
        <v>1</v>
      </c>
      <c r="Q62" s="1">
        <f t="shared" si="9"/>
        <v>1</v>
      </c>
      <c r="S62"/>
      <c r="T62"/>
      <c r="U62"/>
    </row>
    <row r="63" spans="1:25" s="1" customFormat="1" x14ac:dyDescent="0.25">
      <c r="A63" s="1">
        <v>64</v>
      </c>
      <c r="B63" s="1" t="s">
        <v>131</v>
      </c>
      <c r="C63" s="1" t="s">
        <v>150</v>
      </c>
      <c r="D63" s="2">
        <v>42061.707326388889</v>
      </c>
      <c r="E63" s="2">
        <v>42061.707372685189</v>
      </c>
      <c r="F63" s="1">
        <v>1</v>
      </c>
      <c r="G63" s="1">
        <v>0</v>
      </c>
      <c r="H63" s="1">
        <v>4</v>
      </c>
      <c r="I63" s="1">
        <v>1</v>
      </c>
      <c r="J63" s="1">
        <v>1</v>
      </c>
      <c r="K63" s="1">
        <v>1</v>
      </c>
      <c r="L63" s="4">
        <v>27</v>
      </c>
      <c r="M63" s="3" t="str">
        <f t="shared" si="0"/>
        <v>Feb</v>
      </c>
      <c r="N63" s="2">
        <v>42061.707337962966</v>
      </c>
      <c r="O63" s="1">
        <f t="shared" si="7"/>
        <v>26</v>
      </c>
      <c r="P63" s="1">
        <f t="shared" si="8"/>
        <v>5</v>
      </c>
      <c r="Q63" s="1">
        <f t="shared" si="9"/>
        <v>16</v>
      </c>
      <c r="S63"/>
      <c r="T63"/>
      <c r="U63"/>
    </row>
    <row r="64" spans="1:25" s="1" customFormat="1" x14ac:dyDescent="0.25">
      <c r="A64" s="1">
        <v>65</v>
      </c>
      <c r="B64" s="1" t="s">
        <v>96</v>
      </c>
      <c r="C64" s="1" t="s">
        <v>151</v>
      </c>
      <c r="D64" s="2">
        <v>42201.753784722219</v>
      </c>
      <c r="E64" s="2">
        <v>42201.587187500001</v>
      </c>
      <c r="F64" s="1">
        <v>1</v>
      </c>
      <c r="G64" s="1">
        <v>10</v>
      </c>
      <c r="H64" s="1">
        <v>6</v>
      </c>
      <c r="I64" s="1">
        <v>2</v>
      </c>
      <c r="J64" s="1">
        <v>1</v>
      </c>
      <c r="K64" s="1">
        <v>2</v>
      </c>
      <c r="L64" s="3">
        <v>51.8</v>
      </c>
      <c r="M64" s="3" t="str">
        <f t="shared" si="0"/>
        <v>Jul</v>
      </c>
      <c r="N64" s="2">
        <v>42201.587129629632</v>
      </c>
      <c r="O64" s="1">
        <f t="shared" si="7"/>
        <v>16</v>
      </c>
      <c r="P64" s="1">
        <f t="shared" si="8"/>
        <v>5</v>
      </c>
      <c r="Q64" s="1">
        <f t="shared" si="9"/>
        <v>14</v>
      </c>
      <c r="S64"/>
      <c r="T64"/>
      <c r="U64"/>
      <c r="Y64" s="23"/>
    </row>
    <row r="65" spans="1:25" s="1" customFormat="1" x14ac:dyDescent="0.25">
      <c r="A65" s="1">
        <v>66</v>
      </c>
      <c r="B65" s="1" t="s">
        <v>147</v>
      </c>
      <c r="C65" s="1" t="s">
        <v>152</v>
      </c>
      <c r="D65" s="2">
        <v>42151.48777777778</v>
      </c>
      <c r="E65" s="2">
        <v>42151.487824074073</v>
      </c>
      <c r="F65" s="1">
        <v>1</v>
      </c>
      <c r="G65" s="1">
        <v>2</v>
      </c>
      <c r="H65" s="1">
        <v>4</v>
      </c>
      <c r="I65" s="1">
        <v>2</v>
      </c>
      <c r="J65" s="1">
        <v>1</v>
      </c>
      <c r="K65" s="1">
        <v>2</v>
      </c>
      <c r="L65" s="3">
        <v>18</v>
      </c>
      <c r="M65" s="3" t="str">
        <f t="shared" si="0"/>
        <v>May</v>
      </c>
      <c r="N65" s="2">
        <v>42151.48778935185</v>
      </c>
      <c r="O65" s="1">
        <f t="shared" si="7"/>
        <v>27</v>
      </c>
      <c r="P65" s="1">
        <f t="shared" si="8"/>
        <v>4</v>
      </c>
      <c r="Q65" s="1">
        <f t="shared" si="9"/>
        <v>11</v>
      </c>
      <c r="S65"/>
      <c r="T65"/>
      <c r="U65"/>
      <c r="Y65" s="24"/>
    </row>
    <row r="66" spans="1:25" s="1" customFormat="1" x14ac:dyDescent="0.25">
      <c r="A66" s="1">
        <v>67</v>
      </c>
      <c r="B66" s="1" t="s">
        <v>100</v>
      </c>
      <c r="C66" s="1" t="s">
        <v>153</v>
      </c>
      <c r="D66" s="2">
        <v>42085.719814814816</v>
      </c>
      <c r="E66" s="2">
        <v>42085.719872685186</v>
      </c>
      <c r="F66" s="1">
        <v>1</v>
      </c>
      <c r="G66" s="1">
        <v>2</v>
      </c>
      <c r="H66" s="1">
        <v>2</v>
      </c>
      <c r="I66" s="1">
        <v>1</v>
      </c>
      <c r="J66" s="1">
        <v>1</v>
      </c>
      <c r="K66" s="1">
        <v>1</v>
      </c>
      <c r="L66" s="4">
        <v>28.8</v>
      </c>
      <c r="M66" s="3" t="str">
        <f t="shared" si="0"/>
        <v>Mar</v>
      </c>
      <c r="N66" s="2">
        <v>42085.719826388886</v>
      </c>
      <c r="O66" s="1">
        <f t="shared" si="7"/>
        <v>22</v>
      </c>
      <c r="P66" s="1">
        <f t="shared" si="8"/>
        <v>1</v>
      </c>
      <c r="Q66" s="1">
        <f t="shared" si="9"/>
        <v>17</v>
      </c>
      <c r="S66"/>
      <c r="T66"/>
      <c r="U66"/>
      <c r="Y66" s="23"/>
    </row>
    <row r="67" spans="1:25" s="1" customFormat="1" x14ac:dyDescent="0.25">
      <c r="A67" s="1">
        <v>68</v>
      </c>
      <c r="B67" s="1" t="s">
        <v>91</v>
      </c>
      <c r="C67" s="1" t="s">
        <v>154</v>
      </c>
      <c r="D67" s="2">
        <v>42032.881886574076</v>
      </c>
      <c r="E67" s="2">
        <v>42040.425462962965</v>
      </c>
      <c r="F67" s="1">
        <v>3</v>
      </c>
      <c r="G67" s="1">
        <v>2</v>
      </c>
      <c r="H67" s="1">
        <v>5</v>
      </c>
      <c r="I67" s="1">
        <v>4</v>
      </c>
      <c r="J67" s="1">
        <v>1</v>
      </c>
      <c r="K67" s="1">
        <v>1</v>
      </c>
      <c r="L67" s="4">
        <v>28.8</v>
      </c>
      <c r="M67" s="3" t="str">
        <f t="shared" ref="M67:M130" si="10">TEXT(N67,"mmm")</f>
        <v>Jan</v>
      </c>
      <c r="N67" s="2">
        <v>42032.881898148145</v>
      </c>
      <c r="O67" s="1">
        <f t="shared" si="7"/>
        <v>28</v>
      </c>
      <c r="P67" s="1">
        <f t="shared" si="8"/>
        <v>4</v>
      </c>
      <c r="Q67" s="1">
        <f t="shared" si="9"/>
        <v>21</v>
      </c>
      <c r="S67"/>
      <c r="T67"/>
      <c r="U67"/>
      <c r="Y67" s="24"/>
    </row>
    <row r="68" spans="1:25" s="1" customFormat="1" x14ac:dyDescent="0.25">
      <c r="A68" s="1">
        <v>69</v>
      </c>
      <c r="B68" s="1" t="s">
        <v>76</v>
      </c>
      <c r="C68" s="1" t="s">
        <v>155</v>
      </c>
      <c r="D68" s="2">
        <v>42163.582326388889</v>
      </c>
      <c r="E68" s="2">
        <v>42163.582384259258</v>
      </c>
      <c r="F68" s="1">
        <v>1</v>
      </c>
      <c r="G68" s="1">
        <v>2</v>
      </c>
      <c r="H68" s="1">
        <v>8</v>
      </c>
      <c r="I68" s="1">
        <v>4</v>
      </c>
      <c r="J68" s="1">
        <v>1</v>
      </c>
      <c r="K68" s="1">
        <v>6</v>
      </c>
      <c r="L68" s="3">
        <v>86.4</v>
      </c>
      <c r="M68" s="3" t="str">
        <f t="shared" si="10"/>
        <v>Jun</v>
      </c>
      <c r="N68" s="2">
        <v>42163.582361111112</v>
      </c>
      <c r="O68" s="1">
        <f t="shared" si="7"/>
        <v>8</v>
      </c>
      <c r="P68" s="1">
        <f t="shared" si="8"/>
        <v>2</v>
      </c>
      <c r="Q68" s="1">
        <f t="shared" si="9"/>
        <v>13</v>
      </c>
      <c r="S68"/>
      <c r="T68"/>
      <c r="U68"/>
      <c r="Y68" s="23"/>
    </row>
    <row r="69" spans="1:25" s="1" customFormat="1" x14ac:dyDescent="0.25">
      <c r="A69" s="1">
        <v>70</v>
      </c>
      <c r="D69" s="2">
        <v>42029.792326388888</v>
      </c>
      <c r="E69" s="2">
        <v>42040.565833333334</v>
      </c>
      <c r="F69" s="1">
        <v>20</v>
      </c>
      <c r="G69" s="1">
        <v>0</v>
      </c>
      <c r="H69" s="1">
        <v>6</v>
      </c>
      <c r="I69" s="1">
        <v>5</v>
      </c>
      <c r="J69" s="1">
        <v>1</v>
      </c>
      <c r="K69" s="1">
        <v>5</v>
      </c>
      <c r="L69" s="4">
        <v>36</v>
      </c>
      <c r="M69" s="3" t="str">
        <f t="shared" si="10"/>
        <v>Jan</v>
      </c>
      <c r="N69" s="2">
        <v>42029.792361111111</v>
      </c>
      <c r="O69" s="1">
        <f t="shared" si="7"/>
        <v>25</v>
      </c>
      <c r="P69" s="1">
        <f t="shared" si="8"/>
        <v>1</v>
      </c>
      <c r="Q69" s="1">
        <f t="shared" si="9"/>
        <v>19</v>
      </c>
      <c r="S69"/>
      <c r="T69"/>
      <c r="U69"/>
      <c r="Y69" s="24"/>
    </row>
    <row r="70" spans="1:25" s="1" customFormat="1" x14ac:dyDescent="0.25">
      <c r="A70" s="1">
        <v>71</v>
      </c>
      <c r="B70" s="1" t="s">
        <v>96</v>
      </c>
      <c r="C70" s="1" t="s">
        <v>156</v>
      </c>
      <c r="D70" s="2">
        <v>42185.637511574074</v>
      </c>
      <c r="E70" s="2">
        <v>42185.637557870374</v>
      </c>
      <c r="F70" s="1">
        <v>1</v>
      </c>
      <c r="G70" s="1">
        <v>0</v>
      </c>
      <c r="H70" s="1">
        <v>2</v>
      </c>
      <c r="I70" s="1">
        <v>2</v>
      </c>
      <c r="J70" s="1">
        <v>1</v>
      </c>
      <c r="K70" s="1">
        <v>1</v>
      </c>
      <c r="L70" s="3">
        <v>28.8</v>
      </c>
      <c r="M70" s="3" t="str">
        <f t="shared" si="10"/>
        <v>Jun</v>
      </c>
      <c r="N70" s="2">
        <v>42185.637523148151</v>
      </c>
      <c r="O70" s="1">
        <f t="shared" si="7"/>
        <v>30</v>
      </c>
      <c r="P70" s="1">
        <f t="shared" si="8"/>
        <v>3</v>
      </c>
      <c r="Q70" s="1">
        <f t="shared" si="9"/>
        <v>15</v>
      </c>
      <c r="S70"/>
      <c r="T70"/>
      <c r="U70"/>
      <c r="Y70" s="23"/>
    </row>
    <row r="71" spans="1:25" s="1" customFormat="1" x14ac:dyDescent="0.25">
      <c r="A71" s="1">
        <v>72</v>
      </c>
      <c r="B71" s="1" t="s">
        <v>96</v>
      </c>
      <c r="C71" s="1" t="s">
        <v>157</v>
      </c>
      <c r="D71" s="2">
        <v>42070.476875</v>
      </c>
      <c r="E71" s="2">
        <v>42070.476967592593</v>
      </c>
      <c r="F71" s="1">
        <v>1</v>
      </c>
      <c r="G71" s="1">
        <v>2</v>
      </c>
      <c r="H71" s="1">
        <v>8</v>
      </c>
      <c r="I71" s="1">
        <v>1</v>
      </c>
      <c r="J71" s="1">
        <v>1</v>
      </c>
      <c r="K71" s="1">
        <v>4</v>
      </c>
      <c r="L71" s="4">
        <v>45.6</v>
      </c>
      <c r="M71" s="3" t="str">
        <f t="shared" si="10"/>
        <v>Mar</v>
      </c>
      <c r="N71" s="2">
        <v>42070.476886574077</v>
      </c>
      <c r="O71" s="1">
        <f t="shared" si="7"/>
        <v>7</v>
      </c>
      <c r="P71" s="1">
        <f t="shared" si="8"/>
        <v>7</v>
      </c>
      <c r="Q71" s="1">
        <f t="shared" si="9"/>
        <v>11</v>
      </c>
      <c r="S71"/>
      <c r="T71"/>
      <c r="U71"/>
    </row>
    <row r="72" spans="1:25" s="1" customFormat="1" x14ac:dyDescent="0.25">
      <c r="A72" s="1">
        <v>73</v>
      </c>
      <c r="D72" s="2">
        <v>42054.686099537037</v>
      </c>
      <c r="E72" s="2">
        <v>42054.958194444444</v>
      </c>
      <c r="F72" s="1">
        <v>3</v>
      </c>
      <c r="G72" s="1">
        <v>1</v>
      </c>
      <c r="H72" s="1">
        <v>8</v>
      </c>
      <c r="I72" s="1">
        <v>3</v>
      </c>
      <c r="J72" s="1">
        <v>1</v>
      </c>
      <c r="K72" s="1">
        <v>4</v>
      </c>
      <c r="L72" s="4">
        <v>28.8</v>
      </c>
      <c r="M72" s="3" t="str">
        <f t="shared" si="10"/>
        <v>Feb</v>
      </c>
      <c r="N72" s="2">
        <v>42054.689201388886</v>
      </c>
      <c r="O72" s="1">
        <f t="shared" si="7"/>
        <v>19</v>
      </c>
      <c r="P72" s="1">
        <f t="shared" si="8"/>
        <v>5</v>
      </c>
      <c r="Q72" s="1">
        <f t="shared" si="9"/>
        <v>16</v>
      </c>
      <c r="S72"/>
      <c r="T72"/>
      <c r="U72"/>
    </row>
    <row r="73" spans="1:25" s="1" customFormat="1" x14ac:dyDescent="0.25">
      <c r="A73" s="1">
        <v>74</v>
      </c>
      <c r="B73" s="1" t="s">
        <v>100</v>
      </c>
      <c r="C73" s="1" t="s">
        <v>158</v>
      </c>
      <c r="D73" s="2">
        <v>42026.799456018518</v>
      </c>
      <c r="E73" s="2">
        <v>42026.799502314818</v>
      </c>
      <c r="F73" s="1">
        <v>1</v>
      </c>
      <c r="G73" s="1">
        <v>2</v>
      </c>
      <c r="H73" s="1">
        <v>6</v>
      </c>
      <c r="I73" s="1">
        <v>3</v>
      </c>
      <c r="J73" s="1">
        <v>1</v>
      </c>
      <c r="K73" s="1">
        <v>5</v>
      </c>
      <c r="L73" s="4">
        <v>36</v>
      </c>
      <c r="M73" s="3" t="str">
        <f t="shared" si="10"/>
        <v>Jan</v>
      </c>
      <c r="N73" s="2">
        <v>42026.799467592595</v>
      </c>
      <c r="O73" s="1">
        <f t="shared" si="7"/>
        <v>22</v>
      </c>
      <c r="P73" s="1">
        <f t="shared" si="8"/>
        <v>5</v>
      </c>
      <c r="Q73" s="1">
        <f t="shared" si="9"/>
        <v>19</v>
      </c>
      <c r="S73"/>
      <c r="T73"/>
      <c r="U73"/>
    </row>
    <row r="74" spans="1:25" s="1" customFormat="1" x14ac:dyDescent="0.25">
      <c r="A74" s="1">
        <v>76</v>
      </c>
      <c r="B74" s="1" t="s">
        <v>85</v>
      </c>
      <c r="C74" s="1" t="s">
        <v>159</v>
      </c>
      <c r="D74" s="2">
        <v>42075.437685185185</v>
      </c>
      <c r="E74" s="2">
        <v>42075.437754629631</v>
      </c>
      <c r="F74" s="1">
        <v>1</v>
      </c>
      <c r="G74" s="1">
        <v>2</v>
      </c>
      <c r="H74" s="1">
        <v>12</v>
      </c>
      <c r="I74" s="1">
        <v>1</v>
      </c>
      <c r="J74" s="1">
        <v>1</v>
      </c>
      <c r="K74" s="1">
        <v>4</v>
      </c>
      <c r="L74" s="4">
        <v>28.8</v>
      </c>
      <c r="M74" s="3" t="str">
        <f t="shared" si="10"/>
        <v>Mar</v>
      </c>
      <c r="N74" s="2">
        <v>42075.437708333331</v>
      </c>
      <c r="O74" s="1">
        <f t="shared" ref="O74:O78" si="11">DAY(N74)</f>
        <v>12</v>
      </c>
      <c r="P74" s="1">
        <f t="shared" ref="P74:P78" si="12">WEEKDAY(N74,1)</f>
        <v>5</v>
      </c>
      <c r="Q74" s="1">
        <f t="shared" ref="Q74:Q78" si="13">HOUR(N74)</f>
        <v>10</v>
      </c>
      <c r="S74"/>
      <c r="T74"/>
      <c r="U74"/>
    </row>
    <row r="75" spans="1:25" s="1" customFormat="1" x14ac:dyDescent="0.25">
      <c r="A75" s="1">
        <v>77</v>
      </c>
      <c r="B75" s="1" t="s">
        <v>100</v>
      </c>
      <c r="C75" s="1" t="s">
        <v>160</v>
      </c>
      <c r="D75" s="2">
        <v>42161.819861111115</v>
      </c>
      <c r="E75" s="2">
        <v>42161.653252314813</v>
      </c>
      <c r="F75" s="1">
        <v>1</v>
      </c>
      <c r="G75" s="1">
        <v>5</v>
      </c>
      <c r="H75" s="1">
        <v>11</v>
      </c>
      <c r="I75" s="1">
        <v>3</v>
      </c>
      <c r="J75" s="1">
        <v>2</v>
      </c>
      <c r="K75" s="1">
        <v>8</v>
      </c>
      <c r="L75" s="3">
        <v>36</v>
      </c>
      <c r="M75" s="3" t="str">
        <f t="shared" si="10"/>
        <v>Jun</v>
      </c>
      <c r="N75" s="2">
        <v>42161.653217592589</v>
      </c>
      <c r="O75" s="1">
        <f t="shared" si="11"/>
        <v>6</v>
      </c>
      <c r="P75" s="1">
        <f t="shared" si="12"/>
        <v>7</v>
      </c>
      <c r="Q75" s="1">
        <f t="shared" si="13"/>
        <v>15</v>
      </c>
      <c r="S75"/>
      <c r="T75"/>
      <c r="U75"/>
    </row>
    <row r="76" spans="1:25" s="1" customFormat="1" x14ac:dyDescent="0.25">
      <c r="A76" s="1">
        <v>78</v>
      </c>
      <c r="B76" s="1" t="s">
        <v>83</v>
      </c>
      <c r="C76" s="1" t="s">
        <v>161</v>
      </c>
      <c r="D76" s="2">
        <v>42102.387523148151</v>
      </c>
      <c r="E76" s="2">
        <v>42102.387569444443</v>
      </c>
      <c r="F76" s="1">
        <v>1</v>
      </c>
      <c r="G76" s="1">
        <v>0</v>
      </c>
      <c r="H76" s="1">
        <v>8</v>
      </c>
      <c r="I76" s="1">
        <v>3</v>
      </c>
      <c r="J76" s="1">
        <v>1</v>
      </c>
      <c r="K76" s="1">
        <v>3</v>
      </c>
      <c r="L76" s="4">
        <v>27</v>
      </c>
      <c r="M76" s="3" t="str">
        <f t="shared" si="10"/>
        <v>Apr</v>
      </c>
      <c r="N76" s="2">
        <v>42102.389305555553</v>
      </c>
      <c r="O76" s="1">
        <f t="shared" si="11"/>
        <v>8</v>
      </c>
      <c r="P76" s="1">
        <f t="shared" si="12"/>
        <v>4</v>
      </c>
      <c r="Q76" s="1">
        <f t="shared" si="13"/>
        <v>9</v>
      </c>
      <c r="S76"/>
      <c r="T76"/>
      <c r="U76"/>
    </row>
    <row r="77" spans="1:25" s="1" customFormat="1" x14ac:dyDescent="0.25">
      <c r="A77" s="1">
        <v>79</v>
      </c>
      <c r="B77" s="1" t="s">
        <v>112</v>
      </c>
      <c r="C77" s="1" t="s">
        <v>162</v>
      </c>
      <c r="D77" s="2">
        <v>42073.705543981479</v>
      </c>
      <c r="E77" s="2">
        <v>42073.706087962964</v>
      </c>
      <c r="F77" s="1">
        <v>1</v>
      </c>
      <c r="G77" s="1">
        <v>0</v>
      </c>
      <c r="H77" s="1">
        <v>2</v>
      </c>
      <c r="I77" s="1">
        <v>1</v>
      </c>
      <c r="J77" s="1">
        <v>1</v>
      </c>
      <c r="K77" s="1">
        <v>1</v>
      </c>
      <c r="L77" s="4">
        <v>30</v>
      </c>
      <c r="M77" s="3" t="str">
        <f t="shared" si="10"/>
        <v>Mar</v>
      </c>
      <c r="N77" s="2">
        <v>42073.706053240741</v>
      </c>
      <c r="O77" s="1">
        <f t="shared" si="11"/>
        <v>10</v>
      </c>
      <c r="P77" s="1">
        <f t="shared" si="12"/>
        <v>3</v>
      </c>
      <c r="Q77" s="1">
        <f t="shared" si="13"/>
        <v>16</v>
      </c>
      <c r="S77"/>
      <c r="T77"/>
      <c r="U77"/>
    </row>
    <row r="78" spans="1:25" s="1" customFormat="1" x14ac:dyDescent="0.25">
      <c r="A78" s="1">
        <v>80</v>
      </c>
      <c r="D78" s="2">
        <v>42194.786527777775</v>
      </c>
      <c r="E78" s="2">
        <v>42194.619884259257</v>
      </c>
      <c r="F78" s="1">
        <v>1</v>
      </c>
      <c r="G78" s="1">
        <v>6</v>
      </c>
      <c r="H78" s="1">
        <v>4</v>
      </c>
      <c r="I78" s="1">
        <v>5</v>
      </c>
      <c r="J78" s="1">
        <v>1</v>
      </c>
      <c r="K78" s="1">
        <v>1</v>
      </c>
      <c r="L78" s="3">
        <v>36</v>
      </c>
      <c r="M78" s="3" t="str">
        <f t="shared" si="10"/>
        <v>Jul</v>
      </c>
      <c r="N78" s="2">
        <v>42194.624444444446</v>
      </c>
      <c r="O78" s="1">
        <f t="shared" si="11"/>
        <v>9</v>
      </c>
      <c r="P78" s="1">
        <f t="shared" si="12"/>
        <v>5</v>
      </c>
      <c r="Q78" s="1">
        <f t="shared" si="13"/>
        <v>14</v>
      </c>
      <c r="S78"/>
      <c r="T78"/>
      <c r="U78"/>
    </row>
    <row r="79" spans="1:25" s="1" customFormat="1" x14ac:dyDescent="0.25">
      <c r="A79" s="1">
        <v>82</v>
      </c>
      <c r="B79" s="1" t="s">
        <v>109</v>
      </c>
      <c r="C79" s="1" t="s">
        <v>163</v>
      </c>
      <c r="D79" s="2">
        <v>42167.734861111108</v>
      </c>
      <c r="E79" s="2">
        <v>42167.568252314813</v>
      </c>
      <c r="F79" s="1">
        <v>1</v>
      </c>
      <c r="G79" s="1">
        <v>2</v>
      </c>
      <c r="H79" s="1">
        <v>8</v>
      </c>
      <c r="I79" s="1">
        <v>2</v>
      </c>
      <c r="J79" s="1">
        <v>1</v>
      </c>
      <c r="K79" s="1">
        <v>4</v>
      </c>
      <c r="L79" s="3">
        <v>28.8</v>
      </c>
      <c r="M79" s="3" t="str">
        <f t="shared" si="10"/>
        <v>Jun</v>
      </c>
      <c r="N79" s="2">
        <v>42167.568206018521</v>
      </c>
      <c r="O79" s="1">
        <f t="shared" ref="O79:O90" si="14">DAY(N79)</f>
        <v>12</v>
      </c>
      <c r="P79" s="1">
        <f t="shared" ref="P79:P90" si="15">WEEKDAY(N79,1)</f>
        <v>6</v>
      </c>
      <c r="Q79" s="1">
        <f t="shared" ref="Q79:Q90" si="16">HOUR(N79)</f>
        <v>13</v>
      </c>
      <c r="S79"/>
      <c r="T79"/>
      <c r="U79"/>
    </row>
    <row r="80" spans="1:25" s="1" customFormat="1" x14ac:dyDescent="0.25">
      <c r="A80" s="1">
        <v>83</v>
      </c>
      <c r="B80" s="1" t="s">
        <v>91</v>
      </c>
      <c r="C80" s="1" t="s">
        <v>164</v>
      </c>
      <c r="D80" s="2">
        <v>42165.671180555553</v>
      </c>
      <c r="E80" s="2">
        <v>42165.504571759258</v>
      </c>
      <c r="F80" s="1">
        <v>1</v>
      </c>
      <c r="G80" s="1">
        <v>2</v>
      </c>
      <c r="H80" s="1">
        <v>4</v>
      </c>
      <c r="I80" s="1">
        <v>2</v>
      </c>
      <c r="J80" s="1">
        <v>1</v>
      </c>
      <c r="K80" s="1">
        <v>4</v>
      </c>
      <c r="L80" s="3">
        <v>38.4</v>
      </c>
      <c r="M80" s="3" t="str">
        <f t="shared" si="10"/>
        <v>Jun</v>
      </c>
      <c r="N80" s="2">
        <v>42165.504525462966</v>
      </c>
      <c r="O80" s="1">
        <f t="shared" si="14"/>
        <v>10</v>
      </c>
      <c r="P80" s="1">
        <f t="shared" si="15"/>
        <v>4</v>
      </c>
      <c r="Q80" s="1">
        <f t="shared" si="16"/>
        <v>12</v>
      </c>
      <c r="S80"/>
      <c r="T80"/>
      <c r="U80"/>
    </row>
    <row r="81" spans="1:21" s="1" customFormat="1" x14ac:dyDescent="0.25">
      <c r="A81" s="1">
        <v>84</v>
      </c>
      <c r="B81" s="1" t="s">
        <v>131</v>
      </c>
      <c r="C81" s="1" t="s">
        <v>165</v>
      </c>
      <c r="D81" s="2">
        <v>42245.565752314818</v>
      </c>
      <c r="E81" s="2">
        <v>42246.550127314818</v>
      </c>
      <c r="F81" s="1">
        <v>4</v>
      </c>
      <c r="G81" s="1">
        <v>6</v>
      </c>
      <c r="H81" s="1">
        <v>11</v>
      </c>
      <c r="I81" s="1">
        <v>10</v>
      </c>
      <c r="J81" s="1">
        <v>2</v>
      </c>
      <c r="K81" s="1">
        <v>8</v>
      </c>
      <c r="L81" s="3">
        <v>35.200000000000003</v>
      </c>
      <c r="M81" s="3" t="str">
        <f t="shared" si="10"/>
        <v>Aug</v>
      </c>
      <c r="N81" s="2">
        <v>42245.574872685182</v>
      </c>
      <c r="O81" s="1">
        <f t="shared" si="14"/>
        <v>29</v>
      </c>
      <c r="P81" s="1">
        <f t="shared" si="15"/>
        <v>7</v>
      </c>
      <c r="Q81" s="1">
        <f t="shared" si="16"/>
        <v>13</v>
      </c>
      <c r="S81"/>
      <c r="T81"/>
      <c r="U81"/>
    </row>
    <row r="82" spans="1:21" s="1" customFormat="1" x14ac:dyDescent="0.25">
      <c r="A82" s="1">
        <v>85</v>
      </c>
      <c r="B82" s="1" t="s">
        <v>91</v>
      </c>
      <c r="C82" s="1" t="s">
        <v>166</v>
      </c>
      <c r="D82" s="2">
        <v>42146.892627314817</v>
      </c>
      <c r="E82" s="2">
        <v>42146.89266203704</v>
      </c>
      <c r="F82" s="1">
        <v>1</v>
      </c>
      <c r="G82" s="1">
        <v>0</v>
      </c>
      <c r="H82" s="1">
        <v>2</v>
      </c>
      <c r="I82" s="1">
        <v>2</v>
      </c>
      <c r="J82" s="1">
        <v>1</v>
      </c>
      <c r="K82" s="1">
        <v>1</v>
      </c>
      <c r="L82" s="3">
        <v>28.8</v>
      </c>
      <c r="M82" s="3" t="str">
        <f t="shared" si="10"/>
        <v>May</v>
      </c>
      <c r="N82" s="2">
        <v>42146.892638888887</v>
      </c>
      <c r="O82" s="1">
        <f t="shared" si="14"/>
        <v>22</v>
      </c>
      <c r="P82" s="1">
        <f t="shared" si="15"/>
        <v>6</v>
      </c>
      <c r="Q82" s="1">
        <f t="shared" si="16"/>
        <v>21</v>
      </c>
      <c r="S82"/>
      <c r="T82"/>
      <c r="U82"/>
    </row>
    <row r="83" spans="1:21" s="1" customFormat="1" x14ac:dyDescent="0.25">
      <c r="A83" s="1">
        <v>86</v>
      </c>
      <c r="B83" s="1" t="s">
        <v>134</v>
      </c>
      <c r="C83" s="1" t="s">
        <v>167</v>
      </c>
      <c r="D83" s="2">
        <v>42075.38890046296</v>
      </c>
      <c r="E83" s="2">
        <v>42075.389004629629</v>
      </c>
      <c r="F83" s="1">
        <v>1</v>
      </c>
      <c r="G83" s="1">
        <v>4</v>
      </c>
      <c r="H83" s="1">
        <v>2</v>
      </c>
      <c r="I83" s="1">
        <v>1</v>
      </c>
      <c r="J83" s="1">
        <v>1</v>
      </c>
      <c r="K83" s="1">
        <v>1</v>
      </c>
      <c r="L83" s="4">
        <v>28.8</v>
      </c>
      <c r="M83" s="3" t="str">
        <f t="shared" si="10"/>
        <v>Mar</v>
      </c>
      <c r="N83" s="2">
        <v>42075.388912037037</v>
      </c>
      <c r="O83" s="1">
        <f t="shared" si="14"/>
        <v>12</v>
      </c>
      <c r="P83" s="1">
        <f t="shared" si="15"/>
        <v>5</v>
      </c>
      <c r="Q83" s="1">
        <f t="shared" si="16"/>
        <v>9</v>
      </c>
      <c r="S83"/>
      <c r="T83"/>
      <c r="U83"/>
    </row>
    <row r="84" spans="1:21" s="1" customFormat="1" x14ac:dyDescent="0.25">
      <c r="A84" s="1">
        <v>87</v>
      </c>
      <c r="B84" s="1" t="s">
        <v>87</v>
      </c>
      <c r="C84" s="1" t="s">
        <v>168</v>
      </c>
      <c r="D84" s="2">
        <v>42242.575844907406</v>
      </c>
      <c r="E84" s="2">
        <v>42242.933113425926</v>
      </c>
      <c r="F84" s="1">
        <v>2</v>
      </c>
      <c r="G84" s="1">
        <v>6</v>
      </c>
      <c r="H84" s="1">
        <v>6</v>
      </c>
      <c r="I84" s="1">
        <v>4</v>
      </c>
      <c r="J84" s="1">
        <v>1</v>
      </c>
      <c r="K84" s="1">
        <v>4</v>
      </c>
      <c r="L84" s="3">
        <v>30.4</v>
      </c>
      <c r="M84" s="3" t="str">
        <f t="shared" si="10"/>
        <v>Aug</v>
      </c>
      <c r="N84" s="2">
        <v>42242.575844907406</v>
      </c>
      <c r="O84" s="1">
        <f t="shared" si="14"/>
        <v>26</v>
      </c>
      <c r="P84" s="1">
        <f t="shared" si="15"/>
        <v>4</v>
      </c>
      <c r="Q84" s="1">
        <f t="shared" si="16"/>
        <v>13</v>
      </c>
      <c r="S84"/>
      <c r="T84"/>
      <c r="U84"/>
    </row>
    <row r="85" spans="1:21" s="1" customFormat="1" x14ac:dyDescent="0.25">
      <c r="A85" s="1">
        <v>88</v>
      </c>
      <c r="D85" s="2">
        <v>42041.504965277774</v>
      </c>
      <c r="E85" s="2">
        <v>42041.50503472222</v>
      </c>
      <c r="F85" s="1">
        <v>1</v>
      </c>
      <c r="G85" s="1">
        <v>6</v>
      </c>
      <c r="H85" s="1">
        <v>6</v>
      </c>
      <c r="I85" s="1">
        <v>2</v>
      </c>
      <c r="J85" s="1">
        <v>1</v>
      </c>
      <c r="K85" s="1">
        <v>2</v>
      </c>
      <c r="L85" s="4">
        <v>127</v>
      </c>
      <c r="M85" s="3" t="str">
        <f t="shared" si="10"/>
        <v>Feb</v>
      </c>
      <c r="N85" s="2">
        <v>42041.504976851851</v>
      </c>
      <c r="O85" s="1">
        <f t="shared" si="14"/>
        <v>6</v>
      </c>
      <c r="P85" s="1">
        <f t="shared" si="15"/>
        <v>6</v>
      </c>
      <c r="Q85" s="1">
        <f t="shared" si="16"/>
        <v>12</v>
      </c>
      <c r="S85"/>
      <c r="T85"/>
      <c r="U85"/>
    </row>
    <row r="86" spans="1:21" s="1" customFormat="1" x14ac:dyDescent="0.25">
      <c r="A86" s="1">
        <v>89</v>
      </c>
      <c r="B86" s="1" t="s">
        <v>103</v>
      </c>
      <c r="C86" s="1" t="s">
        <v>169</v>
      </c>
      <c r="D86" s="2">
        <v>42184.879328703704</v>
      </c>
      <c r="E86" s="2">
        <v>42185.684745370374</v>
      </c>
      <c r="F86" s="1">
        <v>3</v>
      </c>
      <c r="G86" s="1">
        <v>4</v>
      </c>
      <c r="H86" s="1">
        <v>6</v>
      </c>
      <c r="I86" s="1">
        <v>5</v>
      </c>
      <c r="J86" s="1">
        <v>1</v>
      </c>
      <c r="K86" s="1">
        <v>2</v>
      </c>
      <c r="L86" s="3">
        <v>15</v>
      </c>
      <c r="M86" s="3" t="str">
        <f t="shared" si="10"/>
        <v>Jun</v>
      </c>
      <c r="N86" s="2">
        <v>42184.879328703704</v>
      </c>
      <c r="O86" s="1">
        <f t="shared" si="14"/>
        <v>29</v>
      </c>
      <c r="P86" s="1">
        <f t="shared" si="15"/>
        <v>2</v>
      </c>
      <c r="Q86" s="1">
        <f t="shared" si="16"/>
        <v>21</v>
      </c>
      <c r="S86"/>
      <c r="T86"/>
      <c r="U86"/>
    </row>
    <row r="87" spans="1:21" s="1" customFormat="1" x14ac:dyDescent="0.25">
      <c r="A87" s="1">
        <v>90</v>
      </c>
      <c r="B87" s="1" t="s">
        <v>123</v>
      </c>
      <c r="C87" s="1" t="s">
        <v>170</v>
      </c>
      <c r="D87" s="2">
        <v>42081.51935185185</v>
      </c>
      <c r="E87" s="2">
        <v>42081.519467592596</v>
      </c>
      <c r="F87" s="1">
        <v>1</v>
      </c>
      <c r="G87" s="1">
        <v>0</v>
      </c>
      <c r="H87" s="1">
        <v>4</v>
      </c>
      <c r="I87" s="1">
        <v>1</v>
      </c>
      <c r="J87" s="1">
        <v>1</v>
      </c>
      <c r="K87" s="1">
        <v>6</v>
      </c>
      <c r="L87" s="4">
        <v>86.4</v>
      </c>
      <c r="M87" s="3" t="str">
        <f t="shared" si="10"/>
        <v>Mar</v>
      </c>
      <c r="N87" s="2">
        <v>42081.519363425927</v>
      </c>
      <c r="O87" s="1">
        <f t="shared" si="14"/>
        <v>18</v>
      </c>
      <c r="P87" s="1">
        <f t="shared" si="15"/>
        <v>4</v>
      </c>
      <c r="Q87" s="1">
        <f t="shared" si="16"/>
        <v>12</v>
      </c>
      <c r="S87"/>
      <c r="T87"/>
      <c r="U87"/>
    </row>
    <row r="88" spans="1:21" s="1" customFormat="1" x14ac:dyDescent="0.25">
      <c r="A88" s="1">
        <v>91</v>
      </c>
      <c r="B88" s="1" t="s">
        <v>109</v>
      </c>
      <c r="C88" s="1" t="s">
        <v>171</v>
      </c>
      <c r="D88" s="2">
        <v>42087.832361111112</v>
      </c>
      <c r="E88" s="2">
        <v>42087.832430555558</v>
      </c>
      <c r="F88" s="1">
        <v>1</v>
      </c>
      <c r="G88" s="1">
        <v>2</v>
      </c>
      <c r="H88" s="1">
        <v>3</v>
      </c>
      <c r="I88" s="1">
        <v>3</v>
      </c>
      <c r="J88" s="1">
        <v>2</v>
      </c>
      <c r="K88" s="1">
        <v>2</v>
      </c>
      <c r="L88" s="4">
        <v>57.6</v>
      </c>
      <c r="M88" s="3" t="str">
        <f t="shared" si="10"/>
        <v>Mar</v>
      </c>
      <c r="N88" s="2">
        <v>42087.832372685189</v>
      </c>
      <c r="O88" s="1">
        <f t="shared" si="14"/>
        <v>24</v>
      </c>
      <c r="P88" s="1">
        <f t="shared" si="15"/>
        <v>3</v>
      </c>
      <c r="Q88" s="1">
        <f t="shared" si="16"/>
        <v>19</v>
      </c>
      <c r="S88"/>
      <c r="T88"/>
      <c r="U88"/>
    </row>
    <row r="89" spans="1:21" s="1" customFormat="1" x14ac:dyDescent="0.25">
      <c r="A89" s="1">
        <v>92</v>
      </c>
      <c r="B89" s="1" t="s">
        <v>96</v>
      </c>
      <c r="C89" s="1" t="s">
        <v>172</v>
      </c>
      <c r="D89" s="2">
        <v>42045.840787037036</v>
      </c>
      <c r="E89" s="2">
        <v>42045.840868055559</v>
      </c>
      <c r="F89" s="1">
        <v>1</v>
      </c>
      <c r="G89" s="1">
        <v>2</v>
      </c>
      <c r="H89" s="1">
        <v>6</v>
      </c>
      <c r="I89" s="1">
        <v>1</v>
      </c>
      <c r="J89" s="1">
        <v>1</v>
      </c>
      <c r="K89" s="1">
        <v>4</v>
      </c>
      <c r="L89" s="4">
        <v>28.8</v>
      </c>
      <c r="M89" s="3" t="str">
        <f t="shared" si="10"/>
        <v>Feb</v>
      </c>
      <c r="N89" s="2">
        <v>42045.840810185182</v>
      </c>
      <c r="O89" s="1">
        <f t="shared" si="14"/>
        <v>10</v>
      </c>
      <c r="P89" s="1">
        <f t="shared" si="15"/>
        <v>3</v>
      </c>
      <c r="Q89" s="1">
        <f t="shared" si="16"/>
        <v>20</v>
      </c>
      <c r="S89"/>
      <c r="T89"/>
      <c r="U89"/>
    </row>
    <row r="90" spans="1:21" s="1" customFormat="1" x14ac:dyDescent="0.25">
      <c r="A90" s="1">
        <v>93</v>
      </c>
      <c r="B90" s="1" t="s">
        <v>103</v>
      </c>
      <c r="C90" s="1" t="s">
        <v>173</v>
      </c>
      <c r="D90" s="2">
        <v>42066.635729166665</v>
      </c>
      <c r="E90" s="2">
        <v>42066.635798611111</v>
      </c>
      <c r="F90" s="1">
        <v>1</v>
      </c>
      <c r="G90" s="1">
        <v>2</v>
      </c>
      <c r="H90" s="1">
        <v>4</v>
      </c>
      <c r="I90" s="1">
        <v>1</v>
      </c>
      <c r="J90" s="1">
        <v>1</v>
      </c>
      <c r="K90" s="1">
        <v>2</v>
      </c>
      <c r="L90" s="4">
        <v>9</v>
      </c>
      <c r="M90" s="3" t="str">
        <f t="shared" si="10"/>
        <v>Mar</v>
      </c>
      <c r="N90" s="2">
        <v>42066.635740740741</v>
      </c>
      <c r="O90" s="1">
        <f t="shared" si="14"/>
        <v>3</v>
      </c>
      <c r="P90" s="1">
        <f t="shared" si="15"/>
        <v>3</v>
      </c>
      <c r="Q90" s="1">
        <f t="shared" si="16"/>
        <v>15</v>
      </c>
      <c r="S90"/>
      <c r="T90"/>
      <c r="U90"/>
    </row>
    <row r="91" spans="1:21" s="1" customFormat="1" x14ac:dyDescent="0.25">
      <c r="A91" s="1">
        <v>96</v>
      </c>
      <c r="B91" s="1" t="s">
        <v>96</v>
      </c>
      <c r="C91" s="1" t="s">
        <v>174</v>
      </c>
      <c r="D91" s="2">
        <v>42144.607361111113</v>
      </c>
      <c r="E91" s="2">
        <v>42144.607453703706</v>
      </c>
      <c r="F91" s="1">
        <v>1</v>
      </c>
      <c r="G91" s="1">
        <v>2</v>
      </c>
      <c r="H91" s="1">
        <v>2</v>
      </c>
      <c r="I91" s="1">
        <v>2</v>
      </c>
      <c r="J91" s="1">
        <v>1</v>
      </c>
      <c r="K91" s="1">
        <v>1</v>
      </c>
      <c r="L91" s="4">
        <v>36</v>
      </c>
      <c r="M91" s="3" t="str">
        <f t="shared" si="10"/>
        <v>May</v>
      </c>
      <c r="N91" s="2">
        <v>42144.607418981483</v>
      </c>
      <c r="O91" s="1">
        <f t="shared" ref="O91:O110" si="17">DAY(N91)</f>
        <v>20</v>
      </c>
      <c r="P91" s="1">
        <f t="shared" ref="P91:P110" si="18">WEEKDAY(N91,1)</f>
        <v>4</v>
      </c>
      <c r="Q91" s="1">
        <f t="shared" ref="Q91:Q110" si="19">HOUR(N91)</f>
        <v>14</v>
      </c>
      <c r="S91"/>
      <c r="T91"/>
      <c r="U91"/>
    </row>
    <row r="92" spans="1:21" s="1" customFormat="1" x14ac:dyDescent="0.25">
      <c r="A92" s="1">
        <v>97</v>
      </c>
      <c r="D92" s="2">
        <v>42046.769178240742</v>
      </c>
      <c r="E92" s="2">
        <v>42046.769305555557</v>
      </c>
      <c r="F92" s="1">
        <v>1</v>
      </c>
      <c r="G92" s="1">
        <v>1</v>
      </c>
      <c r="H92" s="1">
        <v>2</v>
      </c>
      <c r="I92" s="1">
        <v>4</v>
      </c>
      <c r="J92" s="1">
        <v>1</v>
      </c>
      <c r="K92" s="1">
        <v>2</v>
      </c>
      <c r="L92" s="4">
        <v>9</v>
      </c>
      <c r="M92" s="3" t="str">
        <f t="shared" si="10"/>
        <v>Feb</v>
      </c>
      <c r="N92" s="2">
        <v>42046.772986111115</v>
      </c>
      <c r="O92" s="1">
        <f t="shared" si="17"/>
        <v>11</v>
      </c>
      <c r="P92" s="1">
        <f t="shared" si="18"/>
        <v>4</v>
      </c>
      <c r="Q92" s="1">
        <f t="shared" si="19"/>
        <v>18</v>
      </c>
      <c r="S92"/>
      <c r="T92"/>
      <c r="U92"/>
    </row>
    <row r="93" spans="1:21" s="1" customFormat="1" x14ac:dyDescent="0.25">
      <c r="A93" s="1">
        <v>98</v>
      </c>
      <c r="B93" s="1" t="s">
        <v>100</v>
      </c>
      <c r="C93" s="1" t="s">
        <v>175</v>
      </c>
      <c r="D93" s="2">
        <v>42030.394513888888</v>
      </c>
      <c r="E93" s="2">
        <v>42036.962256944447</v>
      </c>
      <c r="F93" s="1">
        <v>6</v>
      </c>
      <c r="G93" s="1">
        <v>3</v>
      </c>
      <c r="H93" s="1">
        <v>4</v>
      </c>
      <c r="I93" s="1">
        <v>10</v>
      </c>
      <c r="J93" s="1">
        <v>1</v>
      </c>
      <c r="K93" s="1">
        <v>5</v>
      </c>
      <c r="L93" s="4">
        <v>45</v>
      </c>
      <c r="M93" s="3" t="str">
        <f t="shared" si="10"/>
        <v>Jan</v>
      </c>
      <c r="N93" s="2">
        <v>42030.394525462965</v>
      </c>
      <c r="O93" s="1">
        <f t="shared" si="17"/>
        <v>26</v>
      </c>
      <c r="P93" s="1">
        <f t="shared" si="18"/>
        <v>2</v>
      </c>
      <c r="Q93" s="1">
        <f t="shared" si="19"/>
        <v>9</v>
      </c>
      <c r="S93"/>
      <c r="T93"/>
      <c r="U93"/>
    </row>
    <row r="94" spans="1:21" s="1" customFormat="1" x14ac:dyDescent="0.25">
      <c r="A94" s="1">
        <v>99</v>
      </c>
      <c r="D94" s="2">
        <v>42080.034629629627</v>
      </c>
      <c r="E94" s="2">
        <v>42080.034687500003</v>
      </c>
      <c r="F94" s="1">
        <v>1</v>
      </c>
      <c r="G94" s="1">
        <v>0</v>
      </c>
      <c r="H94" s="1">
        <v>8</v>
      </c>
      <c r="I94" s="1">
        <v>4</v>
      </c>
      <c r="J94" s="1">
        <v>1</v>
      </c>
      <c r="K94" s="1">
        <v>4</v>
      </c>
      <c r="L94" s="4">
        <v>28.8</v>
      </c>
      <c r="M94" s="3" t="str">
        <f t="shared" si="10"/>
        <v>Mar</v>
      </c>
      <c r="N94" s="2">
        <v>42080.0387962963</v>
      </c>
      <c r="O94" s="1">
        <f t="shared" si="17"/>
        <v>17</v>
      </c>
      <c r="P94" s="1">
        <f t="shared" si="18"/>
        <v>3</v>
      </c>
      <c r="Q94" s="1">
        <f t="shared" si="19"/>
        <v>0</v>
      </c>
      <c r="S94"/>
      <c r="T94"/>
      <c r="U94"/>
    </row>
    <row r="95" spans="1:21" s="1" customFormat="1" x14ac:dyDescent="0.25">
      <c r="A95" s="1">
        <v>100</v>
      </c>
      <c r="B95" s="1" t="s">
        <v>147</v>
      </c>
      <c r="C95" s="1" t="s">
        <v>176</v>
      </c>
      <c r="D95" s="2">
        <v>42097.869537037041</v>
      </c>
      <c r="E95" s="2">
        <v>42097.869618055556</v>
      </c>
      <c r="F95" s="1">
        <v>1</v>
      </c>
      <c r="G95" s="1">
        <v>2</v>
      </c>
      <c r="H95" s="1">
        <v>10</v>
      </c>
      <c r="I95" s="1">
        <v>2</v>
      </c>
      <c r="J95" s="1">
        <v>1</v>
      </c>
      <c r="K95" s="1">
        <v>4</v>
      </c>
      <c r="L95" s="4">
        <v>28.8</v>
      </c>
      <c r="M95" s="3" t="str">
        <f t="shared" si="10"/>
        <v>Apr</v>
      </c>
      <c r="N95" s="2">
        <v>42097.86954861111</v>
      </c>
      <c r="O95" s="1">
        <f t="shared" si="17"/>
        <v>3</v>
      </c>
      <c r="P95" s="1">
        <f t="shared" si="18"/>
        <v>6</v>
      </c>
      <c r="Q95" s="1">
        <f t="shared" si="19"/>
        <v>20</v>
      </c>
      <c r="S95"/>
      <c r="T95"/>
      <c r="U95"/>
    </row>
    <row r="96" spans="1:21" s="1" customFormat="1" x14ac:dyDescent="0.25">
      <c r="A96" s="1">
        <v>101</v>
      </c>
      <c r="B96" s="1" t="s">
        <v>134</v>
      </c>
      <c r="C96" s="1" t="s">
        <v>177</v>
      </c>
      <c r="D96" s="2">
        <v>42109.915289351855</v>
      </c>
      <c r="E96" s="2">
        <v>42110.261631944442</v>
      </c>
      <c r="F96" s="1">
        <v>3</v>
      </c>
      <c r="G96" s="1">
        <v>0</v>
      </c>
      <c r="H96" s="1">
        <v>6</v>
      </c>
      <c r="I96" s="1">
        <v>2</v>
      </c>
      <c r="J96" s="1">
        <v>1</v>
      </c>
      <c r="K96" s="1">
        <v>4</v>
      </c>
      <c r="L96" s="4">
        <v>28.8</v>
      </c>
      <c r="M96" s="3" t="str">
        <f t="shared" si="10"/>
        <v>Apr</v>
      </c>
      <c r="N96" s="2">
        <v>42109.915289351855</v>
      </c>
      <c r="O96" s="1">
        <f t="shared" si="17"/>
        <v>15</v>
      </c>
      <c r="P96" s="1">
        <f t="shared" si="18"/>
        <v>4</v>
      </c>
      <c r="Q96" s="1">
        <f t="shared" si="19"/>
        <v>21</v>
      </c>
      <c r="S96"/>
      <c r="T96"/>
      <c r="U96"/>
    </row>
    <row r="97" spans="1:21" s="1" customFormat="1" x14ac:dyDescent="0.25">
      <c r="A97" s="1">
        <v>102</v>
      </c>
      <c r="D97" s="2">
        <v>42251.442615740743</v>
      </c>
      <c r="E97" s="2">
        <v>42251.44263888889</v>
      </c>
      <c r="F97" s="1">
        <v>1</v>
      </c>
      <c r="G97" s="1">
        <v>10</v>
      </c>
      <c r="H97" s="1">
        <v>4</v>
      </c>
      <c r="I97" s="1">
        <v>4</v>
      </c>
      <c r="J97" s="1">
        <v>1</v>
      </c>
      <c r="K97" s="1">
        <v>1</v>
      </c>
      <c r="L97" s="3">
        <v>29.92</v>
      </c>
      <c r="M97" s="3" t="str">
        <f t="shared" si="10"/>
        <v>Sep</v>
      </c>
      <c r="N97" s="2">
        <v>42251.444537037038</v>
      </c>
      <c r="O97" s="1">
        <f t="shared" si="17"/>
        <v>4</v>
      </c>
      <c r="P97" s="1">
        <f t="shared" si="18"/>
        <v>6</v>
      </c>
      <c r="Q97" s="1">
        <f t="shared" si="19"/>
        <v>10</v>
      </c>
      <c r="S97"/>
      <c r="T97"/>
      <c r="U97"/>
    </row>
    <row r="98" spans="1:21" s="1" customFormat="1" x14ac:dyDescent="0.25">
      <c r="A98" s="1">
        <v>103</v>
      </c>
      <c r="B98" s="1" t="s">
        <v>85</v>
      </c>
      <c r="C98" s="1" t="s">
        <v>178</v>
      </c>
      <c r="D98" s="2">
        <v>42186.657060185185</v>
      </c>
      <c r="E98" s="2">
        <v>42186.490405092591</v>
      </c>
      <c r="F98" s="1">
        <v>1</v>
      </c>
      <c r="G98" s="1">
        <v>2</v>
      </c>
      <c r="H98" s="1">
        <v>5</v>
      </c>
      <c r="I98" s="1">
        <v>5</v>
      </c>
      <c r="J98" s="1">
        <v>1</v>
      </c>
      <c r="K98" s="1">
        <v>1</v>
      </c>
      <c r="L98" s="3">
        <v>38.4</v>
      </c>
      <c r="M98" s="3" t="str">
        <f t="shared" si="10"/>
        <v>Jul</v>
      </c>
      <c r="N98" s="2">
        <v>42186.498495370368</v>
      </c>
      <c r="O98" s="1">
        <f t="shared" si="17"/>
        <v>1</v>
      </c>
      <c r="P98" s="1">
        <f t="shared" si="18"/>
        <v>4</v>
      </c>
      <c r="Q98" s="1">
        <f t="shared" si="19"/>
        <v>11</v>
      </c>
      <c r="S98"/>
      <c r="T98"/>
      <c r="U98"/>
    </row>
    <row r="99" spans="1:21" s="1" customFormat="1" x14ac:dyDescent="0.25">
      <c r="A99" s="1">
        <v>104</v>
      </c>
      <c r="B99" s="1" t="s">
        <v>100</v>
      </c>
      <c r="C99" s="1" t="s">
        <v>179</v>
      </c>
      <c r="D99" s="2">
        <v>42136.662465277775</v>
      </c>
      <c r="E99" s="2">
        <v>42136.662511574075</v>
      </c>
      <c r="F99" s="1">
        <v>1</v>
      </c>
      <c r="G99" s="1">
        <v>4</v>
      </c>
      <c r="H99" s="1">
        <v>10</v>
      </c>
      <c r="I99" s="1">
        <v>2</v>
      </c>
      <c r="J99" s="1">
        <v>1</v>
      </c>
      <c r="K99" s="1">
        <v>4</v>
      </c>
      <c r="L99" s="4">
        <v>28.8</v>
      </c>
      <c r="M99" s="3" t="str">
        <f t="shared" si="10"/>
        <v>May</v>
      </c>
      <c r="N99" s="2">
        <v>42136.662476851852</v>
      </c>
      <c r="O99" s="1">
        <f t="shared" si="17"/>
        <v>12</v>
      </c>
      <c r="P99" s="1">
        <f t="shared" si="18"/>
        <v>3</v>
      </c>
      <c r="Q99" s="1">
        <f t="shared" si="19"/>
        <v>15</v>
      </c>
      <c r="S99"/>
      <c r="T99"/>
      <c r="U99"/>
    </row>
    <row r="100" spans="1:21" s="1" customFormat="1" x14ac:dyDescent="0.25">
      <c r="A100" s="1">
        <v>105</v>
      </c>
      <c r="B100" s="1" t="s">
        <v>100</v>
      </c>
      <c r="C100" s="1" t="s">
        <v>180</v>
      </c>
      <c r="D100" s="2">
        <v>42147.521724537037</v>
      </c>
      <c r="E100" s="2">
        <v>42147.521770833337</v>
      </c>
      <c r="F100" s="1">
        <v>1</v>
      </c>
      <c r="G100" s="1">
        <v>6</v>
      </c>
      <c r="H100" s="1">
        <v>8</v>
      </c>
      <c r="I100" s="1">
        <v>4</v>
      </c>
      <c r="J100" s="1">
        <v>1</v>
      </c>
      <c r="K100" s="1">
        <v>4</v>
      </c>
      <c r="L100" s="3">
        <v>28.8</v>
      </c>
      <c r="M100" s="3" t="str">
        <f t="shared" si="10"/>
        <v>May</v>
      </c>
      <c r="N100" s="2">
        <v>42147.521747685183</v>
      </c>
      <c r="O100" s="1">
        <f t="shared" si="17"/>
        <v>23</v>
      </c>
      <c r="P100" s="1">
        <f t="shared" si="18"/>
        <v>7</v>
      </c>
      <c r="Q100" s="1">
        <f t="shared" si="19"/>
        <v>12</v>
      </c>
      <c r="S100"/>
      <c r="T100"/>
      <c r="U100"/>
    </row>
    <row r="101" spans="1:21" s="1" customFormat="1" x14ac:dyDescent="0.25">
      <c r="A101" s="1">
        <v>106</v>
      </c>
      <c r="B101" s="1" t="s">
        <v>85</v>
      </c>
      <c r="C101" s="1" t="s">
        <v>181</v>
      </c>
      <c r="D101" s="2">
        <v>42100.633726851855</v>
      </c>
      <c r="E101" s="2">
        <v>42100.633761574078</v>
      </c>
      <c r="F101" s="1">
        <v>1</v>
      </c>
      <c r="G101" s="1">
        <v>4</v>
      </c>
      <c r="H101" s="1">
        <v>4</v>
      </c>
      <c r="I101" s="1">
        <v>1</v>
      </c>
      <c r="J101" s="1">
        <v>1</v>
      </c>
      <c r="K101" s="1">
        <v>4</v>
      </c>
      <c r="L101" s="4">
        <v>28.8</v>
      </c>
      <c r="M101" s="3" t="str">
        <f t="shared" si="10"/>
        <v>Apr</v>
      </c>
      <c r="N101" s="2">
        <v>42100.635937500003</v>
      </c>
      <c r="O101" s="1">
        <f t="shared" si="17"/>
        <v>6</v>
      </c>
      <c r="P101" s="1">
        <f t="shared" si="18"/>
        <v>2</v>
      </c>
      <c r="Q101" s="1">
        <f t="shared" si="19"/>
        <v>15</v>
      </c>
      <c r="S101"/>
      <c r="T101"/>
      <c r="U101"/>
    </row>
    <row r="102" spans="1:21" s="1" customFormat="1" x14ac:dyDescent="0.25">
      <c r="A102" s="1">
        <v>107</v>
      </c>
      <c r="D102" s="2">
        <v>42049.268530092595</v>
      </c>
      <c r="E102" s="2">
        <v>42049.268576388888</v>
      </c>
      <c r="F102" s="1">
        <v>1</v>
      </c>
      <c r="G102" s="1">
        <v>0</v>
      </c>
      <c r="H102" s="1">
        <v>6</v>
      </c>
      <c r="I102" s="1">
        <v>6</v>
      </c>
      <c r="J102" s="1">
        <v>1</v>
      </c>
      <c r="K102" s="1">
        <v>5</v>
      </c>
      <c r="L102" s="4">
        <v>36</v>
      </c>
      <c r="M102" s="3" t="str">
        <f t="shared" si="10"/>
        <v>Feb</v>
      </c>
      <c r="N102" s="2">
        <v>42049.270868055559</v>
      </c>
      <c r="O102" s="1">
        <f t="shared" si="17"/>
        <v>14</v>
      </c>
      <c r="P102" s="1">
        <f t="shared" si="18"/>
        <v>7</v>
      </c>
      <c r="Q102" s="1">
        <f t="shared" si="19"/>
        <v>6</v>
      </c>
      <c r="S102"/>
      <c r="T102"/>
      <c r="U102"/>
    </row>
    <row r="103" spans="1:21" s="1" customFormat="1" x14ac:dyDescent="0.25">
      <c r="A103" s="1">
        <v>108</v>
      </c>
      <c r="B103" s="1" t="s">
        <v>182</v>
      </c>
      <c r="C103" s="1" t="s">
        <v>183</v>
      </c>
      <c r="D103" s="2">
        <v>42026.784050925926</v>
      </c>
      <c r="E103" s="2">
        <v>42026.784120370372</v>
      </c>
      <c r="F103" s="1">
        <v>1</v>
      </c>
      <c r="G103" s="1">
        <v>2</v>
      </c>
      <c r="H103" s="1">
        <v>8</v>
      </c>
      <c r="I103" s="1">
        <v>2</v>
      </c>
      <c r="J103" s="1">
        <v>1</v>
      </c>
      <c r="K103" s="1">
        <v>4</v>
      </c>
      <c r="L103" s="4">
        <v>28.8</v>
      </c>
      <c r="M103" s="3" t="str">
        <f t="shared" si="10"/>
        <v>Jan</v>
      </c>
      <c r="N103" s="2">
        <v>42026.784085648149</v>
      </c>
      <c r="O103" s="1">
        <f t="shared" si="17"/>
        <v>22</v>
      </c>
      <c r="P103" s="1">
        <f t="shared" si="18"/>
        <v>5</v>
      </c>
      <c r="Q103" s="1">
        <f t="shared" si="19"/>
        <v>18</v>
      </c>
      <c r="S103"/>
      <c r="T103"/>
      <c r="U103"/>
    </row>
    <row r="104" spans="1:21" s="1" customFormat="1" x14ac:dyDescent="0.25">
      <c r="A104" s="1">
        <v>109</v>
      </c>
      <c r="B104" s="1" t="s">
        <v>98</v>
      </c>
      <c r="C104" s="1" t="s">
        <v>184</v>
      </c>
      <c r="D104" s="2">
        <v>42144.575868055559</v>
      </c>
      <c r="E104" s="2">
        <v>42144.575925925928</v>
      </c>
      <c r="F104" s="1">
        <v>1</v>
      </c>
      <c r="G104" s="1">
        <v>0</v>
      </c>
      <c r="H104" s="1">
        <v>2</v>
      </c>
      <c r="I104" s="1">
        <v>3</v>
      </c>
      <c r="J104" s="1">
        <v>1</v>
      </c>
      <c r="K104" s="1">
        <v>2</v>
      </c>
      <c r="L104" s="4">
        <v>14.4</v>
      </c>
      <c r="M104" s="3" t="str">
        <f t="shared" si="10"/>
        <v>May</v>
      </c>
      <c r="N104" s="2">
        <v>42144.575891203705</v>
      </c>
      <c r="O104" s="1">
        <f t="shared" si="17"/>
        <v>20</v>
      </c>
      <c r="P104" s="1">
        <f t="shared" si="18"/>
        <v>4</v>
      </c>
      <c r="Q104" s="1">
        <f t="shared" si="19"/>
        <v>13</v>
      </c>
      <c r="S104"/>
      <c r="T104"/>
      <c r="U104"/>
    </row>
    <row r="105" spans="1:21" s="1" customFormat="1" x14ac:dyDescent="0.25">
      <c r="A105" s="1">
        <v>110</v>
      </c>
      <c r="B105" s="1" t="s">
        <v>123</v>
      </c>
      <c r="C105" s="1" t="s">
        <v>185</v>
      </c>
      <c r="D105" s="2">
        <v>42179.673645833333</v>
      </c>
      <c r="E105" s="2">
        <v>42179.673703703702</v>
      </c>
      <c r="F105" s="1">
        <v>1</v>
      </c>
      <c r="G105" s="1">
        <v>8</v>
      </c>
      <c r="H105" s="1">
        <v>10</v>
      </c>
      <c r="I105" s="1">
        <v>3</v>
      </c>
      <c r="J105" s="1">
        <v>1</v>
      </c>
      <c r="K105" s="1">
        <v>4</v>
      </c>
      <c r="L105" s="3">
        <v>72</v>
      </c>
      <c r="M105" s="3" t="str">
        <f t="shared" si="10"/>
        <v>Jun</v>
      </c>
      <c r="N105" s="2">
        <v>42179.673657407409</v>
      </c>
      <c r="O105" s="1">
        <f t="shared" si="17"/>
        <v>24</v>
      </c>
      <c r="P105" s="1">
        <f t="shared" si="18"/>
        <v>4</v>
      </c>
      <c r="Q105" s="1">
        <f t="shared" si="19"/>
        <v>16</v>
      </c>
      <c r="S105"/>
      <c r="T105"/>
      <c r="U105"/>
    </row>
    <row r="106" spans="1:21" s="1" customFormat="1" x14ac:dyDescent="0.25">
      <c r="A106" s="1">
        <v>111</v>
      </c>
      <c r="B106" s="1" t="s">
        <v>112</v>
      </c>
      <c r="C106" s="1" t="s">
        <v>186</v>
      </c>
      <c r="D106" s="2">
        <v>42227.793483796297</v>
      </c>
      <c r="E106" s="2">
        <v>42227.626863425925</v>
      </c>
      <c r="F106" s="1">
        <v>1</v>
      </c>
      <c r="G106" s="1">
        <v>2</v>
      </c>
      <c r="H106" s="1">
        <v>2</v>
      </c>
      <c r="I106" s="1">
        <v>2</v>
      </c>
      <c r="J106" s="1">
        <v>1</v>
      </c>
      <c r="K106" s="1">
        <v>1</v>
      </c>
      <c r="L106" s="3">
        <v>29.92</v>
      </c>
      <c r="M106" s="3" t="str">
        <f t="shared" si="10"/>
        <v>Aug</v>
      </c>
      <c r="N106" s="2">
        <v>42227.626828703702</v>
      </c>
      <c r="O106" s="1">
        <f t="shared" si="17"/>
        <v>11</v>
      </c>
      <c r="P106" s="1">
        <f t="shared" si="18"/>
        <v>3</v>
      </c>
      <c r="Q106" s="1">
        <f t="shared" si="19"/>
        <v>15</v>
      </c>
      <c r="S106"/>
      <c r="T106"/>
      <c r="U106"/>
    </row>
    <row r="107" spans="1:21" s="1" customFormat="1" x14ac:dyDescent="0.25">
      <c r="A107" s="1">
        <v>112</v>
      </c>
      <c r="B107" s="1" t="s">
        <v>96</v>
      </c>
      <c r="C107" s="1" t="s">
        <v>187</v>
      </c>
      <c r="D107" s="2">
        <v>42042.407152777778</v>
      </c>
      <c r="E107" s="2">
        <v>42042.407210648147</v>
      </c>
      <c r="F107" s="1">
        <v>1</v>
      </c>
      <c r="G107" s="1">
        <v>0</v>
      </c>
      <c r="H107" s="1">
        <v>6</v>
      </c>
      <c r="I107" s="1">
        <v>1</v>
      </c>
      <c r="J107" s="1">
        <v>1</v>
      </c>
      <c r="K107" s="1">
        <v>4</v>
      </c>
      <c r="L107" s="4">
        <v>28.8</v>
      </c>
      <c r="M107" s="3" t="str">
        <f t="shared" si="10"/>
        <v>Feb</v>
      </c>
      <c r="N107" s="2">
        <v>42042.407164351855</v>
      </c>
      <c r="O107" s="1">
        <f t="shared" si="17"/>
        <v>7</v>
      </c>
      <c r="P107" s="1">
        <f t="shared" si="18"/>
        <v>7</v>
      </c>
      <c r="Q107" s="1">
        <f t="shared" si="19"/>
        <v>9</v>
      </c>
      <c r="S107"/>
      <c r="T107"/>
      <c r="U107"/>
    </row>
    <row r="108" spans="1:21" s="1" customFormat="1" x14ac:dyDescent="0.25">
      <c r="A108" s="1">
        <v>113</v>
      </c>
      <c r="B108" s="1" t="s">
        <v>123</v>
      </c>
      <c r="C108" s="1" t="s">
        <v>188</v>
      </c>
      <c r="D108" s="2">
        <v>42008.794560185182</v>
      </c>
      <c r="E108" s="2">
        <v>42008.794618055559</v>
      </c>
      <c r="F108" s="1">
        <v>1</v>
      </c>
      <c r="G108" s="1">
        <v>0</v>
      </c>
      <c r="H108" s="1">
        <v>8</v>
      </c>
      <c r="I108" s="1">
        <v>2</v>
      </c>
      <c r="J108" s="1">
        <v>1</v>
      </c>
      <c r="K108" s="1">
        <v>4</v>
      </c>
      <c r="L108" s="4">
        <v>28.8</v>
      </c>
      <c r="M108" s="3" t="str">
        <f t="shared" si="10"/>
        <v>Jan</v>
      </c>
      <c r="N108" s="2">
        <v>42008.794571759259</v>
      </c>
      <c r="O108" s="1">
        <f t="shared" si="17"/>
        <v>4</v>
      </c>
      <c r="P108" s="1">
        <f t="shared" si="18"/>
        <v>1</v>
      </c>
      <c r="Q108" s="1">
        <f t="shared" si="19"/>
        <v>19</v>
      </c>
      <c r="S108"/>
      <c r="T108"/>
      <c r="U108"/>
    </row>
    <row r="109" spans="1:21" s="1" customFormat="1" x14ac:dyDescent="0.25">
      <c r="A109" s="1">
        <v>114</v>
      </c>
      <c r="B109" s="1" t="s">
        <v>94</v>
      </c>
      <c r="C109" s="1" t="s">
        <v>189</v>
      </c>
      <c r="D109" s="2">
        <v>42109.72896990741</v>
      </c>
      <c r="E109" s="2">
        <v>42109.729120370372</v>
      </c>
      <c r="F109" s="1">
        <v>1</v>
      </c>
      <c r="G109" s="1">
        <v>2</v>
      </c>
      <c r="H109" s="1">
        <v>12</v>
      </c>
      <c r="I109" s="1">
        <v>2</v>
      </c>
      <c r="J109" s="1">
        <v>1</v>
      </c>
      <c r="K109" s="1">
        <v>6</v>
      </c>
      <c r="L109" s="4">
        <v>42.4</v>
      </c>
      <c r="M109" s="3" t="str">
        <f t="shared" si="10"/>
        <v>Apr</v>
      </c>
      <c r="N109" s="2">
        <v>42109.728981481479</v>
      </c>
      <c r="O109" s="1">
        <f t="shared" si="17"/>
        <v>15</v>
      </c>
      <c r="P109" s="1">
        <f t="shared" si="18"/>
        <v>4</v>
      </c>
      <c r="Q109" s="1">
        <f t="shared" si="19"/>
        <v>17</v>
      </c>
      <c r="S109"/>
      <c r="T109"/>
      <c r="U109"/>
    </row>
    <row r="110" spans="1:21" s="1" customFormat="1" x14ac:dyDescent="0.25">
      <c r="A110" s="1">
        <v>115</v>
      </c>
      <c r="B110" s="1" t="s">
        <v>91</v>
      </c>
      <c r="C110" s="1" t="s">
        <v>190</v>
      </c>
      <c r="D110" s="2">
        <v>42043.354444444441</v>
      </c>
      <c r="E110" s="2">
        <v>42071.836562500001</v>
      </c>
      <c r="F110" s="1">
        <v>2</v>
      </c>
      <c r="G110" s="1">
        <v>2</v>
      </c>
      <c r="H110" s="1">
        <v>17</v>
      </c>
      <c r="I110" s="1">
        <v>4</v>
      </c>
      <c r="J110" s="1">
        <v>2</v>
      </c>
      <c r="K110" s="1">
        <v>14</v>
      </c>
      <c r="L110" s="4">
        <v>36</v>
      </c>
      <c r="M110" s="3" t="str">
        <f t="shared" si="10"/>
        <v>Feb</v>
      </c>
      <c r="N110" s="2">
        <v>42043.354456018518</v>
      </c>
      <c r="O110" s="1">
        <f t="shared" si="17"/>
        <v>8</v>
      </c>
      <c r="P110" s="1">
        <f t="shared" si="18"/>
        <v>1</v>
      </c>
      <c r="Q110" s="1">
        <f t="shared" si="19"/>
        <v>8</v>
      </c>
      <c r="S110"/>
      <c r="T110"/>
      <c r="U110"/>
    </row>
    <row r="111" spans="1:21" s="1" customFormat="1" x14ac:dyDescent="0.25">
      <c r="A111" s="1">
        <v>118</v>
      </c>
      <c r="B111" s="1" t="s">
        <v>96</v>
      </c>
      <c r="C111" s="1" t="s">
        <v>191</v>
      </c>
      <c r="D111" s="2">
        <v>42170.652569444443</v>
      </c>
      <c r="E111" s="2">
        <v>42172.527060185188</v>
      </c>
      <c r="F111" s="1">
        <v>3</v>
      </c>
      <c r="G111" s="1">
        <v>0</v>
      </c>
      <c r="H111" s="1">
        <v>2</v>
      </c>
      <c r="I111" s="1">
        <v>3</v>
      </c>
      <c r="J111" s="1">
        <v>1</v>
      </c>
      <c r="K111" s="1">
        <v>1</v>
      </c>
      <c r="L111" s="3">
        <v>38.4</v>
      </c>
      <c r="M111" s="3" t="str">
        <f t="shared" si="10"/>
        <v>Jun</v>
      </c>
      <c r="N111" s="2">
        <v>42170.652581018519</v>
      </c>
      <c r="O111" s="1">
        <f t="shared" ref="O111:O118" si="20">DAY(N111)</f>
        <v>15</v>
      </c>
      <c r="P111" s="1">
        <f t="shared" ref="P111:P118" si="21">WEEKDAY(N111,1)</f>
        <v>2</v>
      </c>
      <c r="Q111" s="1">
        <f t="shared" ref="Q111:Q118" si="22">HOUR(N111)</f>
        <v>15</v>
      </c>
      <c r="S111"/>
      <c r="T111"/>
      <c r="U111"/>
    </row>
    <row r="112" spans="1:21" s="1" customFormat="1" x14ac:dyDescent="0.25">
      <c r="A112" s="1">
        <v>119</v>
      </c>
      <c r="B112" s="1" t="s">
        <v>103</v>
      </c>
      <c r="C112" s="1" t="s">
        <v>192</v>
      </c>
      <c r="D112" s="2">
        <v>42042.954930555556</v>
      </c>
      <c r="E112" s="2">
        <v>42042.954988425925</v>
      </c>
      <c r="F112" s="1">
        <v>1</v>
      </c>
      <c r="G112" s="1">
        <v>0</v>
      </c>
      <c r="H112" s="1">
        <v>4</v>
      </c>
      <c r="I112" s="1">
        <v>1</v>
      </c>
      <c r="J112" s="1">
        <v>1</v>
      </c>
      <c r="K112" s="1">
        <v>2</v>
      </c>
      <c r="L112" s="4">
        <v>81</v>
      </c>
      <c r="M112" s="3" t="str">
        <f t="shared" si="10"/>
        <v>Feb</v>
      </c>
      <c r="N112" s="2">
        <v>42042.96162037037</v>
      </c>
      <c r="O112" s="1">
        <f t="shared" si="20"/>
        <v>7</v>
      </c>
      <c r="P112" s="1">
        <f t="shared" si="21"/>
        <v>7</v>
      </c>
      <c r="Q112" s="1">
        <f t="shared" si="22"/>
        <v>23</v>
      </c>
      <c r="S112"/>
      <c r="T112"/>
      <c r="U112"/>
    </row>
    <row r="113" spans="1:21" s="1" customFormat="1" x14ac:dyDescent="0.25">
      <c r="A113" s="1">
        <v>120</v>
      </c>
      <c r="B113" s="1" t="s">
        <v>96</v>
      </c>
      <c r="C113" s="1" t="s">
        <v>193</v>
      </c>
      <c r="D113" s="2">
        <v>42149.401018518518</v>
      </c>
      <c r="E113" s="2">
        <v>42149.401064814818</v>
      </c>
      <c r="F113" s="1">
        <v>1</v>
      </c>
      <c r="G113" s="1">
        <v>4</v>
      </c>
      <c r="H113" s="1">
        <v>2</v>
      </c>
      <c r="I113" s="1">
        <v>2</v>
      </c>
      <c r="J113" s="1">
        <v>1</v>
      </c>
      <c r="K113" s="1">
        <v>1</v>
      </c>
      <c r="L113" s="3">
        <v>28.8</v>
      </c>
      <c r="M113" s="3" t="str">
        <f t="shared" si="10"/>
        <v>May</v>
      </c>
      <c r="N113" s="2">
        <v>42149.401030092595</v>
      </c>
      <c r="O113" s="1">
        <f t="shared" si="20"/>
        <v>25</v>
      </c>
      <c r="P113" s="1">
        <f t="shared" si="21"/>
        <v>2</v>
      </c>
      <c r="Q113" s="1">
        <f t="shared" si="22"/>
        <v>9</v>
      </c>
      <c r="S113"/>
      <c r="T113"/>
      <c r="U113"/>
    </row>
    <row r="114" spans="1:21" s="1" customFormat="1" x14ac:dyDescent="0.25">
      <c r="A114" s="1">
        <v>121</v>
      </c>
      <c r="B114" s="1" t="s">
        <v>137</v>
      </c>
      <c r="C114" s="1" t="s">
        <v>194</v>
      </c>
      <c r="D114" s="2">
        <v>42163.596921296295</v>
      </c>
      <c r="E114" s="2">
        <v>42163.430335648147</v>
      </c>
      <c r="F114" s="1">
        <v>1</v>
      </c>
      <c r="G114" s="1">
        <v>2</v>
      </c>
      <c r="H114" s="1">
        <v>8</v>
      </c>
      <c r="I114" s="1">
        <v>2</v>
      </c>
      <c r="J114" s="1">
        <v>1</v>
      </c>
      <c r="K114" s="1">
        <v>4</v>
      </c>
      <c r="L114" s="3">
        <v>28.8</v>
      </c>
      <c r="M114" s="3" t="str">
        <f t="shared" si="10"/>
        <v>Jun</v>
      </c>
      <c r="N114" s="2">
        <v>42163.430277777778</v>
      </c>
      <c r="O114" s="1">
        <f t="shared" si="20"/>
        <v>8</v>
      </c>
      <c r="P114" s="1">
        <f t="shared" si="21"/>
        <v>2</v>
      </c>
      <c r="Q114" s="1">
        <f t="shared" si="22"/>
        <v>10</v>
      </c>
      <c r="S114"/>
      <c r="T114"/>
      <c r="U114"/>
    </row>
    <row r="115" spans="1:21" s="1" customFormat="1" x14ac:dyDescent="0.25">
      <c r="A115" s="1">
        <v>122</v>
      </c>
      <c r="B115" s="1" t="s">
        <v>195</v>
      </c>
      <c r="C115" s="1" t="s">
        <v>196</v>
      </c>
      <c r="D115" s="2">
        <v>42136.619525462964</v>
      </c>
      <c r="E115" s="2">
        <v>42136.619571759256</v>
      </c>
      <c r="F115" s="1">
        <v>1</v>
      </c>
      <c r="G115" s="1">
        <v>2</v>
      </c>
      <c r="H115" s="1">
        <v>2</v>
      </c>
      <c r="I115" s="1">
        <v>2</v>
      </c>
      <c r="J115" s="1">
        <v>1</v>
      </c>
      <c r="K115" s="1">
        <v>1</v>
      </c>
      <c r="L115" s="4">
        <v>28.8</v>
      </c>
      <c r="M115" s="3" t="str">
        <f t="shared" si="10"/>
        <v>May</v>
      </c>
      <c r="N115" s="2">
        <v>42136.619537037041</v>
      </c>
      <c r="O115" s="1">
        <f t="shared" si="20"/>
        <v>12</v>
      </c>
      <c r="P115" s="1">
        <f t="shared" si="21"/>
        <v>3</v>
      </c>
      <c r="Q115" s="1">
        <f t="shared" si="22"/>
        <v>14</v>
      </c>
      <c r="S115"/>
      <c r="T115"/>
      <c r="U115"/>
    </row>
    <row r="116" spans="1:21" s="1" customFormat="1" x14ac:dyDescent="0.25">
      <c r="A116" s="1">
        <v>123</v>
      </c>
      <c r="B116" s="1" t="s">
        <v>76</v>
      </c>
      <c r="C116" s="1" t="s">
        <v>197</v>
      </c>
      <c r="D116" s="2">
        <v>42198.728576388887</v>
      </c>
      <c r="E116" s="2">
        <v>42198.72861111111</v>
      </c>
      <c r="F116" s="1">
        <v>1</v>
      </c>
      <c r="G116" s="1">
        <v>8</v>
      </c>
      <c r="H116" s="1">
        <v>4</v>
      </c>
      <c r="I116" s="1">
        <v>5</v>
      </c>
      <c r="J116" s="1">
        <v>1</v>
      </c>
      <c r="K116" s="1">
        <v>2</v>
      </c>
      <c r="L116" s="3">
        <v>14.4</v>
      </c>
      <c r="M116" s="3" t="str">
        <f t="shared" si="10"/>
        <v>Jul</v>
      </c>
      <c r="N116" s="2">
        <v>42198.728587962964</v>
      </c>
      <c r="O116" s="1">
        <f t="shared" si="20"/>
        <v>13</v>
      </c>
      <c r="P116" s="1">
        <f t="shared" si="21"/>
        <v>2</v>
      </c>
      <c r="Q116" s="1">
        <f t="shared" si="22"/>
        <v>17</v>
      </c>
      <c r="S116"/>
      <c r="T116"/>
      <c r="U116"/>
    </row>
    <row r="117" spans="1:21" s="1" customFormat="1" x14ac:dyDescent="0.25">
      <c r="A117" s="1">
        <v>124</v>
      </c>
      <c r="B117" s="1" t="s">
        <v>198</v>
      </c>
      <c r="C117" s="1" t="s">
        <v>199</v>
      </c>
      <c r="D117" s="2">
        <v>42152.692858796298</v>
      </c>
      <c r="E117" s="2">
        <v>42152.52621527778</v>
      </c>
      <c r="F117" s="1">
        <v>1</v>
      </c>
      <c r="G117" s="1">
        <v>0</v>
      </c>
      <c r="H117" s="1">
        <v>2</v>
      </c>
      <c r="I117" s="1">
        <v>2</v>
      </c>
      <c r="J117" s="1">
        <v>1</v>
      </c>
      <c r="K117" s="1">
        <v>1</v>
      </c>
      <c r="L117" s="3">
        <v>28.8</v>
      </c>
      <c r="M117" s="3" t="str">
        <f t="shared" si="10"/>
        <v>May</v>
      </c>
      <c r="N117" s="2">
        <v>42152.528587962966</v>
      </c>
      <c r="O117" s="1">
        <f t="shared" si="20"/>
        <v>28</v>
      </c>
      <c r="P117" s="1">
        <f t="shared" si="21"/>
        <v>5</v>
      </c>
      <c r="Q117" s="1">
        <f t="shared" si="22"/>
        <v>12</v>
      </c>
      <c r="S117"/>
      <c r="T117"/>
      <c r="U117"/>
    </row>
    <row r="118" spans="1:21" s="1" customFormat="1" x14ac:dyDescent="0.25">
      <c r="A118" s="1">
        <v>125</v>
      </c>
      <c r="B118" s="1" t="s">
        <v>123</v>
      </c>
      <c r="C118" s="1" t="s">
        <v>200</v>
      </c>
      <c r="D118" s="2">
        <v>42260.666666666664</v>
      </c>
      <c r="E118" s="2">
        <v>42260.500057870369</v>
      </c>
      <c r="F118" s="1">
        <v>1</v>
      </c>
      <c r="G118" s="1">
        <v>2</v>
      </c>
      <c r="H118" s="1">
        <v>2</v>
      </c>
      <c r="I118" s="1">
        <v>2</v>
      </c>
      <c r="J118" s="1">
        <v>1</v>
      </c>
      <c r="K118" s="1">
        <v>4</v>
      </c>
      <c r="L118" s="3">
        <v>35.200000000000003</v>
      </c>
      <c r="M118" s="3" t="str">
        <f t="shared" si="10"/>
        <v>Sep</v>
      </c>
      <c r="N118" s="2">
        <v>42260.500011574077</v>
      </c>
      <c r="O118" s="1">
        <f t="shared" si="20"/>
        <v>13</v>
      </c>
      <c r="P118" s="1">
        <f t="shared" si="21"/>
        <v>1</v>
      </c>
      <c r="Q118" s="1">
        <f t="shared" si="22"/>
        <v>12</v>
      </c>
      <c r="S118"/>
      <c r="T118"/>
      <c r="U118"/>
    </row>
    <row r="119" spans="1:21" s="1" customFormat="1" x14ac:dyDescent="0.25">
      <c r="A119" s="1">
        <v>127</v>
      </c>
      <c r="B119" s="1" t="s">
        <v>103</v>
      </c>
      <c r="C119" s="1" t="s">
        <v>201</v>
      </c>
      <c r="D119" s="2">
        <v>42136.08053240741</v>
      </c>
      <c r="E119" s="2">
        <v>42135.913888888892</v>
      </c>
      <c r="F119" s="1">
        <v>1</v>
      </c>
      <c r="G119" s="1">
        <v>14</v>
      </c>
      <c r="H119" s="1">
        <v>14</v>
      </c>
      <c r="I119" s="1">
        <v>5</v>
      </c>
      <c r="J119" s="1">
        <v>1</v>
      </c>
      <c r="K119" s="1">
        <v>4</v>
      </c>
      <c r="L119" s="4">
        <v>28.8</v>
      </c>
      <c r="M119" s="3" t="str">
        <f t="shared" si="10"/>
        <v>May</v>
      </c>
      <c r="N119" s="2">
        <v>42135.915590277778</v>
      </c>
      <c r="O119" s="1">
        <f t="shared" ref="O119:O151" si="23">DAY(N119)</f>
        <v>11</v>
      </c>
      <c r="P119" s="1">
        <f t="shared" ref="P119:P151" si="24">WEEKDAY(N119,1)</f>
        <v>2</v>
      </c>
      <c r="Q119" s="1">
        <f t="shared" ref="Q119:Q151" si="25">HOUR(N119)</f>
        <v>21</v>
      </c>
      <c r="S119"/>
      <c r="T119"/>
      <c r="U119"/>
    </row>
    <row r="120" spans="1:21" s="1" customFormat="1" x14ac:dyDescent="0.25">
      <c r="A120" s="1">
        <v>128</v>
      </c>
      <c r="B120" s="1" t="s">
        <v>195</v>
      </c>
      <c r="C120" s="1" t="s">
        <v>202</v>
      </c>
      <c r="D120" s="2">
        <v>42144.706712962965</v>
      </c>
      <c r="E120" s="2">
        <v>42144.706782407404</v>
      </c>
      <c r="F120" s="1">
        <v>1</v>
      </c>
      <c r="G120" s="1">
        <v>2</v>
      </c>
      <c r="H120" s="1">
        <v>6</v>
      </c>
      <c r="I120" s="1">
        <v>6</v>
      </c>
      <c r="J120" s="1">
        <v>1</v>
      </c>
      <c r="K120" s="1">
        <v>4</v>
      </c>
      <c r="L120" s="4">
        <v>28.8</v>
      </c>
      <c r="M120" s="3" t="str">
        <f t="shared" si="10"/>
        <v>May</v>
      </c>
      <c r="N120" s="2">
        <v>42144.706724537034</v>
      </c>
      <c r="O120" s="1">
        <f t="shared" si="23"/>
        <v>20</v>
      </c>
      <c r="P120" s="1">
        <f t="shared" si="24"/>
        <v>4</v>
      </c>
      <c r="Q120" s="1">
        <f t="shared" si="25"/>
        <v>16</v>
      </c>
      <c r="S120"/>
      <c r="T120"/>
      <c r="U120"/>
    </row>
    <row r="121" spans="1:21" s="1" customFormat="1" x14ac:dyDescent="0.25">
      <c r="A121" s="1">
        <v>129</v>
      </c>
      <c r="B121" s="1" t="s">
        <v>119</v>
      </c>
      <c r="C121" s="1" t="s">
        <v>203</v>
      </c>
      <c r="D121" s="2">
        <v>42078.691307870373</v>
      </c>
      <c r="E121" s="2">
        <v>42078.691365740742</v>
      </c>
      <c r="F121" s="1">
        <v>1</v>
      </c>
      <c r="G121" s="1">
        <v>0</v>
      </c>
      <c r="H121" s="1">
        <v>4</v>
      </c>
      <c r="I121" s="1">
        <v>1</v>
      </c>
      <c r="J121" s="1">
        <v>1</v>
      </c>
      <c r="K121" s="1">
        <v>2</v>
      </c>
      <c r="L121" s="4">
        <v>9</v>
      </c>
      <c r="M121" s="3" t="str">
        <f t="shared" si="10"/>
        <v>Mar</v>
      </c>
      <c r="N121" s="2">
        <v>42078.691319444442</v>
      </c>
      <c r="O121" s="1">
        <f t="shared" si="23"/>
        <v>15</v>
      </c>
      <c r="P121" s="1">
        <f t="shared" si="24"/>
        <v>1</v>
      </c>
      <c r="Q121" s="1">
        <f t="shared" si="25"/>
        <v>16</v>
      </c>
      <c r="S121"/>
      <c r="T121"/>
      <c r="U121"/>
    </row>
    <row r="122" spans="1:21" s="1" customFormat="1" x14ac:dyDescent="0.25">
      <c r="A122" s="1">
        <v>130</v>
      </c>
      <c r="B122" s="1" t="s">
        <v>134</v>
      </c>
      <c r="C122" s="1" t="s">
        <v>204</v>
      </c>
      <c r="D122" s="2">
        <v>42045.894861111112</v>
      </c>
      <c r="E122" s="2">
        <v>42045.894953703704</v>
      </c>
      <c r="F122" s="1">
        <v>1</v>
      </c>
      <c r="G122" s="1">
        <v>6</v>
      </c>
      <c r="H122" s="1">
        <v>4</v>
      </c>
      <c r="I122" s="1">
        <v>2</v>
      </c>
      <c r="J122" s="1">
        <v>1</v>
      </c>
      <c r="K122" s="1">
        <v>2</v>
      </c>
      <c r="L122" s="4">
        <v>18</v>
      </c>
      <c r="M122" s="3" t="str">
        <f t="shared" si="10"/>
        <v>Feb</v>
      </c>
      <c r="N122" s="2">
        <v>42045.894872685189</v>
      </c>
      <c r="O122" s="1">
        <f t="shared" si="23"/>
        <v>10</v>
      </c>
      <c r="P122" s="1">
        <f t="shared" si="24"/>
        <v>3</v>
      </c>
      <c r="Q122" s="1">
        <f t="shared" si="25"/>
        <v>21</v>
      </c>
      <c r="S122"/>
      <c r="T122"/>
      <c r="U122"/>
    </row>
    <row r="123" spans="1:21" s="1" customFormat="1" x14ac:dyDescent="0.25">
      <c r="A123" s="1">
        <v>131</v>
      </c>
      <c r="B123" s="1" t="s">
        <v>109</v>
      </c>
      <c r="C123" s="1" t="s">
        <v>205</v>
      </c>
      <c r="D123" s="2">
        <v>42079.408692129633</v>
      </c>
      <c r="E123" s="2">
        <v>42079.408726851849</v>
      </c>
      <c r="F123" s="1">
        <v>1</v>
      </c>
      <c r="G123" s="1">
        <v>0</v>
      </c>
      <c r="H123" s="1">
        <v>4</v>
      </c>
      <c r="I123" s="1">
        <v>7</v>
      </c>
      <c r="J123" s="1">
        <v>1</v>
      </c>
      <c r="K123" s="1">
        <v>4</v>
      </c>
      <c r="L123" s="4">
        <v>28.8</v>
      </c>
      <c r="M123" s="3" t="str">
        <f t="shared" si="10"/>
        <v>Mar</v>
      </c>
      <c r="N123" s="2">
        <v>42079.423564814817</v>
      </c>
      <c r="O123" s="1">
        <f t="shared" si="23"/>
        <v>16</v>
      </c>
      <c r="P123" s="1">
        <f t="shared" si="24"/>
        <v>2</v>
      </c>
      <c r="Q123" s="1">
        <f t="shared" si="25"/>
        <v>10</v>
      </c>
      <c r="S123"/>
      <c r="T123"/>
      <c r="U123"/>
    </row>
    <row r="124" spans="1:21" s="1" customFormat="1" x14ac:dyDescent="0.25">
      <c r="A124" s="1">
        <v>132</v>
      </c>
      <c r="B124" s="1" t="s">
        <v>96</v>
      </c>
      <c r="C124" s="1" t="s">
        <v>206</v>
      </c>
      <c r="D124" s="2">
        <v>42194.481053240743</v>
      </c>
      <c r="E124" s="2">
        <v>42194.481099537035</v>
      </c>
      <c r="F124" s="1">
        <v>1</v>
      </c>
      <c r="G124" s="1">
        <v>2</v>
      </c>
      <c r="H124" s="1">
        <v>6</v>
      </c>
      <c r="I124" s="1">
        <v>2</v>
      </c>
      <c r="J124" s="1">
        <v>1</v>
      </c>
      <c r="K124" s="1">
        <v>4</v>
      </c>
      <c r="L124" s="3">
        <v>28.8</v>
      </c>
      <c r="M124" s="3" t="str">
        <f t="shared" si="10"/>
        <v>Jul</v>
      </c>
      <c r="N124" s="2">
        <v>42194.481064814812</v>
      </c>
      <c r="O124" s="1">
        <f t="shared" si="23"/>
        <v>9</v>
      </c>
      <c r="P124" s="1">
        <f t="shared" si="24"/>
        <v>5</v>
      </c>
      <c r="Q124" s="1">
        <f t="shared" si="25"/>
        <v>11</v>
      </c>
      <c r="S124"/>
      <c r="T124"/>
      <c r="U124"/>
    </row>
    <row r="125" spans="1:21" s="1" customFormat="1" x14ac:dyDescent="0.25">
      <c r="A125" s="1">
        <v>133</v>
      </c>
      <c r="B125" s="1" t="s">
        <v>98</v>
      </c>
      <c r="C125" s="1" t="s">
        <v>207</v>
      </c>
      <c r="D125" s="2">
        <v>42152.467268518521</v>
      </c>
      <c r="E125" s="2">
        <v>42152.467314814814</v>
      </c>
      <c r="F125" s="1">
        <v>1</v>
      </c>
      <c r="G125" s="1">
        <v>4</v>
      </c>
      <c r="H125" s="1">
        <v>2</v>
      </c>
      <c r="I125" s="1">
        <v>2</v>
      </c>
      <c r="J125" s="1">
        <v>1</v>
      </c>
      <c r="K125" s="1">
        <v>1</v>
      </c>
      <c r="L125" s="3">
        <v>36</v>
      </c>
      <c r="M125" s="3" t="str">
        <f t="shared" si="10"/>
        <v>May</v>
      </c>
      <c r="N125" s="2">
        <v>42152.467268518521</v>
      </c>
      <c r="O125" s="1">
        <f t="shared" si="23"/>
        <v>28</v>
      </c>
      <c r="P125" s="1">
        <f t="shared" si="24"/>
        <v>5</v>
      </c>
      <c r="Q125" s="1">
        <f t="shared" si="25"/>
        <v>11</v>
      </c>
      <c r="S125"/>
      <c r="T125"/>
      <c r="U125"/>
    </row>
    <row r="126" spans="1:21" s="1" customFormat="1" x14ac:dyDescent="0.25">
      <c r="A126" s="1">
        <v>134</v>
      </c>
      <c r="B126" s="1" t="s">
        <v>208</v>
      </c>
      <c r="C126" s="1" t="s">
        <v>209</v>
      </c>
      <c r="D126" s="2">
        <v>42264.519618055558</v>
      </c>
      <c r="E126" s="2">
        <v>42264.51971064815</v>
      </c>
      <c r="F126" s="1">
        <v>1</v>
      </c>
      <c r="G126" s="1">
        <v>2</v>
      </c>
      <c r="H126" s="1">
        <v>2</v>
      </c>
      <c r="I126" s="1">
        <v>2</v>
      </c>
      <c r="J126" s="1">
        <v>1</v>
      </c>
      <c r="K126" s="1">
        <v>1</v>
      </c>
      <c r="L126" s="3">
        <v>70.400000000000006</v>
      </c>
      <c r="M126" s="3" t="str">
        <f t="shared" si="10"/>
        <v>Sep</v>
      </c>
      <c r="N126" s="2">
        <v>42264.519618055558</v>
      </c>
      <c r="O126" s="1">
        <f t="shared" si="23"/>
        <v>17</v>
      </c>
      <c r="P126" s="1">
        <f t="shared" si="24"/>
        <v>5</v>
      </c>
      <c r="Q126" s="1">
        <f t="shared" si="25"/>
        <v>12</v>
      </c>
      <c r="S126"/>
      <c r="T126"/>
      <c r="U126"/>
    </row>
    <row r="127" spans="1:21" s="1" customFormat="1" x14ac:dyDescent="0.25">
      <c r="A127" s="1">
        <v>135</v>
      </c>
      <c r="B127" s="1" t="s">
        <v>210</v>
      </c>
      <c r="C127" s="1" t="s">
        <v>211</v>
      </c>
      <c r="D127" s="2">
        <v>42021.415752314817</v>
      </c>
      <c r="E127" s="2">
        <v>42021.41578703704</v>
      </c>
      <c r="F127" s="1">
        <v>1</v>
      </c>
      <c r="G127" s="1">
        <v>0</v>
      </c>
      <c r="H127" s="1">
        <v>4</v>
      </c>
      <c r="I127" s="1">
        <v>4</v>
      </c>
      <c r="J127" s="1">
        <v>1</v>
      </c>
      <c r="K127" s="1">
        <v>2</v>
      </c>
      <c r="L127" s="4">
        <v>18</v>
      </c>
      <c r="M127" s="3" t="str">
        <f t="shared" si="10"/>
        <v>Jan</v>
      </c>
      <c r="N127" s="2">
        <v>42021.417025462964</v>
      </c>
      <c r="O127" s="1">
        <f t="shared" si="23"/>
        <v>17</v>
      </c>
      <c r="P127" s="1">
        <f t="shared" si="24"/>
        <v>7</v>
      </c>
      <c r="Q127" s="1">
        <f t="shared" si="25"/>
        <v>10</v>
      </c>
      <c r="S127"/>
      <c r="T127"/>
      <c r="U127"/>
    </row>
    <row r="128" spans="1:21" s="1" customFormat="1" x14ac:dyDescent="0.25">
      <c r="A128" s="1">
        <v>136</v>
      </c>
      <c r="B128" s="1" t="s">
        <v>212</v>
      </c>
      <c r="C128" s="1" t="s">
        <v>213</v>
      </c>
      <c r="D128" s="2">
        <v>42255.536400462966</v>
      </c>
      <c r="E128" s="2">
        <v>42255.536516203705</v>
      </c>
      <c r="F128" s="1">
        <v>1</v>
      </c>
      <c r="G128" s="1">
        <v>2</v>
      </c>
      <c r="H128" s="1">
        <v>4</v>
      </c>
      <c r="I128" s="1">
        <v>2</v>
      </c>
      <c r="J128" s="1">
        <v>1</v>
      </c>
      <c r="K128" s="1">
        <v>1</v>
      </c>
      <c r="L128" s="3">
        <v>11</v>
      </c>
      <c r="M128" s="3" t="str">
        <f t="shared" si="10"/>
        <v>Sep</v>
      </c>
      <c r="N128" s="2">
        <v>42255.536400462966</v>
      </c>
      <c r="O128" s="1">
        <f t="shared" si="23"/>
        <v>8</v>
      </c>
      <c r="P128" s="1">
        <f t="shared" si="24"/>
        <v>3</v>
      </c>
      <c r="Q128" s="1">
        <f t="shared" si="25"/>
        <v>12</v>
      </c>
      <c r="S128"/>
      <c r="T128"/>
      <c r="U128"/>
    </row>
    <row r="129" spans="1:21" s="1" customFormat="1" x14ac:dyDescent="0.25">
      <c r="A129" s="1">
        <v>137</v>
      </c>
      <c r="B129" s="1" t="s">
        <v>85</v>
      </c>
      <c r="C129" s="1" t="s">
        <v>214</v>
      </c>
      <c r="D129" s="2">
        <v>42179.62877314815</v>
      </c>
      <c r="E129" s="2">
        <v>42179.628807870373</v>
      </c>
      <c r="F129" s="1">
        <v>1</v>
      </c>
      <c r="G129" s="1">
        <v>2</v>
      </c>
      <c r="H129" s="1">
        <v>10</v>
      </c>
      <c r="I129" s="1">
        <v>2</v>
      </c>
      <c r="J129" s="1">
        <v>1</v>
      </c>
      <c r="K129" s="1">
        <v>2</v>
      </c>
      <c r="L129" s="3">
        <v>13.5</v>
      </c>
      <c r="M129" s="3" t="str">
        <f t="shared" si="10"/>
        <v>Jun</v>
      </c>
      <c r="N129" s="2">
        <v>42179.62877314815</v>
      </c>
      <c r="O129" s="1">
        <f t="shared" si="23"/>
        <v>24</v>
      </c>
      <c r="P129" s="1">
        <f t="shared" si="24"/>
        <v>4</v>
      </c>
      <c r="Q129" s="1">
        <f t="shared" si="25"/>
        <v>15</v>
      </c>
      <c r="S129"/>
      <c r="T129"/>
      <c r="U129"/>
    </row>
    <row r="130" spans="1:21" s="1" customFormat="1" x14ac:dyDescent="0.25">
      <c r="A130" s="1">
        <v>138</v>
      </c>
      <c r="B130" s="1" t="s">
        <v>215</v>
      </c>
      <c r="C130" s="1" t="s">
        <v>216</v>
      </c>
      <c r="D130" s="2">
        <v>42235.840370370373</v>
      </c>
      <c r="E130" s="2">
        <v>42235.840405092589</v>
      </c>
      <c r="F130" s="1">
        <v>1</v>
      </c>
      <c r="G130" s="1">
        <v>0</v>
      </c>
      <c r="H130" s="1">
        <v>2</v>
      </c>
      <c r="I130" s="1">
        <v>2</v>
      </c>
      <c r="J130" s="1">
        <v>1</v>
      </c>
      <c r="K130" s="1">
        <v>1</v>
      </c>
      <c r="L130" s="3">
        <v>29.92</v>
      </c>
      <c r="M130" s="3" t="str">
        <f t="shared" si="10"/>
        <v>Aug</v>
      </c>
      <c r="N130" s="2">
        <v>42235.840381944443</v>
      </c>
      <c r="O130" s="1">
        <f t="shared" si="23"/>
        <v>19</v>
      </c>
      <c r="P130" s="1">
        <f t="shared" si="24"/>
        <v>4</v>
      </c>
      <c r="Q130" s="1">
        <f t="shared" si="25"/>
        <v>20</v>
      </c>
      <c r="S130"/>
      <c r="T130"/>
      <c r="U130"/>
    </row>
    <row r="131" spans="1:21" s="1" customFormat="1" x14ac:dyDescent="0.25">
      <c r="A131" s="1">
        <v>139</v>
      </c>
      <c r="B131" s="1" t="s">
        <v>134</v>
      </c>
      <c r="C131" s="1" t="s">
        <v>217</v>
      </c>
      <c r="D131" s="2">
        <v>42232.198101851849</v>
      </c>
      <c r="E131" s="2">
        <v>42232.031504629631</v>
      </c>
      <c r="F131" s="1">
        <v>1</v>
      </c>
      <c r="G131" s="1">
        <v>2</v>
      </c>
      <c r="H131" s="1">
        <v>8</v>
      </c>
      <c r="I131" s="1">
        <v>3</v>
      </c>
      <c r="J131" s="1">
        <v>1</v>
      </c>
      <c r="K131" s="1">
        <v>4</v>
      </c>
      <c r="L131" s="3">
        <v>36.799999999999997</v>
      </c>
      <c r="M131" s="3" t="str">
        <f t="shared" ref="M131:M194" si="26">TEXT(N131,"mmm")</f>
        <v>Aug</v>
      </c>
      <c r="N131" s="2">
        <v>42232.031446759262</v>
      </c>
      <c r="O131" s="1">
        <f t="shared" si="23"/>
        <v>16</v>
      </c>
      <c r="P131" s="1">
        <f t="shared" si="24"/>
        <v>1</v>
      </c>
      <c r="Q131" s="1">
        <f t="shared" si="25"/>
        <v>0</v>
      </c>
      <c r="S131"/>
      <c r="T131"/>
      <c r="U131"/>
    </row>
    <row r="132" spans="1:21" s="1" customFormat="1" x14ac:dyDescent="0.25">
      <c r="A132" s="1">
        <v>140</v>
      </c>
      <c r="B132" s="1" t="s">
        <v>103</v>
      </c>
      <c r="C132" s="1" t="s">
        <v>218</v>
      </c>
      <c r="D132" s="2">
        <v>42186.824999999997</v>
      </c>
      <c r="E132" s="2">
        <v>42186.658356481479</v>
      </c>
      <c r="F132" s="1">
        <v>1</v>
      </c>
      <c r="G132" s="1">
        <v>4</v>
      </c>
      <c r="H132" s="1">
        <v>4</v>
      </c>
      <c r="I132" s="1">
        <v>1</v>
      </c>
      <c r="J132" s="1">
        <v>1</v>
      </c>
      <c r="K132" s="1">
        <v>3</v>
      </c>
      <c r="L132" s="3">
        <v>52.8</v>
      </c>
      <c r="M132" s="3" t="str">
        <f t="shared" si="26"/>
        <v>Jul</v>
      </c>
      <c r="N132" s="2">
        <v>42186.661203703705</v>
      </c>
      <c r="O132" s="1">
        <f t="shared" si="23"/>
        <v>1</v>
      </c>
      <c r="P132" s="1">
        <f t="shared" si="24"/>
        <v>4</v>
      </c>
      <c r="Q132" s="1">
        <f t="shared" si="25"/>
        <v>15</v>
      </c>
      <c r="S132"/>
      <c r="T132"/>
      <c r="U132"/>
    </row>
    <row r="133" spans="1:21" s="1" customFormat="1" x14ac:dyDescent="0.25">
      <c r="A133" s="1">
        <v>141</v>
      </c>
      <c r="B133" s="1" t="s">
        <v>123</v>
      </c>
      <c r="C133" s="1" t="s">
        <v>219</v>
      </c>
      <c r="D133" s="2">
        <v>42139.555173611108</v>
      </c>
      <c r="E133" s="2">
        <v>42139.555243055554</v>
      </c>
      <c r="F133" s="1">
        <v>1</v>
      </c>
      <c r="G133" s="1">
        <v>9</v>
      </c>
      <c r="H133" s="1">
        <v>8</v>
      </c>
      <c r="I133" s="1">
        <v>2</v>
      </c>
      <c r="J133" s="1">
        <v>1</v>
      </c>
      <c r="K133" s="1">
        <v>4</v>
      </c>
      <c r="L133" s="4">
        <v>28.8</v>
      </c>
      <c r="M133" s="3" t="str">
        <f t="shared" si="26"/>
        <v>May</v>
      </c>
      <c r="N133" s="2">
        <v>42139.555219907408</v>
      </c>
      <c r="O133" s="1">
        <f t="shared" si="23"/>
        <v>15</v>
      </c>
      <c r="P133" s="1">
        <f t="shared" si="24"/>
        <v>6</v>
      </c>
      <c r="Q133" s="1">
        <f t="shared" si="25"/>
        <v>13</v>
      </c>
      <c r="S133"/>
      <c r="T133"/>
      <c r="U133"/>
    </row>
    <row r="134" spans="1:21" s="1" customFormat="1" x14ac:dyDescent="0.25">
      <c r="A134" s="1">
        <v>142</v>
      </c>
      <c r="B134" s="1" t="s">
        <v>195</v>
      </c>
      <c r="C134" s="1" t="s">
        <v>220</v>
      </c>
      <c r="D134" s="2">
        <v>42174.675763888888</v>
      </c>
      <c r="E134" s="2">
        <v>42174.675810185188</v>
      </c>
      <c r="F134" s="1">
        <v>1</v>
      </c>
      <c r="G134" s="1">
        <v>0</v>
      </c>
      <c r="H134" s="1">
        <v>2</v>
      </c>
      <c r="I134" s="1">
        <v>2</v>
      </c>
      <c r="J134" s="1">
        <v>1</v>
      </c>
      <c r="K134" s="1">
        <v>4</v>
      </c>
      <c r="L134" s="3">
        <v>28.8</v>
      </c>
      <c r="M134" s="3" t="str">
        <f t="shared" si="26"/>
        <v>Jun</v>
      </c>
      <c r="N134" s="2">
        <v>42174.675775462965</v>
      </c>
      <c r="O134" s="1">
        <f t="shared" si="23"/>
        <v>19</v>
      </c>
      <c r="P134" s="1">
        <f t="shared" si="24"/>
        <v>6</v>
      </c>
      <c r="Q134" s="1">
        <f t="shared" si="25"/>
        <v>16</v>
      </c>
      <c r="S134"/>
      <c r="T134"/>
      <c r="U134"/>
    </row>
    <row r="135" spans="1:21" s="1" customFormat="1" x14ac:dyDescent="0.25">
      <c r="A135" s="1">
        <v>143</v>
      </c>
      <c r="D135" s="2">
        <v>42031.400243055556</v>
      </c>
      <c r="E135" s="2">
        <v>42031.400335648148</v>
      </c>
      <c r="F135" s="1">
        <v>1</v>
      </c>
      <c r="G135" s="1">
        <v>0</v>
      </c>
      <c r="H135" s="1">
        <v>2</v>
      </c>
      <c r="I135" s="1">
        <v>3</v>
      </c>
      <c r="J135" s="1">
        <v>1</v>
      </c>
      <c r="K135" s="1">
        <v>1</v>
      </c>
      <c r="L135" s="4">
        <v>115.2</v>
      </c>
      <c r="M135" s="3" t="str">
        <f t="shared" si="26"/>
        <v>Jan</v>
      </c>
      <c r="N135" s="2">
        <v>42031.400300925925</v>
      </c>
      <c r="O135" s="1">
        <f t="shared" si="23"/>
        <v>27</v>
      </c>
      <c r="P135" s="1">
        <f t="shared" si="24"/>
        <v>3</v>
      </c>
      <c r="Q135" s="1">
        <f t="shared" si="25"/>
        <v>9</v>
      </c>
      <c r="S135"/>
      <c r="T135"/>
      <c r="U135"/>
    </row>
    <row r="136" spans="1:21" s="1" customFormat="1" x14ac:dyDescent="0.25">
      <c r="A136" s="1">
        <v>144</v>
      </c>
      <c r="D136" s="2">
        <v>42121.656944444447</v>
      </c>
      <c r="E136" s="2">
        <v>42121.65697916667</v>
      </c>
      <c r="F136" s="1">
        <v>1</v>
      </c>
      <c r="G136" s="1">
        <v>2</v>
      </c>
      <c r="H136" s="1">
        <v>1</v>
      </c>
      <c r="I136" s="1">
        <v>1</v>
      </c>
      <c r="J136" s="1">
        <v>1</v>
      </c>
      <c r="K136" s="1">
        <v>3</v>
      </c>
      <c r="L136" s="4">
        <v>27</v>
      </c>
      <c r="M136" s="3" t="str">
        <f t="shared" si="26"/>
        <v>Apr</v>
      </c>
      <c r="N136" s="2">
        <v>42121.694247685184</v>
      </c>
      <c r="O136" s="1">
        <f t="shared" si="23"/>
        <v>27</v>
      </c>
      <c r="P136" s="1">
        <f t="shared" si="24"/>
        <v>2</v>
      </c>
      <c r="Q136" s="1">
        <f t="shared" si="25"/>
        <v>16</v>
      </c>
      <c r="S136"/>
      <c r="T136"/>
      <c r="U136"/>
    </row>
    <row r="137" spans="1:21" s="1" customFormat="1" x14ac:dyDescent="0.25">
      <c r="A137" s="1">
        <v>145</v>
      </c>
      <c r="B137" s="1" t="s">
        <v>96</v>
      </c>
      <c r="C137" s="1" t="s">
        <v>221</v>
      </c>
      <c r="D137" s="2">
        <v>42142.642233796294</v>
      </c>
      <c r="E137" s="2">
        <v>42224.064270833333</v>
      </c>
      <c r="F137" s="1">
        <v>10</v>
      </c>
      <c r="G137" s="1">
        <v>1</v>
      </c>
      <c r="H137" s="1">
        <v>6</v>
      </c>
      <c r="I137" s="1">
        <v>6</v>
      </c>
      <c r="J137" s="1">
        <v>1</v>
      </c>
      <c r="K137" s="1">
        <v>4</v>
      </c>
      <c r="L137" s="3">
        <v>35.200000000000003</v>
      </c>
      <c r="M137" s="3" t="str">
        <f t="shared" si="26"/>
        <v>Aug</v>
      </c>
      <c r="N137" s="2">
        <v>42221.384108796294</v>
      </c>
      <c r="O137" s="1">
        <f t="shared" si="23"/>
        <v>5</v>
      </c>
      <c r="P137" s="1">
        <f t="shared" si="24"/>
        <v>4</v>
      </c>
      <c r="Q137" s="1">
        <f t="shared" si="25"/>
        <v>9</v>
      </c>
      <c r="S137"/>
      <c r="T137"/>
      <c r="U137"/>
    </row>
    <row r="138" spans="1:21" s="1" customFormat="1" x14ac:dyDescent="0.25">
      <c r="A138" s="1">
        <v>146</v>
      </c>
      <c r="B138" s="1" t="s">
        <v>100</v>
      </c>
      <c r="C138" s="1" t="s">
        <v>222</v>
      </c>
      <c r="D138" s="2">
        <v>42022.161747685182</v>
      </c>
      <c r="E138" s="2">
        <v>42029.628171296295</v>
      </c>
      <c r="F138" s="1">
        <v>3</v>
      </c>
      <c r="G138" s="1">
        <v>2</v>
      </c>
      <c r="H138" s="1">
        <v>8</v>
      </c>
      <c r="I138" s="1">
        <v>5</v>
      </c>
      <c r="J138" s="1">
        <v>1</v>
      </c>
      <c r="K138" s="1">
        <v>4</v>
      </c>
      <c r="L138" s="4">
        <v>28.8</v>
      </c>
      <c r="M138" s="3" t="str">
        <f t="shared" si="26"/>
        <v>Jan</v>
      </c>
      <c r="N138" s="2">
        <v>42022.161956018521</v>
      </c>
      <c r="O138" s="1">
        <f t="shared" si="23"/>
        <v>18</v>
      </c>
      <c r="P138" s="1">
        <f t="shared" si="24"/>
        <v>1</v>
      </c>
      <c r="Q138" s="1">
        <f t="shared" si="25"/>
        <v>3</v>
      </c>
      <c r="S138"/>
      <c r="T138"/>
      <c r="U138"/>
    </row>
    <row r="139" spans="1:21" s="1" customFormat="1" x14ac:dyDescent="0.25">
      <c r="A139" s="1">
        <v>147</v>
      </c>
      <c r="D139" s="2">
        <v>42105.55028935185</v>
      </c>
      <c r="E139" s="2">
        <v>42105.550358796296</v>
      </c>
      <c r="F139" s="1">
        <v>1</v>
      </c>
      <c r="G139" s="1">
        <v>2</v>
      </c>
      <c r="H139" s="1">
        <v>8</v>
      </c>
      <c r="I139" s="1">
        <v>3</v>
      </c>
      <c r="J139" s="1">
        <v>1</v>
      </c>
      <c r="K139" s="1">
        <v>8</v>
      </c>
      <c r="L139" s="4">
        <v>57.6</v>
      </c>
      <c r="M139" s="3" t="str">
        <f t="shared" si="26"/>
        <v>Apr</v>
      </c>
      <c r="N139" s="2">
        <v>42105.550300925926</v>
      </c>
      <c r="O139" s="1">
        <f t="shared" si="23"/>
        <v>11</v>
      </c>
      <c r="P139" s="1">
        <f t="shared" si="24"/>
        <v>7</v>
      </c>
      <c r="Q139" s="1">
        <f t="shared" si="25"/>
        <v>13</v>
      </c>
      <c r="S139"/>
      <c r="T139"/>
      <c r="U139"/>
    </row>
    <row r="140" spans="1:21" s="1" customFormat="1" x14ac:dyDescent="0.25">
      <c r="A140" s="1">
        <v>148</v>
      </c>
      <c r="B140" s="1" t="s">
        <v>123</v>
      </c>
      <c r="C140" s="1" t="s">
        <v>223</v>
      </c>
      <c r="D140" s="2">
        <v>42023.681388888886</v>
      </c>
      <c r="E140" s="2">
        <v>42023.681423611109</v>
      </c>
      <c r="F140" s="1">
        <v>1</v>
      </c>
      <c r="G140" s="1">
        <v>0</v>
      </c>
      <c r="H140" s="1">
        <v>2</v>
      </c>
      <c r="I140" s="1">
        <v>3</v>
      </c>
      <c r="J140" s="1">
        <v>1</v>
      </c>
      <c r="K140" s="1">
        <v>1</v>
      </c>
      <c r="L140" s="4">
        <v>36</v>
      </c>
      <c r="M140" s="3" t="str">
        <f t="shared" si="26"/>
        <v>Jan</v>
      </c>
      <c r="N140" s="2">
        <v>42023.681400462963</v>
      </c>
      <c r="O140" s="1">
        <f t="shared" si="23"/>
        <v>19</v>
      </c>
      <c r="P140" s="1">
        <f t="shared" si="24"/>
        <v>2</v>
      </c>
      <c r="Q140" s="1">
        <f t="shared" si="25"/>
        <v>16</v>
      </c>
      <c r="S140"/>
      <c r="T140"/>
      <c r="U140"/>
    </row>
    <row r="141" spans="1:21" s="1" customFormat="1" x14ac:dyDescent="0.25">
      <c r="A141" s="1">
        <v>149</v>
      </c>
      <c r="B141" s="1" t="s">
        <v>208</v>
      </c>
      <c r="C141" s="1" t="s">
        <v>224</v>
      </c>
      <c r="D141" s="2">
        <v>42174.731053240743</v>
      </c>
      <c r="E141" s="2">
        <v>42174.564444444448</v>
      </c>
      <c r="F141" s="1">
        <v>1</v>
      </c>
      <c r="G141" s="1">
        <v>2</v>
      </c>
      <c r="H141" s="1">
        <v>4</v>
      </c>
      <c r="I141" s="1">
        <v>2</v>
      </c>
      <c r="J141" s="1">
        <v>1</v>
      </c>
      <c r="K141" s="1">
        <v>2</v>
      </c>
      <c r="L141" s="3">
        <v>21</v>
      </c>
      <c r="M141" s="3" t="str">
        <f t="shared" si="26"/>
        <v>Jun</v>
      </c>
      <c r="N141" s="2">
        <v>42174.564398148148</v>
      </c>
      <c r="O141" s="1">
        <f t="shared" si="23"/>
        <v>19</v>
      </c>
      <c r="P141" s="1">
        <f t="shared" si="24"/>
        <v>6</v>
      </c>
      <c r="Q141" s="1">
        <f t="shared" si="25"/>
        <v>13</v>
      </c>
      <c r="S141"/>
      <c r="T141"/>
      <c r="U141"/>
    </row>
    <row r="142" spans="1:21" s="1" customFormat="1" x14ac:dyDescent="0.25">
      <c r="A142" s="1">
        <v>150</v>
      </c>
      <c r="B142" s="1" t="s">
        <v>78</v>
      </c>
      <c r="C142" s="1" t="s">
        <v>225</v>
      </c>
      <c r="D142" s="2">
        <v>42197.606759259259</v>
      </c>
      <c r="E142" s="2">
        <v>42197.440104166664</v>
      </c>
      <c r="F142" s="1">
        <v>1</v>
      </c>
      <c r="G142" s="1">
        <v>4</v>
      </c>
      <c r="H142" s="1">
        <v>10</v>
      </c>
      <c r="I142" s="1">
        <v>2</v>
      </c>
      <c r="J142" s="1">
        <v>1</v>
      </c>
      <c r="K142" s="1">
        <v>5</v>
      </c>
      <c r="L142" s="3">
        <v>36</v>
      </c>
      <c r="M142" s="3" t="str">
        <f t="shared" si="26"/>
        <v>Jul</v>
      </c>
      <c r="N142" s="2">
        <v>42197.442696759259</v>
      </c>
      <c r="O142" s="1">
        <f t="shared" si="23"/>
        <v>12</v>
      </c>
      <c r="P142" s="1">
        <f t="shared" si="24"/>
        <v>1</v>
      </c>
      <c r="Q142" s="1">
        <f t="shared" si="25"/>
        <v>10</v>
      </c>
      <c r="S142"/>
      <c r="T142"/>
      <c r="U142"/>
    </row>
    <row r="143" spans="1:21" s="1" customFormat="1" x14ac:dyDescent="0.25">
      <c r="A143" s="1">
        <v>151</v>
      </c>
      <c r="B143" s="1" t="s">
        <v>134</v>
      </c>
      <c r="C143" s="1" t="s">
        <v>226</v>
      </c>
      <c r="D143" s="2">
        <v>42059.058761574073</v>
      </c>
      <c r="E143" s="2">
        <v>42059.062245370369</v>
      </c>
      <c r="F143" s="1">
        <v>3</v>
      </c>
      <c r="G143" s="1">
        <v>2</v>
      </c>
      <c r="H143" s="1">
        <v>10</v>
      </c>
      <c r="I143" s="1">
        <v>1</v>
      </c>
      <c r="J143" s="1">
        <v>1</v>
      </c>
      <c r="K143" s="1">
        <v>4</v>
      </c>
      <c r="L143" s="4">
        <v>28.8</v>
      </c>
      <c r="M143" s="3" t="str">
        <f t="shared" si="26"/>
        <v>Feb</v>
      </c>
      <c r="N143" s="2">
        <v>42059.05877314815</v>
      </c>
      <c r="O143" s="1">
        <f t="shared" si="23"/>
        <v>24</v>
      </c>
      <c r="P143" s="1">
        <f t="shared" si="24"/>
        <v>3</v>
      </c>
      <c r="Q143" s="1">
        <f t="shared" si="25"/>
        <v>1</v>
      </c>
      <c r="S143"/>
      <c r="T143"/>
      <c r="U143"/>
    </row>
    <row r="144" spans="1:21" s="1" customFormat="1" x14ac:dyDescent="0.25">
      <c r="A144" s="1">
        <v>152</v>
      </c>
      <c r="B144" s="1" t="s">
        <v>123</v>
      </c>
      <c r="C144" s="1" t="s">
        <v>227</v>
      </c>
      <c r="D144" s="2">
        <v>42234.808796296296</v>
      </c>
      <c r="E144" s="2">
        <v>42234.808831018519</v>
      </c>
      <c r="F144" s="1">
        <v>1</v>
      </c>
      <c r="G144" s="1">
        <v>4</v>
      </c>
      <c r="H144" s="1">
        <v>8</v>
      </c>
      <c r="I144" s="1">
        <v>4</v>
      </c>
      <c r="J144" s="1">
        <v>1</v>
      </c>
      <c r="K144" s="1">
        <v>2</v>
      </c>
      <c r="L144" s="3">
        <v>17.600000000000001</v>
      </c>
      <c r="M144" s="3" t="str">
        <f t="shared" si="26"/>
        <v>Aug</v>
      </c>
      <c r="N144" s="2">
        <v>42234.808807870373</v>
      </c>
      <c r="O144" s="1">
        <f t="shared" si="23"/>
        <v>18</v>
      </c>
      <c r="P144" s="1">
        <f t="shared" si="24"/>
        <v>3</v>
      </c>
      <c r="Q144" s="1">
        <f t="shared" si="25"/>
        <v>19</v>
      </c>
      <c r="S144"/>
      <c r="T144"/>
      <c r="U144"/>
    </row>
    <row r="145" spans="1:21" s="1" customFormat="1" x14ac:dyDescent="0.25">
      <c r="A145" s="1">
        <v>153</v>
      </c>
      <c r="B145" s="1" t="s">
        <v>228</v>
      </c>
      <c r="C145" s="1" t="s">
        <v>229</v>
      </c>
      <c r="D145" s="2">
        <v>42027.489016203705</v>
      </c>
      <c r="E145" s="2">
        <v>42027.489062499997</v>
      </c>
      <c r="F145" s="1">
        <v>1</v>
      </c>
      <c r="G145" s="1">
        <v>0</v>
      </c>
      <c r="H145" s="1">
        <v>4</v>
      </c>
      <c r="I145" s="1">
        <v>2</v>
      </c>
      <c r="J145" s="1">
        <v>1</v>
      </c>
      <c r="K145" s="1">
        <v>1</v>
      </c>
      <c r="L145" s="4">
        <v>28.8</v>
      </c>
      <c r="M145" s="3" t="str">
        <f t="shared" si="26"/>
        <v>Jan</v>
      </c>
      <c r="N145" s="2">
        <v>42027.489039351851</v>
      </c>
      <c r="O145" s="1">
        <f t="shared" si="23"/>
        <v>23</v>
      </c>
      <c r="P145" s="1">
        <f t="shared" si="24"/>
        <v>6</v>
      </c>
      <c r="Q145" s="1">
        <f t="shared" si="25"/>
        <v>11</v>
      </c>
      <c r="S145"/>
      <c r="T145"/>
      <c r="U145"/>
    </row>
    <row r="146" spans="1:21" s="1" customFormat="1" x14ac:dyDescent="0.25">
      <c r="A146" s="1">
        <v>154</v>
      </c>
      <c r="B146" s="1" t="s">
        <v>100</v>
      </c>
      <c r="C146" s="1" t="s">
        <v>230</v>
      </c>
      <c r="D146" s="2">
        <v>42155.646967592591</v>
      </c>
      <c r="E146" s="2">
        <v>42155.647002314814</v>
      </c>
      <c r="F146" s="1">
        <v>1</v>
      </c>
      <c r="G146" s="1">
        <v>2</v>
      </c>
      <c r="H146" s="1">
        <v>2</v>
      </c>
      <c r="I146" s="1">
        <v>2</v>
      </c>
      <c r="J146" s="1">
        <v>1</v>
      </c>
      <c r="K146" s="1">
        <v>4</v>
      </c>
      <c r="L146" s="3">
        <v>28.8</v>
      </c>
      <c r="M146" s="3" t="str">
        <f t="shared" si="26"/>
        <v>May</v>
      </c>
      <c r="N146" s="2">
        <v>42155.646967592591</v>
      </c>
      <c r="O146" s="1">
        <f t="shared" si="23"/>
        <v>31</v>
      </c>
      <c r="P146" s="1">
        <f t="shared" si="24"/>
        <v>1</v>
      </c>
      <c r="Q146" s="1">
        <f t="shared" si="25"/>
        <v>15</v>
      </c>
      <c r="S146"/>
      <c r="T146"/>
      <c r="U146"/>
    </row>
    <row r="147" spans="1:21" s="1" customFormat="1" x14ac:dyDescent="0.25">
      <c r="A147" s="1">
        <v>155</v>
      </c>
      <c r="B147" s="1" t="s">
        <v>85</v>
      </c>
      <c r="C147" s="1" t="s">
        <v>231</v>
      </c>
      <c r="D147" s="2">
        <v>42190.564791666664</v>
      </c>
      <c r="E147" s="2">
        <v>42190.398194444446</v>
      </c>
      <c r="F147" s="1">
        <v>1</v>
      </c>
      <c r="G147" s="1">
        <v>11</v>
      </c>
      <c r="H147" s="1">
        <v>8</v>
      </c>
      <c r="I147" s="1">
        <v>4</v>
      </c>
      <c r="J147" s="1">
        <v>1</v>
      </c>
      <c r="K147" s="1">
        <v>4</v>
      </c>
      <c r="L147" s="3">
        <v>33.6</v>
      </c>
      <c r="M147" s="3" t="str">
        <f t="shared" si="26"/>
        <v>Jul</v>
      </c>
      <c r="N147" s="2">
        <v>42190.398136574076</v>
      </c>
      <c r="O147" s="1">
        <f t="shared" si="23"/>
        <v>5</v>
      </c>
      <c r="P147" s="1">
        <f t="shared" si="24"/>
        <v>1</v>
      </c>
      <c r="Q147" s="1">
        <f t="shared" si="25"/>
        <v>9</v>
      </c>
      <c r="S147"/>
      <c r="T147"/>
      <c r="U147"/>
    </row>
    <row r="148" spans="1:21" s="1" customFormat="1" x14ac:dyDescent="0.25">
      <c r="A148" s="1">
        <v>156</v>
      </c>
      <c r="B148" s="1" t="s">
        <v>94</v>
      </c>
      <c r="C148" s="1" t="s">
        <v>232</v>
      </c>
      <c r="D148" s="2">
        <v>42198.317766203705</v>
      </c>
      <c r="E148" s="2">
        <v>42198.317824074074</v>
      </c>
      <c r="F148" s="1">
        <v>1</v>
      </c>
      <c r="G148" s="1">
        <v>4</v>
      </c>
      <c r="H148" s="1">
        <v>2</v>
      </c>
      <c r="I148" s="1">
        <v>4</v>
      </c>
      <c r="J148" s="1">
        <v>1</v>
      </c>
      <c r="K148" s="1">
        <v>1</v>
      </c>
      <c r="L148" s="3">
        <v>57.6</v>
      </c>
      <c r="M148" s="3" t="str">
        <f t="shared" si="26"/>
        <v>Jul</v>
      </c>
      <c r="N148" s="2">
        <v>42198.317777777775</v>
      </c>
      <c r="O148" s="1">
        <f t="shared" si="23"/>
        <v>13</v>
      </c>
      <c r="P148" s="1">
        <f t="shared" si="24"/>
        <v>2</v>
      </c>
      <c r="Q148" s="1">
        <f t="shared" si="25"/>
        <v>7</v>
      </c>
      <c r="S148"/>
      <c r="T148"/>
      <c r="U148"/>
    </row>
    <row r="149" spans="1:21" s="1" customFormat="1" x14ac:dyDescent="0.25">
      <c r="A149" s="1">
        <v>157</v>
      </c>
      <c r="B149" s="1" t="s">
        <v>100</v>
      </c>
      <c r="C149" s="1" t="s">
        <v>233</v>
      </c>
      <c r="D149" s="2">
        <v>42161.876157407409</v>
      </c>
      <c r="E149" s="2">
        <v>42161.709560185183</v>
      </c>
      <c r="F149" s="1">
        <v>1</v>
      </c>
      <c r="G149" s="1">
        <v>2</v>
      </c>
      <c r="H149" s="1">
        <v>2</v>
      </c>
      <c r="I149" s="1">
        <v>2</v>
      </c>
      <c r="J149" s="1">
        <v>1</v>
      </c>
      <c r="K149" s="1">
        <v>1</v>
      </c>
      <c r="L149" s="3">
        <v>28.8</v>
      </c>
      <c r="M149" s="3" t="str">
        <f t="shared" si="26"/>
        <v>Jun</v>
      </c>
      <c r="N149" s="2">
        <v>42161.709513888891</v>
      </c>
      <c r="O149" s="1">
        <f t="shared" si="23"/>
        <v>6</v>
      </c>
      <c r="P149" s="1">
        <f t="shared" si="24"/>
        <v>7</v>
      </c>
      <c r="Q149" s="1">
        <f t="shared" si="25"/>
        <v>17</v>
      </c>
      <c r="S149"/>
      <c r="T149"/>
      <c r="U149"/>
    </row>
    <row r="150" spans="1:21" s="1" customFormat="1" x14ac:dyDescent="0.25">
      <c r="A150" s="1">
        <v>158</v>
      </c>
      <c r="D150" s="2">
        <v>42233.004641203705</v>
      </c>
      <c r="E150" s="2">
        <v>42232.837997685187</v>
      </c>
      <c r="F150" s="1">
        <v>1</v>
      </c>
      <c r="G150" s="1">
        <v>0</v>
      </c>
      <c r="H150" s="1">
        <v>2</v>
      </c>
      <c r="I150" s="1">
        <v>4</v>
      </c>
      <c r="J150" s="1">
        <v>1</v>
      </c>
      <c r="K150" s="1">
        <v>2</v>
      </c>
      <c r="L150" s="3">
        <v>59.84</v>
      </c>
      <c r="M150" s="3" t="str">
        <f t="shared" si="26"/>
        <v>Aug</v>
      </c>
      <c r="N150" s="2">
        <v>42232.845405092594</v>
      </c>
      <c r="O150" s="1">
        <f t="shared" si="23"/>
        <v>16</v>
      </c>
      <c r="P150" s="1">
        <f t="shared" si="24"/>
        <v>1</v>
      </c>
      <c r="Q150" s="1">
        <f t="shared" si="25"/>
        <v>20</v>
      </c>
      <c r="S150"/>
      <c r="T150"/>
      <c r="U150"/>
    </row>
    <row r="151" spans="1:21" s="1" customFormat="1" x14ac:dyDescent="0.25">
      <c r="A151" s="1">
        <v>159</v>
      </c>
      <c r="B151" s="1" t="s">
        <v>234</v>
      </c>
      <c r="C151" s="1" t="s">
        <v>235</v>
      </c>
      <c r="D151" s="2">
        <v>42008.816817129627</v>
      </c>
      <c r="E151" s="2">
        <v>42008.816874999997</v>
      </c>
      <c r="F151" s="1">
        <v>1</v>
      </c>
      <c r="G151" s="1">
        <v>1</v>
      </c>
      <c r="H151" s="1">
        <v>4</v>
      </c>
      <c r="I151" s="1">
        <v>2</v>
      </c>
      <c r="J151" s="1">
        <v>1</v>
      </c>
      <c r="K151" s="1">
        <v>2</v>
      </c>
      <c r="L151" s="4">
        <v>9</v>
      </c>
      <c r="M151" s="3" t="str">
        <f t="shared" si="26"/>
        <v>Jan</v>
      </c>
      <c r="N151" s="2">
        <v>42008.816828703704</v>
      </c>
      <c r="O151" s="1">
        <f t="shared" si="23"/>
        <v>4</v>
      </c>
      <c r="P151" s="1">
        <f t="shared" si="24"/>
        <v>1</v>
      </c>
      <c r="Q151" s="1">
        <f t="shared" si="25"/>
        <v>19</v>
      </c>
      <c r="S151"/>
      <c r="T151"/>
      <c r="U151"/>
    </row>
    <row r="152" spans="1:21" s="1" customFormat="1" x14ac:dyDescent="0.25">
      <c r="A152" s="1">
        <v>162</v>
      </c>
      <c r="B152" s="1" t="s">
        <v>94</v>
      </c>
      <c r="C152" s="1" t="s">
        <v>189</v>
      </c>
      <c r="D152" s="2">
        <v>42113.005532407406</v>
      </c>
      <c r="E152" s="2">
        <v>42113.005613425928</v>
      </c>
      <c r="F152" s="1">
        <v>1</v>
      </c>
      <c r="G152" s="1">
        <v>4</v>
      </c>
      <c r="H152" s="1">
        <v>2</v>
      </c>
      <c r="I152" s="1">
        <v>1</v>
      </c>
      <c r="J152" s="1">
        <v>1</v>
      </c>
      <c r="K152" s="1">
        <v>1</v>
      </c>
      <c r="L152" s="4">
        <v>9</v>
      </c>
      <c r="M152" s="3" t="str">
        <f t="shared" si="26"/>
        <v>Apr</v>
      </c>
      <c r="N152" s="2">
        <v>42113.005532407406</v>
      </c>
      <c r="O152" s="1">
        <f t="shared" ref="O152:O188" si="27">DAY(N152)</f>
        <v>19</v>
      </c>
      <c r="P152" s="1">
        <f t="shared" ref="P152:P188" si="28">WEEKDAY(N152,1)</f>
        <v>1</v>
      </c>
      <c r="Q152" s="1">
        <f t="shared" ref="Q152:Q188" si="29">HOUR(N152)</f>
        <v>0</v>
      </c>
      <c r="S152"/>
      <c r="T152"/>
      <c r="U152"/>
    </row>
    <row r="153" spans="1:21" s="1" customFormat="1" x14ac:dyDescent="0.25">
      <c r="A153" s="1">
        <v>163</v>
      </c>
      <c r="B153" s="1" t="s">
        <v>112</v>
      </c>
      <c r="C153" s="1" t="s">
        <v>236</v>
      </c>
      <c r="D153" s="2">
        <v>42034.377083333333</v>
      </c>
      <c r="E153" s="2">
        <v>42034.377118055556</v>
      </c>
      <c r="F153" s="1">
        <v>1</v>
      </c>
      <c r="G153" s="1">
        <v>6</v>
      </c>
      <c r="H153" s="1">
        <v>4</v>
      </c>
      <c r="I153" s="1">
        <v>1</v>
      </c>
      <c r="J153" s="1">
        <v>1</v>
      </c>
      <c r="K153" s="1">
        <v>4</v>
      </c>
      <c r="L153" s="4">
        <v>28.8</v>
      </c>
      <c r="M153" s="3" t="str">
        <f t="shared" si="26"/>
        <v>Jan</v>
      </c>
      <c r="N153" s="2">
        <v>42034.385844907411</v>
      </c>
      <c r="O153" s="1">
        <f t="shared" si="27"/>
        <v>30</v>
      </c>
      <c r="P153" s="1">
        <f t="shared" si="28"/>
        <v>6</v>
      </c>
      <c r="Q153" s="1">
        <f t="shared" si="29"/>
        <v>9</v>
      </c>
      <c r="S153"/>
      <c r="T153"/>
      <c r="U153"/>
    </row>
    <row r="154" spans="1:21" s="1" customFormat="1" x14ac:dyDescent="0.25">
      <c r="A154" s="1">
        <v>164</v>
      </c>
      <c r="B154" s="1" t="s">
        <v>137</v>
      </c>
      <c r="C154" s="1" t="s">
        <v>237</v>
      </c>
      <c r="D154" s="2">
        <v>42125.575624999998</v>
      </c>
      <c r="E154" s="2">
        <v>42125.575682870367</v>
      </c>
      <c r="F154" s="1">
        <v>1</v>
      </c>
      <c r="G154" s="1">
        <v>2</v>
      </c>
      <c r="H154" s="1">
        <v>2</v>
      </c>
      <c r="I154" s="1">
        <v>1</v>
      </c>
      <c r="J154" s="1">
        <v>1</v>
      </c>
      <c r="K154" s="1">
        <v>4</v>
      </c>
      <c r="L154" s="4">
        <v>23.04</v>
      </c>
      <c r="M154" s="3" t="str">
        <f t="shared" si="26"/>
        <v>May</v>
      </c>
      <c r="N154" s="2">
        <v>42125.575636574074</v>
      </c>
      <c r="O154" s="1">
        <f t="shared" si="27"/>
        <v>1</v>
      </c>
      <c r="P154" s="1">
        <f t="shared" si="28"/>
        <v>6</v>
      </c>
      <c r="Q154" s="1">
        <f t="shared" si="29"/>
        <v>13</v>
      </c>
      <c r="S154"/>
      <c r="T154"/>
      <c r="U154"/>
    </row>
    <row r="155" spans="1:21" s="1" customFormat="1" x14ac:dyDescent="0.25">
      <c r="A155" s="1">
        <v>165</v>
      </c>
      <c r="B155" s="1" t="s">
        <v>85</v>
      </c>
      <c r="C155" s="1" t="s">
        <v>238</v>
      </c>
      <c r="D155" s="2">
        <v>42142.969004629631</v>
      </c>
      <c r="E155" s="2">
        <v>42142.969039351854</v>
      </c>
      <c r="F155" s="1">
        <v>1</v>
      </c>
      <c r="G155" s="1">
        <v>4</v>
      </c>
      <c r="H155" s="1">
        <v>4</v>
      </c>
      <c r="I155" s="1">
        <v>2</v>
      </c>
      <c r="J155" s="1">
        <v>1</v>
      </c>
      <c r="K155" s="1">
        <v>2</v>
      </c>
      <c r="L155" s="4">
        <v>18</v>
      </c>
      <c r="M155" s="3" t="str">
        <f t="shared" si="26"/>
        <v>May</v>
      </c>
      <c r="N155" s="2">
        <v>42142.9690162037</v>
      </c>
      <c r="O155" s="1">
        <f t="shared" si="27"/>
        <v>18</v>
      </c>
      <c r="P155" s="1">
        <f t="shared" si="28"/>
        <v>2</v>
      </c>
      <c r="Q155" s="1">
        <f t="shared" si="29"/>
        <v>23</v>
      </c>
      <c r="S155"/>
      <c r="T155"/>
      <c r="U155"/>
    </row>
    <row r="156" spans="1:21" s="1" customFormat="1" x14ac:dyDescent="0.25">
      <c r="A156" s="1">
        <v>166</v>
      </c>
      <c r="D156" s="2">
        <v>42086.791956018518</v>
      </c>
      <c r="E156" s="2">
        <v>42086.792013888888</v>
      </c>
      <c r="F156" s="1">
        <v>1</v>
      </c>
      <c r="G156" s="1">
        <v>0</v>
      </c>
      <c r="H156" s="1">
        <v>20</v>
      </c>
      <c r="I156" s="1">
        <v>2</v>
      </c>
      <c r="J156" s="1">
        <v>1</v>
      </c>
      <c r="K156" s="1">
        <v>8</v>
      </c>
      <c r="L156" s="4">
        <v>57.6</v>
      </c>
      <c r="M156" s="3" t="str">
        <f t="shared" si="26"/>
        <v>Mar</v>
      </c>
      <c r="N156" s="2">
        <v>42086.791967592595</v>
      </c>
      <c r="O156" s="1">
        <f t="shared" si="27"/>
        <v>23</v>
      </c>
      <c r="P156" s="1">
        <f t="shared" si="28"/>
        <v>2</v>
      </c>
      <c r="Q156" s="1">
        <f t="shared" si="29"/>
        <v>19</v>
      </c>
      <c r="S156"/>
      <c r="T156"/>
      <c r="U156"/>
    </row>
    <row r="157" spans="1:21" s="1" customFormat="1" x14ac:dyDescent="0.25">
      <c r="A157" s="1">
        <v>167</v>
      </c>
      <c r="B157" s="1" t="s">
        <v>239</v>
      </c>
      <c r="C157" s="1" t="s">
        <v>240</v>
      </c>
      <c r="D157" s="2">
        <v>42054.430127314816</v>
      </c>
      <c r="E157" s="2">
        <v>42064.499247685184</v>
      </c>
      <c r="F157" s="1">
        <v>8</v>
      </c>
      <c r="G157" s="1">
        <v>0</v>
      </c>
      <c r="H157" s="1">
        <v>9</v>
      </c>
      <c r="I157" s="1">
        <v>16</v>
      </c>
      <c r="J157" s="1">
        <v>1</v>
      </c>
      <c r="K157" s="1">
        <v>2</v>
      </c>
      <c r="L157" s="4">
        <v>9</v>
      </c>
      <c r="M157" s="3" t="str">
        <f t="shared" si="26"/>
        <v>Feb</v>
      </c>
      <c r="N157" s="2">
        <v>42054.578611111108</v>
      </c>
      <c r="O157" s="1">
        <f t="shared" si="27"/>
        <v>19</v>
      </c>
      <c r="P157" s="1">
        <f t="shared" si="28"/>
        <v>5</v>
      </c>
      <c r="Q157" s="1">
        <f t="shared" si="29"/>
        <v>13</v>
      </c>
      <c r="S157"/>
      <c r="T157"/>
      <c r="U157"/>
    </row>
    <row r="158" spans="1:21" s="1" customFormat="1" x14ac:dyDescent="0.25">
      <c r="A158" s="1">
        <v>168</v>
      </c>
      <c r="B158" s="1" t="s">
        <v>116</v>
      </c>
      <c r="C158" s="1" t="s">
        <v>241</v>
      </c>
      <c r="D158" s="2">
        <v>42186.805196759262</v>
      </c>
      <c r="E158" s="2">
        <v>42186.638553240744</v>
      </c>
      <c r="F158" s="1">
        <v>1</v>
      </c>
      <c r="G158" s="1">
        <v>2</v>
      </c>
      <c r="H158" s="1">
        <v>12</v>
      </c>
      <c r="I158" s="1">
        <v>5</v>
      </c>
      <c r="J158" s="1">
        <v>1</v>
      </c>
      <c r="K158" s="1">
        <v>3</v>
      </c>
      <c r="L158" s="3">
        <v>18</v>
      </c>
      <c r="M158" s="3" t="str">
        <f t="shared" si="26"/>
        <v>Jul</v>
      </c>
      <c r="N158" s="2">
        <v>42186.643321759257</v>
      </c>
      <c r="O158" s="1">
        <f t="shared" si="27"/>
        <v>1</v>
      </c>
      <c r="P158" s="1">
        <f t="shared" si="28"/>
        <v>4</v>
      </c>
      <c r="Q158" s="1">
        <f t="shared" si="29"/>
        <v>15</v>
      </c>
      <c r="S158"/>
      <c r="T158"/>
      <c r="U158"/>
    </row>
    <row r="159" spans="1:21" s="1" customFormat="1" x14ac:dyDescent="0.25">
      <c r="A159" s="1">
        <v>169</v>
      </c>
      <c r="B159" s="1" t="s">
        <v>96</v>
      </c>
      <c r="C159" s="1" t="s">
        <v>242</v>
      </c>
      <c r="D159" s="2">
        <v>42174.651550925926</v>
      </c>
      <c r="E159" s="2">
        <v>42174.484942129631</v>
      </c>
      <c r="F159" s="1">
        <v>1</v>
      </c>
      <c r="G159" s="1">
        <v>2</v>
      </c>
      <c r="H159" s="1">
        <v>4</v>
      </c>
      <c r="I159" s="1">
        <v>2</v>
      </c>
      <c r="J159" s="1">
        <v>1</v>
      </c>
      <c r="K159" s="1">
        <v>4</v>
      </c>
      <c r="L159" s="3">
        <v>28.8</v>
      </c>
      <c r="M159" s="3" t="str">
        <f t="shared" si="26"/>
        <v>Jun</v>
      </c>
      <c r="N159" s="2">
        <v>42174.484907407408</v>
      </c>
      <c r="O159" s="1">
        <f t="shared" si="27"/>
        <v>19</v>
      </c>
      <c r="P159" s="1">
        <f t="shared" si="28"/>
        <v>6</v>
      </c>
      <c r="Q159" s="1">
        <f t="shared" si="29"/>
        <v>11</v>
      </c>
      <c r="S159"/>
      <c r="T159"/>
      <c r="U159"/>
    </row>
    <row r="160" spans="1:21" s="1" customFormat="1" x14ac:dyDescent="0.25">
      <c r="A160" s="1">
        <v>170</v>
      </c>
      <c r="B160" s="1" t="s">
        <v>123</v>
      </c>
      <c r="C160" s="1" t="s">
        <v>243</v>
      </c>
      <c r="D160" s="2">
        <v>42247.616666666669</v>
      </c>
      <c r="E160" s="2">
        <v>42247.450046296297</v>
      </c>
      <c r="F160" s="1">
        <v>1</v>
      </c>
      <c r="G160" s="1">
        <v>12</v>
      </c>
      <c r="H160" s="1">
        <v>8</v>
      </c>
      <c r="I160" s="1">
        <v>3</v>
      </c>
      <c r="J160" s="1">
        <v>1</v>
      </c>
      <c r="K160" s="1">
        <v>3</v>
      </c>
      <c r="L160" s="3">
        <v>27</v>
      </c>
      <c r="M160" s="3" t="str">
        <f t="shared" si="26"/>
        <v>Aug</v>
      </c>
      <c r="N160" s="2">
        <v>42247.450011574074</v>
      </c>
      <c r="O160" s="1">
        <f t="shared" si="27"/>
        <v>31</v>
      </c>
      <c r="P160" s="1">
        <f t="shared" si="28"/>
        <v>2</v>
      </c>
      <c r="Q160" s="1">
        <f t="shared" si="29"/>
        <v>10</v>
      </c>
      <c r="S160"/>
      <c r="T160"/>
      <c r="U160"/>
    </row>
    <row r="161" spans="1:21" s="1" customFormat="1" x14ac:dyDescent="0.25">
      <c r="A161" s="1">
        <v>171</v>
      </c>
      <c r="B161" s="1" t="s">
        <v>83</v>
      </c>
      <c r="C161" s="1" t="s">
        <v>244</v>
      </c>
      <c r="D161" s="2">
        <v>42050.358611111114</v>
      </c>
      <c r="E161" s="2">
        <v>42050.358668981484</v>
      </c>
      <c r="F161" s="1">
        <v>1</v>
      </c>
      <c r="G161" s="1">
        <v>2</v>
      </c>
      <c r="H161" s="1">
        <v>6</v>
      </c>
      <c r="I161" s="1">
        <v>1</v>
      </c>
      <c r="J161" s="1">
        <v>1</v>
      </c>
      <c r="K161" s="1">
        <v>3</v>
      </c>
      <c r="L161" s="4">
        <v>18</v>
      </c>
      <c r="M161" s="3" t="str">
        <f t="shared" si="26"/>
        <v>Feb</v>
      </c>
      <c r="N161" s="2">
        <v>42050.358634259261</v>
      </c>
      <c r="O161" s="1">
        <f t="shared" si="27"/>
        <v>15</v>
      </c>
      <c r="P161" s="1">
        <f t="shared" si="28"/>
        <v>1</v>
      </c>
      <c r="Q161" s="1">
        <f t="shared" si="29"/>
        <v>8</v>
      </c>
      <c r="S161"/>
      <c r="T161"/>
      <c r="U161"/>
    </row>
    <row r="162" spans="1:21" s="1" customFormat="1" x14ac:dyDescent="0.25">
      <c r="A162" s="1">
        <v>172</v>
      </c>
      <c r="B162" s="1" t="s">
        <v>245</v>
      </c>
      <c r="C162" s="1" t="s">
        <v>246</v>
      </c>
      <c r="D162" s="2">
        <v>42026.668333333335</v>
      </c>
      <c r="E162" s="2">
        <v>42026.668379629627</v>
      </c>
      <c r="F162" s="1">
        <v>1</v>
      </c>
      <c r="G162" s="1">
        <v>0</v>
      </c>
      <c r="H162" s="1">
        <v>2</v>
      </c>
      <c r="I162" s="1">
        <v>2</v>
      </c>
      <c r="J162" s="1">
        <v>1</v>
      </c>
      <c r="K162" s="1">
        <v>1</v>
      </c>
      <c r="L162" s="4">
        <v>28.8</v>
      </c>
      <c r="M162" s="3" t="str">
        <f t="shared" si="26"/>
        <v>Jan</v>
      </c>
      <c r="N162" s="2">
        <v>42026.668356481481</v>
      </c>
      <c r="O162" s="1">
        <f t="shared" si="27"/>
        <v>22</v>
      </c>
      <c r="P162" s="1">
        <f t="shared" si="28"/>
        <v>5</v>
      </c>
      <c r="Q162" s="1">
        <f t="shared" si="29"/>
        <v>16</v>
      </c>
      <c r="S162"/>
      <c r="T162"/>
      <c r="U162"/>
    </row>
    <row r="163" spans="1:21" s="1" customFormat="1" x14ac:dyDescent="0.25">
      <c r="A163" s="1">
        <v>173</v>
      </c>
      <c r="B163" s="1" t="s">
        <v>76</v>
      </c>
      <c r="C163" s="1" t="s">
        <v>247</v>
      </c>
      <c r="D163" s="2">
        <v>42152.377743055556</v>
      </c>
      <c r="E163" s="2">
        <v>42152.37777777778</v>
      </c>
      <c r="F163" s="1">
        <v>1</v>
      </c>
      <c r="G163" s="1">
        <v>0</v>
      </c>
      <c r="H163" s="1">
        <v>2</v>
      </c>
      <c r="I163" s="1">
        <v>2</v>
      </c>
      <c r="J163" s="1">
        <v>1</v>
      </c>
      <c r="K163" s="1">
        <v>1</v>
      </c>
      <c r="L163" s="3">
        <v>36</v>
      </c>
      <c r="M163" s="3" t="str">
        <f t="shared" si="26"/>
        <v>May</v>
      </c>
      <c r="N163" s="2">
        <v>42152.377743055556</v>
      </c>
      <c r="O163" s="1">
        <f t="shared" si="27"/>
        <v>28</v>
      </c>
      <c r="P163" s="1">
        <f t="shared" si="28"/>
        <v>5</v>
      </c>
      <c r="Q163" s="1">
        <f t="shared" si="29"/>
        <v>9</v>
      </c>
      <c r="S163"/>
      <c r="T163"/>
      <c r="U163"/>
    </row>
    <row r="164" spans="1:21" s="1" customFormat="1" x14ac:dyDescent="0.25">
      <c r="A164" s="1">
        <v>174</v>
      </c>
      <c r="B164" s="1" t="s">
        <v>96</v>
      </c>
      <c r="C164" s="1" t="s">
        <v>248</v>
      </c>
      <c r="D164" s="2">
        <v>42157.363530092596</v>
      </c>
      <c r="E164" s="2">
        <v>42157.363587962966</v>
      </c>
      <c r="F164" s="1">
        <v>1</v>
      </c>
      <c r="G164" s="1">
        <v>14</v>
      </c>
      <c r="H164" s="1">
        <v>18</v>
      </c>
      <c r="I164" s="1">
        <v>5</v>
      </c>
      <c r="J164" s="1">
        <v>1</v>
      </c>
      <c r="K164" s="1">
        <v>4</v>
      </c>
      <c r="L164" s="3">
        <v>28.8</v>
      </c>
      <c r="M164" s="3" t="str">
        <f t="shared" si="26"/>
        <v>Jun</v>
      </c>
      <c r="N164" s="2">
        <v>42157.363553240742</v>
      </c>
      <c r="O164" s="1">
        <f t="shared" si="27"/>
        <v>2</v>
      </c>
      <c r="P164" s="1">
        <f t="shared" si="28"/>
        <v>3</v>
      </c>
      <c r="Q164" s="1">
        <f t="shared" si="29"/>
        <v>8</v>
      </c>
      <c r="S164"/>
      <c r="T164"/>
      <c r="U164"/>
    </row>
    <row r="165" spans="1:21" s="1" customFormat="1" x14ac:dyDescent="0.25">
      <c r="A165" s="1">
        <v>175</v>
      </c>
      <c r="B165" s="1" t="s">
        <v>195</v>
      </c>
      <c r="C165" s="1" t="s">
        <v>249</v>
      </c>
      <c r="D165" s="2">
        <v>42180.995925925927</v>
      </c>
      <c r="E165" s="2">
        <v>42180.995972222219</v>
      </c>
      <c r="F165" s="1">
        <v>1</v>
      </c>
      <c r="G165" s="1">
        <v>6</v>
      </c>
      <c r="H165" s="1">
        <v>8</v>
      </c>
      <c r="I165" s="1">
        <v>4</v>
      </c>
      <c r="J165" s="1">
        <v>1</v>
      </c>
      <c r="K165" s="1">
        <v>5</v>
      </c>
      <c r="L165" s="3">
        <v>54</v>
      </c>
      <c r="M165" s="3" t="str">
        <f t="shared" si="26"/>
        <v>Jun</v>
      </c>
      <c r="N165" s="2">
        <v>42180.995925925927</v>
      </c>
      <c r="O165" s="1">
        <f t="shared" si="27"/>
        <v>25</v>
      </c>
      <c r="P165" s="1">
        <f t="shared" si="28"/>
        <v>5</v>
      </c>
      <c r="Q165" s="1">
        <f t="shared" si="29"/>
        <v>23</v>
      </c>
      <c r="S165"/>
      <c r="T165"/>
      <c r="U165"/>
    </row>
    <row r="166" spans="1:21" s="1" customFormat="1" x14ac:dyDescent="0.25">
      <c r="A166" s="1">
        <v>176</v>
      </c>
      <c r="B166" s="1" t="s">
        <v>91</v>
      </c>
      <c r="C166" s="1" t="s">
        <v>250</v>
      </c>
      <c r="D166" s="2">
        <v>42178.767418981479</v>
      </c>
      <c r="E166" s="2">
        <v>42178.600821759261</v>
      </c>
      <c r="F166" s="1">
        <v>1</v>
      </c>
      <c r="G166" s="1">
        <v>6</v>
      </c>
      <c r="H166" s="1">
        <v>4</v>
      </c>
      <c r="I166" s="1">
        <v>2</v>
      </c>
      <c r="J166" s="1">
        <v>1</v>
      </c>
      <c r="K166" s="1">
        <v>2</v>
      </c>
      <c r="L166" s="3">
        <v>78</v>
      </c>
      <c r="M166" s="3" t="str">
        <f t="shared" si="26"/>
        <v>Jun</v>
      </c>
      <c r="N166" s="2">
        <v>42178.600775462961</v>
      </c>
      <c r="O166" s="1">
        <f t="shared" si="27"/>
        <v>23</v>
      </c>
      <c r="P166" s="1">
        <f t="shared" si="28"/>
        <v>3</v>
      </c>
      <c r="Q166" s="1">
        <f t="shared" si="29"/>
        <v>14</v>
      </c>
      <c r="S166"/>
      <c r="T166"/>
      <c r="U166"/>
    </row>
    <row r="167" spans="1:21" s="1" customFormat="1" x14ac:dyDescent="0.25">
      <c r="A167" s="1">
        <v>177</v>
      </c>
      <c r="B167" s="1" t="s">
        <v>112</v>
      </c>
      <c r="C167" s="1" t="s">
        <v>251</v>
      </c>
      <c r="D167" s="2">
        <v>42252.336898148147</v>
      </c>
      <c r="E167" s="2">
        <v>42252.336967592593</v>
      </c>
      <c r="F167" s="1">
        <v>1</v>
      </c>
      <c r="G167" s="1">
        <v>4</v>
      </c>
      <c r="H167" s="1">
        <v>4</v>
      </c>
      <c r="I167" s="1">
        <v>2</v>
      </c>
      <c r="J167" s="1">
        <v>1</v>
      </c>
      <c r="K167" s="1">
        <v>2</v>
      </c>
      <c r="L167" s="3">
        <v>49.76</v>
      </c>
      <c r="M167" s="3" t="str">
        <f t="shared" si="26"/>
        <v>Sep</v>
      </c>
      <c r="N167" s="2">
        <v>42252.336898148147</v>
      </c>
      <c r="O167" s="1">
        <f t="shared" si="27"/>
        <v>5</v>
      </c>
      <c r="P167" s="1">
        <f t="shared" si="28"/>
        <v>7</v>
      </c>
      <c r="Q167" s="1">
        <f t="shared" si="29"/>
        <v>8</v>
      </c>
      <c r="S167"/>
      <c r="T167"/>
      <c r="U167"/>
    </row>
    <row r="168" spans="1:21" s="1" customFormat="1" x14ac:dyDescent="0.25">
      <c r="A168" s="1">
        <v>178</v>
      </c>
      <c r="D168" s="2">
        <v>42067.39371527778</v>
      </c>
      <c r="E168" s="2">
        <v>42067.393819444442</v>
      </c>
      <c r="F168" s="1">
        <v>1</v>
      </c>
      <c r="G168" s="1">
        <v>4</v>
      </c>
      <c r="H168" s="1">
        <v>8</v>
      </c>
      <c r="I168" s="1">
        <v>10</v>
      </c>
      <c r="J168" s="1">
        <v>1</v>
      </c>
      <c r="K168" s="1">
        <v>4</v>
      </c>
      <c r="L168" s="4">
        <v>28.8</v>
      </c>
      <c r="M168" s="3" t="str">
        <f t="shared" si="26"/>
        <v>Mar</v>
      </c>
      <c r="N168" s="2">
        <v>42067.393784722219</v>
      </c>
      <c r="O168" s="1">
        <f t="shared" si="27"/>
        <v>4</v>
      </c>
      <c r="P168" s="1">
        <f t="shared" si="28"/>
        <v>4</v>
      </c>
      <c r="Q168" s="1">
        <f t="shared" si="29"/>
        <v>9</v>
      </c>
      <c r="S168"/>
      <c r="T168"/>
      <c r="U168"/>
    </row>
    <row r="169" spans="1:21" s="1" customFormat="1" x14ac:dyDescent="0.25">
      <c r="A169" s="1">
        <v>179</v>
      </c>
      <c r="B169" s="1" t="s">
        <v>112</v>
      </c>
      <c r="C169" s="1" t="s">
        <v>252</v>
      </c>
      <c r="D169" s="2">
        <v>42103.78087962963</v>
      </c>
      <c r="E169" s="2">
        <v>42103.780949074076</v>
      </c>
      <c r="F169" s="1">
        <v>1</v>
      </c>
      <c r="G169" s="1">
        <v>0</v>
      </c>
      <c r="H169" s="1">
        <v>6</v>
      </c>
      <c r="I169" s="1">
        <v>1</v>
      </c>
      <c r="J169" s="1">
        <v>1</v>
      </c>
      <c r="K169" s="1">
        <v>3</v>
      </c>
      <c r="L169" s="4">
        <v>27</v>
      </c>
      <c r="M169" s="3" t="str">
        <f t="shared" si="26"/>
        <v>Apr</v>
      </c>
      <c r="N169" s="2">
        <v>42103.780891203707</v>
      </c>
      <c r="O169" s="1">
        <f t="shared" si="27"/>
        <v>9</v>
      </c>
      <c r="P169" s="1">
        <f t="shared" si="28"/>
        <v>5</v>
      </c>
      <c r="Q169" s="1">
        <f t="shared" si="29"/>
        <v>18</v>
      </c>
      <c r="S169"/>
      <c r="T169"/>
      <c r="U169"/>
    </row>
    <row r="170" spans="1:21" s="1" customFormat="1" x14ac:dyDescent="0.25">
      <c r="A170" s="1">
        <v>180</v>
      </c>
      <c r="B170" s="1" t="s">
        <v>253</v>
      </c>
      <c r="C170" s="1" t="s">
        <v>254</v>
      </c>
      <c r="D170" s="2">
        <v>42228.604027777779</v>
      </c>
      <c r="E170" s="2">
        <v>42228.604062500002</v>
      </c>
      <c r="F170" s="1">
        <v>1</v>
      </c>
      <c r="G170" s="1">
        <v>2</v>
      </c>
      <c r="H170" s="1">
        <v>2</v>
      </c>
      <c r="I170" s="1">
        <v>3</v>
      </c>
      <c r="J170" s="1">
        <v>1</v>
      </c>
      <c r="K170" s="1">
        <v>1</v>
      </c>
      <c r="L170" s="3">
        <v>70.400000000000006</v>
      </c>
      <c r="M170" s="3" t="str">
        <f t="shared" si="26"/>
        <v>Aug</v>
      </c>
      <c r="N170" s="2">
        <v>42228.604039351849</v>
      </c>
      <c r="O170" s="1">
        <f t="shared" si="27"/>
        <v>12</v>
      </c>
      <c r="P170" s="1">
        <f t="shared" si="28"/>
        <v>4</v>
      </c>
      <c r="Q170" s="1">
        <f t="shared" si="29"/>
        <v>14</v>
      </c>
      <c r="S170"/>
      <c r="T170"/>
      <c r="U170"/>
    </row>
    <row r="171" spans="1:21" s="1" customFormat="1" x14ac:dyDescent="0.25">
      <c r="A171" s="1">
        <v>181</v>
      </c>
      <c r="B171" s="1" t="s">
        <v>195</v>
      </c>
      <c r="C171" s="1" t="s">
        <v>255</v>
      </c>
      <c r="D171" s="2">
        <v>42081.367106481484</v>
      </c>
      <c r="E171" s="2">
        <v>42081.367164351854</v>
      </c>
      <c r="F171" s="1">
        <v>1</v>
      </c>
      <c r="G171" s="1">
        <v>8</v>
      </c>
      <c r="H171" s="1">
        <v>12</v>
      </c>
      <c r="I171" s="1">
        <v>1</v>
      </c>
      <c r="J171" s="1">
        <v>1</v>
      </c>
      <c r="K171" s="1">
        <v>5</v>
      </c>
      <c r="L171" s="4">
        <v>52.8</v>
      </c>
      <c r="M171" s="3" t="str">
        <f t="shared" si="26"/>
        <v>Mar</v>
      </c>
      <c r="N171" s="2">
        <v>42081.367118055554</v>
      </c>
      <c r="O171" s="1">
        <f t="shared" si="27"/>
        <v>18</v>
      </c>
      <c r="P171" s="1">
        <f t="shared" si="28"/>
        <v>4</v>
      </c>
      <c r="Q171" s="1">
        <f t="shared" si="29"/>
        <v>8</v>
      </c>
      <c r="S171"/>
      <c r="T171"/>
      <c r="U171"/>
    </row>
    <row r="172" spans="1:21" s="1" customFormat="1" x14ac:dyDescent="0.25">
      <c r="A172" s="1">
        <v>182</v>
      </c>
      <c r="B172" s="1" t="s">
        <v>147</v>
      </c>
      <c r="C172" s="1" t="s">
        <v>256</v>
      </c>
      <c r="D172" s="2">
        <v>42041.067175925928</v>
      </c>
      <c r="E172" s="2">
        <v>42041.06726851852</v>
      </c>
      <c r="F172" s="1">
        <v>1</v>
      </c>
      <c r="G172" s="1">
        <v>2</v>
      </c>
      <c r="H172" s="1">
        <v>4</v>
      </c>
      <c r="I172" s="1">
        <v>1</v>
      </c>
      <c r="J172" s="1">
        <v>1</v>
      </c>
      <c r="K172" s="1">
        <v>2</v>
      </c>
      <c r="L172" s="4">
        <v>9</v>
      </c>
      <c r="M172" s="3" t="str">
        <f t="shared" si="26"/>
        <v>Feb</v>
      </c>
      <c r="N172" s="2">
        <v>42041.067233796297</v>
      </c>
      <c r="O172" s="1">
        <f t="shared" si="27"/>
        <v>6</v>
      </c>
      <c r="P172" s="1">
        <f t="shared" si="28"/>
        <v>6</v>
      </c>
      <c r="Q172" s="1">
        <f t="shared" si="29"/>
        <v>1</v>
      </c>
      <c r="S172"/>
      <c r="T172"/>
      <c r="U172"/>
    </row>
    <row r="173" spans="1:21" s="1" customFormat="1" x14ac:dyDescent="0.25">
      <c r="A173" s="1">
        <v>183</v>
      </c>
      <c r="B173" s="1" t="s">
        <v>131</v>
      </c>
      <c r="C173" s="1" t="s">
        <v>257</v>
      </c>
      <c r="D173" s="2">
        <v>42037.634270833332</v>
      </c>
      <c r="E173" s="2">
        <v>42037.634351851855</v>
      </c>
      <c r="F173" s="1">
        <v>1</v>
      </c>
      <c r="G173" s="1">
        <v>4</v>
      </c>
      <c r="H173" s="1">
        <v>10</v>
      </c>
      <c r="I173" s="1">
        <v>1</v>
      </c>
      <c r="J173" s="1">
        <v>1</v>
      </c>
      <c r="K173" s="1">
        <v>6</v>
      </c>
      <c r="L173" s="4">
        <v>43.2</v>
      </c>
      <c r="M173" s="3" t="str">
        <f t="shared" si="26"/>
        <v>Feb</v>
      </c>
      <c r="N173" s="2">
        <v>42037.634317129632</v>
      </c>
      <c r="O173" s="1">
        <f t="shared" si="27"/>
        <v>2</v>
      </c>
      <c r="P173" s="1">
        <f t="shared" si="28"/>
        <v>2</v>
      </c>
      <c r="Q173" s="1">
        <f t="shared" si="29"/>
        <v>15</v>
      </c>
      <c r="S173"/>
      <c r="T173"/>
      <c r="U173"/>
    </row>
    <row r="174" spans="1:21" s="1" customFormat="1" x14ac:dyDescent="0.25">
      <c r="A174" s="1">
        <v>184</v>
      </c>
      <c r="B174" s="1" t="s">
        <v>100</v>
      </c>
      <c r="C174" s="1" t="s">
        <v>102</v>
      </c>
      <c r="D174" s="2">
        <v>42230.194189814814</v>
      </c>
      <c r="E174" s="2">
        <v>42230.027581018519</v>
      </c>
      <c r="F174" s="1">
        <v>1</v>
      </c>
      <c r="G174" s="1">
        <v>6</v>
      </c>
      <c r="H174" s="1">
        <v>6</v>
      </c>
      <c r="I174" s="1">
        <v>2</v>
      </c>
      <c r="J174" s="1">
        <v>1</v>
      </c>
      <c r="K174" s="1">
        <v>6</v>
      </c>
      <c r="L174" s="3">
        <v>48</v>
      </c>
      <c r="M174" s="3" t="str">
        <f t="shared" si="26"/>
        <v>Aug</v>
      </c>
      <c r="N174" s="2">
        <v>42230.02752314815</v>
      </c>
      <c r="O174" s="1">
        <f t="shared" si="27"/>
        <v>14</v>
      </c>
      <c r="P174" s="1">
        <f t="shared" si="28"/>
        <v>6</v>
      </c>
      <c r="Q174" s="1">
        <f t="shared" si="29"/>
        <v>0</v>
      </c>
      <c r="S174"/>
      <c r="T174"/>
      <c r="U174"/>
    </row>
    <row r="175" spans="1:21" s="1" customFormat="1" x14ac:dyDescent="0.25">
      <c r="A175" s="1">
        <v>185</v>
      </c>
      <c r="B175" s="1" t="s">
        <v>103</v>
      </c>
      <c r="C175" s="1" t="s">
        <v>258</v>
      </c>
      <c r="D175" s="2">
        <v>42053.660949074074</v>
      </c>
      <c r="E175" s="2">
        <v>42054.825289351851</v>
      </c>
      <c r="F175" s="1">
        <v>5</v>
      </c>
      <c r="G175" s="1">
        <v>0</v>
      </c>
      <c r="H175" s="1">
        <v>8</v>
      </c>
      <c r="I175" s="1">
        <v>2</v>
      </c>
      <c r="J175" s="1">
        <v>1</v>
      </c>
      <c r="K175" s="1">
        <v>4</v>
      </c>
      <c r="L175" s="4">
        <v>36</v>
      </c>
      <c r="M175" s="3" t="str">
        <f t="shared" si="26"/>
        <v>Feb</v>
      </c>
      <c r="N175" s="2">
        <v>42053.660960648151</v>
      </c>
      <c r="O175" s="1">
        <f t="shared" si="27"/>
        <v>18</v>
      </c>
      <c r="P175" s="1">
        <f t="shared" si="28"/>
        <v>4</v>
      </c>
      <c r="Q175" s="1">
        <f t="shared" si="29"/>
        <v>15</v>
      </c>
      <c r="S175"/>
      <c r="T175"/>
      <c r="U175"/>
    </row>
    <row r="176" spans="1:21" s="1" customFormat="1" x14ac:dyDescent="0.25">
      <c r="A176" s="1">
        <v>186</v>
      </c>
      <c r="B176" s="1" t="s">
        <v>119</v>
      </c>
      <c r="C176" s="1" t="s">
        <v>259</v>
      </c>
      <c r="D176" s="2">
        <v>42031.713148148148</v>
      </c>
      <c r="E176" s="2">
        <v>42054.54420138889</v>
      </c>
      <c r="F176" s="1">
        <v>2</v>
      </c>
      <c r="G176" s="1">
        <v>10</v>
      </c>
      <c r="H176" s="1">
        <v>34</v>
      </c>
      <c r="I176" s="1">
        <v>7</v>
      </c>
      <c r="J176" s="1">
        <v>2</v>
      </c>
      <c r="K176" s="1">
        <v>32</v>
      </c>
      <c r="L176" s="4">
        <v>63.2</v>
      </c>
      <c r="M176" s="3" t="str">
        <f t="shared" si="26"/>
        <v>Jan</v>
      </c>
      <c r="N176" s="2">
        <v>42031.713159722225</v>
      </c>
      <c r="O176" s="1">
        <f t="shared" si="27"/>
        <v>27</v>
      </c>
      <c r="P176" s="1">
        <f t="shared" si="28"/>
        <v>3</v>
      </c>
      <c r="Q176" s="1">
        <f t="shared" si="29"/>
        <v>17</v>
      </c>
      <c r="S176"/>
      <c r="T176"/>
      <c r="U176"/>
    </row>
    <row r="177" spans="1:21" s="1" customFormat="1" x14ac:dyDescent="0.25">
      <c r="A177" s="1">
        <v>187</v>
      </c>
      <c r="B177" s="1" t="s">
        <v>109</v>
      </c>
      <c r="C177" s="1" t="s">
        <v>260</v>
      </c>
      <c r="D177" s="2">
        <v>42081.325162037036</v>
      </c>
      <c r="E177" s="2">
        <v>42081.325231481482</v>
      </c>
      <c r="F177" s="1">
        <v>1</v>
      </c>
      <c r="G177" s="1">
        <v>2</v>
      </c>
      <c r="H177" s="1">
        <v>8</v>
      </c>
      <c r="I177" s="1">
        <v>1</v>
      </c>
      <c r="J177" s="1">
        <v>1</v>
      </c>
      <c r="K177" s="1">
        <v>4</v>
      </c>
      <c r="L177" s="4">
        <v>28.8</v>
      </c>
      <c r="M177" s="3" t="str">
        <f t="shared" si="26"/>
        <v>Mar</v>
      </c>
      <c r="N177" s="2">
        <v>42081.325173611112</v>
      </c>
      <c r="O177" s="1">
        <f t="shared" si="27"/>
        <v>18</v>
      </c>
      <c r="P177" s="1">
        <f t="shared" si="28"/>
        <v>4</v>
      </c>
      <c r="Q177" s="1">
        <f t="shared" si="29"/>
        <v>7</v>
      </c>
      <c r="S177"/>
      <c r="T177"/>
      <c r="U177"/>
    </row>
    <row r="178" spans="1:21" s="1" customFormat="1" x14ac:dyDescent="0.25">
      <c r="A178" s="1">
        <v>188</v>
      </c>
      <c r="B178" s="1" t="s">
        <v>137</v>
      </c>
      <c r="C178" s="1" t="s">
        <v>261</v>
      </c>
      <c r="D178" s="2">
        <v>42238.443020833336</v>
      </c>
      <c r="E178" s="2">
        <v>42238.957141203704</v>
      </c>
      <c r="F178" s="1">
        <v>2</v>
      </c>
      <c r="G178" s="1">
        <v>13</v>
      </c>
      <c r="H178" s="1">
        <v>10</v>
      </c>
      <c r="I178" s="1">
        <v>2</v>
      </c>
      <c r="J178" s="1">
        <v>1</v>
      </c>
      <c r="K178" s="1">
        <v>5</v>
      </c>
      <c r="L178" s="3">
        <v>65.92</v>
      </c>
      <c r="M178" s="3" t="str">
        <f t="shared" si="26"/>
        <v>Aug</v>
      </c>
      <c r="N178" s="2">
        <v>42238.443020833336</v>
      </c>
      <c r="O178" s="1">
        <f t="shared" si="27"/>
        <v>22</v>
      </c>
      <c r="P178" s="1">
        <f t="shared" si="28"/>
        <v>7</v>
      </c>
      <c r="Q178" s="1">
        <f t="shared" si="29"/>
        <v>10</v>
      </c>
      <c r="S178"/>
      <c r="T178"/>
      <c r="U178"/>
    </row>
    <row r="179" spans="1:21" s="1" customFormat="1" x14ac:dyDescent="0.25">
      <c r="A179" s="1">
        <v>189</v>
      </c>
      <c r="B179" s="1" t="s">
        <v>131</v>
      </c>
      <c r="C179" s="1" t="s">
        <v>262</v>
      </c>
      <c r="D179" s="2">
        <v>41976.524386574078</v>
      </c>
      <c r="E179" s="2">
        <v>42150.937268518515</v>
      </c>
      <c r="F179" s="1">
        <v>2</v>
      </c>
      <c r="G179" s="1">
        <v>4</v>
      </c>
      <c r="H179" s="1">
        <v>2</v>
      </c>
      <c r="I179" s="1">
        <v>3</v>
      </c>
      <c r="J179" s="1">
        <v>1</v>
      </c>
      <c r="K179" s="1">
        <v>4</v>
      </c>
      <c r="L179" s="3">
        <v>36</v>
      </c>
      <c r="M179" s="3" t="str">
        <f t="shared" si="26"/>
        <v>May</v>
      </c>
      <c r="N179" s="2">
        <v>42150.940046296295</v>
      </c>
      <c r="O179" s="1">
        <f t="shared" si="27"/>
        <v>26</v>
      </c>
      <c r="P179" s="1">
        <f t="shared" si="28"/>
        <v>3</v>
      </c>
      <c r="Q179" s="1">
        <f t="shared" si="29"/>
        <v>22</v>
      </c>
      <c r="S179"/>
      <c r="T179"/>
      <c r="U179"/>
    </row>
    <row r="180" spans="1:21" s="1" customFormat="1" x14ac:dyDescent="0.25">
      <c r="A180" s="1">
        <v>190</v>
      </c>
      <c r="B180" s="1" t="s">
        <v>112</v>
      </c>
      <c r="C180" s="1" t="s">
        <v>263</v>
      </c>
      <c r="D180" s="2">
        <v>42214.078356481485</v>
      </c>
      <c r="E180" s="2">
        <v>42213.911747685182</v>
      </c>
      <c r="F180" s="1">
        <v>1</v>
      </c>
      <c r="G180" s="1">
        <v>2</v>
      </c>
      <c r="H180" s="1">
        <v>4</v>
      </c>
      <c r="I180" s="1">
        <v>4</v>
      </c>
      <c r="J180" s="1">
        <v>1</v>
      </c>
      <c r="K180" s="1">
        <v>6</v>
      </c>
      <c r="L180" s="3">
        <v>52.8</v>
      </c>
      <c r="M180" s="3" t="str">
        <f t="shared" si="26"/>
        <v>Jul</v>
      </c>
      <c r="N180" s="2">
        <v>42213.91170138889</v>
      </c>
      <c r="O180" s="1">
        <f t="shared" si="27"/>
        <v>28</v>
      </c>
      <c r="P180" s="1">
        <f t="shared" si="28"/>
        <v>3</v>
      </c>
      <c r="Q180" s="1">
        <f t="shared" si="29"/>
        <v>21</v>
      </c>
      <c r="S180"/>
      <c r="T180"/>
      <c r="U180"/>
    </row>
    <row r="181" spans="1:21" s="1" customFormat="1" x14ac:dyDescent="0.25">
      <c r="A181" s="1">
        <v>191</v>
      </c>
      <c r="B181" s="1" t="s">
        <v>208</v>
      </c>
      <c r="C181" s="1" t="s">
        <v>264</v>
      </c>
      <c r="D181" s="2">
        <v>42184.700138888889</v>
      </c>
      <c r="E181" s="2">
        <v>42184.533530092594</v>
      </c>
      <c r="F181" s="1">
        <v>1</v>
      </c>
      <c r="G181" s="1">
        <v>2</v>
      </c>
      <c r="H181" s="1">
        <v>2</v>
      </c>
      <c r="I181" s="1">
        <v>2</v>
      </c>
      <c r="J181" s="1">
        <v>1</v>
      </c>
      <c r="K181" s="1">
        <v>1</v>
      </c>
      <c r="L181" s="3">
        <v>28.8</v>
      </c>
      <c r="M181" s="3" t="str">
        <f t="shared" si="26"/>
        <v>Jun</v>
      </c>
      <c r="N181" s="2">
        <v>42184.533483796295</v>
      </c>
      <c r="O181" s="1">
        <f t="shared" si="27"/>
        <v>29</v>
      </c>
      <c r="P181" s="1">
        <f t="shared" si="28"/>
        <v>2</v>
      </c>
      <c r="Q181" s="1">
        <f t="shared" si="29"/>
        <v>12</v>
      </c>
      <c r="S181"/>
      <c r="T181"/>
      <c r="U181"/>
    </row>
    <row r="182" spans="1:21" s="1" customFormat="1" x14ac:dyDescent="0.25">
      <c r="A182" s="1">
        <v>192</v>
      </c>
      <c r="B182" s="1" t="s">
        <v>215</v>
      </c>
      <c r="C182" s="1" t="s">
        <v>265</v>
      </c>
      <c r="D182" s="2">
        <v>42035.383958333332</v>
      </c>
      <c r="E182" s="2">
        <v>42035.384004629632</v>
      </c>
      <c r="F182" s="1">
        <v>1</v>
      </c>
      <c r="G182" s="1">
        <v>0</v>
      </c>
      <c r="H182" s="1">
        <v>4</v>
      </c>
      <c r="I182" s="1">
        <v>1</v>
      </c>
      <c r="J182" s="1">
        <v>1</v>
      </c>
      <c r="K182" s="1">
        <v>2</v>
      </c>
      <c r="L182" s="4">
        <v>9</v>
      </c>
      <c r="M182" s="3" t="str">
        <f t="shared" si="26"/>
        <v>Jan</v>
      </c>
      <c r="N182" s="2">
        <v>42035.383969907409</v>
      </c>
      <c r="O182" s="1">
        <f t="shared" si="27"/>
        <v>31</v>
      </c>
      <c r="P182" s="1">
        <f t="shared" si="28"/>
        <v>7</v>
      </c>
      <c r="Q182" s="1">
        <f t="shared" si="29"/>
        <v>9</v>
      </c>
      <c r="S182"/>
      <c r="T182"/>
      <c r="U182"/>
    </row>
    <row r="183" spans="1:21" s="1" customFormat="1" x14ac:dyDescent="0.25">
      <c r="A183" s="1">
        <v>193</v>
      </c>
      <c r="B183" s="1" t="s">
        <v>123</v>
      </c>
      <c r="C183" s="1" t="s">
        <v>266</v>
      </c>
      <c r="D183" s="2">
        <v>42082.838391203702</v>
      </c>
      <c r="E183" s="2">
        <v>42082.838437500002</v>
      </c>
      <c r="F183" s="1">
        <v>1</v>
      </c>
      <c r="G183" s="1">
        <v>0</v>
      </c>
      <c r="H183" s="1">
        <v>8</v>
      </c>
      <c r="I183" s="1">
        <v>5</v>
      </c>
      <c r="J183" s="1">
        <v>2</v>
      </c>
      <c r="K183" s="1">
        <v>8</v>
      </c>
      <c r="L183" s="4">
        <v>28.8</v>
      </c>
      <c r="M183" s="3" t="str">
        <f t="shared" si="26"/>
        <v>Mar</v>
      </c>
      <c r="N183" s="2">
        <v>42082.841967592591</v>
      </c>
      <c r="O183" s="1">
        <f t="shared" si="27"/>
        <v>19</v>
      </c>
      <c r="P183" s="1">
        <f t="shared" si="28"/>
        <v>5</v>
      </c>
      <c r="Q183" s="1">
        <f t="shared" si="29"/>
        <v>20</v>
      </c>
      <c r="S183"/>
      <c r="T183"/>
      <c r="U183"/>
    </row>
    <row r="184" spans="1:21" s="1" customFormat="1" x14ac:dyDescent="0.25">
      <c r="A184" s="1">
        <v>194</v>
      </c>
      <c r="B184" s="1" t="s">
        <v>96</v>
      </c>
      <c r="C184" s="1" t="s">
        <v>267</v>
      </c>
      <c r="D184" s="2">
        <v>42139.82230324074</v>
      </c>
      <c r="E184" s="2">
        <v>42139.655659722222</v>
      </c>
      <c r="F184" s="1">
        <v>1</v>
      </c>
      <c r="G184" s="1">
        <v>4</v>
      </c>
      <c r="H184" s="1">
        <v>10</v>
      </c>
      <c r="I184" s="1">
        <v>5</v>
      </c>
      <c r="J184" s="1">
        <v>1</v>
      </c>
      <c r="K184" s="1">
        <v>5</v>
      </c>
      <c r="L184" s="4">
        <v>36</v>
      </c>
      <c r="M184" s="3" t="str">
        <f t="shared" si="26"/>
        <v>May</v>
      </c>
      <c r="N184" s="2">
        <v>42139.656805555554</v>
      </c>
      <c r="O184" s="1">
        <f t="shared" si="27"/>
        <v>15</v>
      </c>
      <c r="P184" s="1">
        <f t="shared" si="28"/>
        <v>6</v>
      </c>
      <c r="Q184" s="1">
        <f t="shared" si="29"/>
        <v>15</v>
      </c>
      <c r="S184"/>
      <c r="T184"/>
      <c r="U184"/>
    </row>
    <row r="185" spans="1:21" s="1" customFormat="1" x14ac:dyDescent="0.25">
      <c r="A185" s="1">
        <v>195</v>
      </c>
      <c r="B185" s="1" t="s">
        <v>210</v>
      </c>
      <c r="C185" s="1" t="s">
        <v>268</v>
      </c>
      <c r="D185" s="2">
        <v>42085.64439814815</v>
      </c>
      <c r="E185" s="2">
        <v>42085.644432870373</v>
      </c>
      <c r="F185" s="1">
        <v>1</v>
      </c>
      <c r="G185" s="1">
        <v>2</v>
      </c>
      <c r="H185" s="1">
        <v>6</v>
      </c>
      <c r="I185" s="1">
        <v>3</v>
      </c>
      <c r="J185" s="1">
        <v>1</v>
      </c>
      <c r="K185" s="1">
        <v>1</v>
      </c>
      <c r="L185" s="4">
        <v>28.8</v>
      </c>
      <c r="M185" s="3" t="str">
        <f t="shared" si="26"/>
        <v>Mar</v>
      </c>
      <c r="N185" s="2">
        <v>42085.645486111112</v>
      </c>
      <c r="O185" s="1">
        <f t="shared" si="27"/>
        <v>22</v>
      </c>
      <c r="P185" s="1">
        <f t="shared" si="28"/>
        <v>1</v>
      </c>
      <c r="Q185" s="1">
        <f t="shared" si="29"/>
        <v>15</v>
      </c>
      <c r="S185"/>
      <c r="T185"/>
      <c r="U185"/>
    </row>
    <row r="186" spans="1:21" s="1" customFormat="1" x14ac:dyDescent="0.25">
      <c r="A186" s="1">
        <v>196</v>
      </c>
      <c r="B186" s="1" t="s">
        <v>208</v>
      </c>
      <c r="C186" s="1" t="s">
        <v>269</v>
      </c>
      <c r="D186" s="2">
        <v>42020.890011574076</v>
      </c>
      <c r="E186" s="2">
        <v>42080.386319444442</v>
      </c>
      <c r="F186" s="1">
        <v>4</v>
      </c>
      <c r="G186" s="1">
        <v>1</v>
      </c>
      <c r="H186" s="1">
        <v>19</v>
      </c>
      <c r="I186" s="1">
        <v>4</v>
      </c>
      <c r="J186" s="1">
        <v>2</v>
      </c>
      <c r="K186" s="1">
        <v>12</v>
      </c>
      <c r="L186" s="4">
        <v>54</v>
      </c>
      <c r="M186" s="3" t="str">
        <f t="shared" si="26"/>
        <v>Jan</v>
      </c>
      <c r="N186" s="2">
        <v>42020.890034722222</v>
      </c>
      <c r="O186" s="1">
        <f t="shared" si="27"/>
        <v>16</v>
      </c>
      <c r="P186" s="1">
        <f t="shared" si="28"/>
        <v>6</v>
      </c>
      <c r="Q186" s="1">
        <f t="shared" si="29"/>
        <v>21</v>
      </c>
      <c r="S186"/>
      <c r="T186"/>
      <c r="U186"/>
    </row>
    <row r="187" spans="1:21" s="1" customFormat="1" x14ac:dyDescent="0.25">
      <c r="A187" s="1">
        <v>197</v>
      </c>
      <c r="B187" s="1" t="s">
        <v>94</v>
      </c>
      <c r="C187" s="1" t="s">
        <v>270</v>
      </c>
      <c r="D187" s="2">
        <v>42086.49459490741</v>
      </c>
      <c r="E187" s="2">
        <v>42086.494687500002</v>
      </c>
      <c r="F187" s="1">
        <v>1</v>
      </c>
      <c r="G187" s="1">
        <v>2</v>
      </c>
      <c r="H187" s="1">
        <v>8</v>
      </c>
      <c r="I187" s="1">
        <v>1</v>
      </c>
      <c r="J187" s="1">
        <v>1</v>
      </c>
      <c r="K187" s="1">
        <v>4</v>
      </c>
      <c r="L187" s="4">
        <v>27</v>
      </c>
      <c r="M187" s="3" t="str">
        <f t="shared" si="26"/>
        <v>Mar</v>
      </c>
      <c r="N187" s="2">
        <v>42086.494606481479</v>
      </c>
      <c r="O187" s="1">
        <f t="shared" si="27"/>
        <v>23</v>
      </c>
      <c r="P187" s="1">
        <f t="shared" si="28"/>
        <v>2</v>
      </c>
      <c r="Q187" s="1">
        <f t="shared" si="29"/>
        <v>11</v>
      </c>
      <c r="S187"/>
      <c r="T187"/>
      <c r="U187"/>
    </row>
    <row r="188" spans="1:21" s="1" customFormat="1" x14ac:dyDescent="0.25">
      <c r="A188" s="1">
        <v>198</v>
      </c>
      <c r="B188" s="1" t="s">
        <v>210</v>
      </c>
      <c r="C188" s="1" t="s">
        <v>271</v>
      </c>
      <c r="D188" s="2">
        <v>42149.496261574073</v>
      </c>
      <c r="E188" s="2">
        <v>42149.496296296296</v>
      </c>
      <c r="F188" s="1">
        <v>1</v>
      </c>
      <c r="G188" s="1">
        <v>2</v>
      </c>
      <c r="H188" s="1">
        <v>2</v>
      </c>
      <c r="I188" s="1">
        <v>2</v>
      </c>
      <c r="J188" s="1">
        <v>1</v>
      </c>
      <c r="K188" s="1">
        <v>1</v>
      </c>
      <c r="L188" s="3">
        <v>28.8</v>
      </c>
      <c r="M188" s="3" t="str">
        <f t="shared" si="26"/>
        <v>May</v>
      </c>
      <c r="N188" s="2">
        <v>42149.49627314815</v>
      </c>
      <c r="O188" s="1">
        <f t="shared" si="27"/>
        <v>25</v>
      </c>
      <c r="P188" s="1">
        <f t="shared" si="28"/>
        <v>2</v>
      </c>
      <c r="Q188" s="1">
        <f t="shared" si="29"/>
        <v>11</v>
      </c>
      <c r="S188"/>
      <c r="T188"/>
      <c r="U188"/>
    </row>
    <row r="189" spans="1:21" s="1" customFormat="1" x14ac:dyDescent="0.25">
      <c r="A189" s="1">
        <v>200</v>
      </c>
      <c r="B189" s="1" t="s">
        <v>100</v>
      </c>
      <c r="C189" s="1" t="s">
        <v>272</v>
      </c>
      <c r="D189" s="2">
        <v>42146.486944444441</v>
      </c>
      <c r="E189" s="2">
        <v>42146.486979166664</v>
      </c>
      <c r="F189" s="1">
        <v>1</v>
      </c>
      <c r="G189" s="1">
        <v>6</v>
      </c>
      <c r="H189" s="1">
        <v>4</v>
      </c>
      <c r="I189" s="1">
        <v>2</v>
      </c>
      <c r="J189" s="1">
        <v>1</v>
      </c>
      <c r="K189" s="1">
        <v>2</v>
      </c>
      <c r="L189" s="3">
        <v>18</v>
      </c>
      <c r="M189" s="3" t="str">
        <f t="shared" si="26"/>
        <v>May</v>
      </c>
      <c r="N189" s="2">
        <v>42146.486944444441</v>
      </c>
      <c r="O189" s="1">
        <f t="shared" ref="O189:O192" si="30">DAY(N189)</f>
        <v>22</v>
      </c>
      <c r="P189" s="1">
        <f t="shared" ref="P189:P192" si="31">WEEKDAY(N189,1)</f>
        <v>6</v>
      </c>
      <c r="Q189" s="1">
        <f t="shared" ref="Q189:Q192" si="32">HOUR(N189)</f>
        <v>11</v>
      </c>
      <c r="S189"/>
      <c r="T189"/>
      <c r="U189"/>
    </row>
    <row r="190" spans="1:21" s="1" customFormat="1" x14ac:dyDescent="0.25">
      <c r="A190" s="1">
        <v>201</v>
      </c>
      <c r="B190" s="1" t="s">
        <v>91</v>
      </c>
      <c r="C190" s="1" t="s">
        <v>273</v>
      </c>
      <c r="D190" s="2">
        <v>42246.515266203707</v>
      </c>
      <c r="E190" s="2">
        <v>42246.515300925923</v>
      </c>
      <c r="F190" s="1">
        <v>1</v>
      </c>
      <c r="G190" s="1">
        <v>2</v>
      </c>
      <c r="H190" s="1">
        <v>2</v>
      </c>
      <c r="I190" s="1">
        <v>3</v>
      </c>
      <c r="J190" s="1">
        <v>1</v>
      </c>
      <c r="K190" s="1">
        <v>1</v>
      </c>
      <c r="L190" s="3">
        <v>56.32</v>
      </c>
      <c r="M190" s="3" t="str">
        <f t="shared" si="26"/>
        <v>Aug</v>
      </c>
      <c r="N190" s="2">
        <v>42246.515266203707</v>
      </c>
      <c r="O190" s="1">
        <f t="shared" si="30"/>
        <v>30</v>
      </c>
      <c r="P190" s="1">
        <f t="shared" si="31"/>
        <v>1</v>
      </c>
      <c r="Q190" s="1">
        <f t="shared" si="32"/>
        <v>12</v>
      </c>
      <c r="S190"/>
      <c r="T190"/>
      <c r="U190"/>
    </row>
    <row r="191" spans="1:21" s="1" customFormat="1" x14ac:dyDescent="0.25">
      <c r="A191" s="1">
        <v>202</v>
      </c>
      <c r="B191" s="1" t="s">
        <v>274</v>
      </c>
      <c r="C191" s="1" t="s">
        <v>275</v>
      </c>
      <c r="D191" s="2">
        <v>42063.730300925927</v>
      </c>
      <c r="E191" s="2">
        <v>42063.846770833334</v>
      </c>
      <c r="F191" s="1">
        <v>2</v>
      </c>
      <c r="G191" s="1">
        <v>4</v>
      </c>
      <c r="H191" s="1">
        <v>14</v>
      </c>
      <c r="I191" s="1">
        <v>4</v>
      </c>
      <c r="J191" s="1">
        <v>1</v>
      </c>
      <c r="K191" s="1">
        <v>3</v>
      </c>
      <c r="L191" s="4">
        <v>61.6</v>
      </c>
      <c r="M191" s="3" t="str">
        <f t="shared" si="26"/>
        <v>Feb</v>
      </c>
      <c r="N191" s="2">
        <v>42063.730312500003</v>
      </c>
      <c r="O191" s="1">
        <f t="shared" si="30"/>
        <v>28</v>
      </c>
      <c r="P191" s="1">
        <f t="shared" si="31"/>
        <v>7</v>
      </c>
      <c r="Q191" s="1">
        <f t="shared" si="32"/>
        <v>17</v>
      </c>
      <c r="S191"/>
      <c r="T191"/>
      <c r="U191"/>
    </row>
    <row r="192" spans="1:21" s="1" customFormat="1" x14ac:dyDescent="0.25">
      <c r="A192" s="1">
        <v>203</v>
      </c>
      <c r="B192" s="1" t="s">
        <v>123</v>
      </c>
      <c r="C192" s="1" t="s">
        <v>276</v>
      </c>
      <c r="D192" s="2">
        <v>42015.826018518521</v>
      </c>
      <c r="E192" s="2">
        <v>42015.826111111113</v>
      </c>
      <c r="F192" s="1">
        <v>1</v>
      </c>
      <c r="G192" s="1">
        <v>4</v>
      </c>
      <c r="H192" s="1">
        <v>2</v>
      </c>
      <c r="I192" s="1">
        <v>3</v>
      </c>
      <c r="J192" s="1">
        <v>1</v>
      </c>
      <c r="K192" s="1">
        <v>4</v>
      </c>
      <c r="L192" s="4">
        <v>28.8</v>
      </c>
      <c r="M192" s="3" t="str">
        <f t="shared" si="26"/>
        <v>Jan</v>
      </c>
      <c r="N192" s="2">
        <v>42015.826041666667</v>
      </c>
      <c r="O192" s="1">
        <f t="shared" si="30"/>
        <v>11</v>
      </c>
      <c r="P192" s="1">
        <f t="shared" si="31"/>
        <v>1</v>
      </c>
      <c r="Q192" s="1">
        <f t="shared" si="32"/>
        <v>19</v>
      </c>
      <c r="S192"/>
      <c r="T192"/>
      <c r="U192"/>
    </row>
    <row r="193" spans="1:21" s="1" customFormat="1" x14ac:dyDescent="0.25">
      <c r="A193" s="1">
        <v>205</v>
      </c>
      <c r="B193" s="1" t="s">
        <v>131</v>
      </c>
      <c r="C193" s="1" t="s">
        <v>277</v>
      </c>
      <c r="D193" s="2">
        <v>42078.834432870368</v>
      </c>
      <c r="E193" s="2">
        <v>42078.834502314814</v>
      </c>
      <c r="F193" s="1">
        <v>1</v>
      </c>
      <c r="G193" s="1">
        <v>0</v>
      </c>
      <c r="H193" s="1">
        <v>4</v>
      </c>
      <c r="I193" s="1">
        <v>3</v>
      </c>
      <c r="J193" s="1">
        <v>1</v>
      </c>
      <c r="K193" s="1">
        <v>2</v>
      </c>
      <c r="L193" s="4">
        <v>18</v>
      </c>
      <c r="M193" s="3" t="str">
        <f t="shared" si="26"/>
        <v>Mar</v>
      </c>
      <c r="N193" s="2">
        <v>42078.834444444445</v>
      </c>
      <c r="O193" s="1">
        <f t="shared" ref="O193:O205" si="33">DAY(N193)</f>
        <v>15</v>
      </c>
      <c r="P193" s="1">
        <f t="shared" ref="P193:P205" si="34">WEEKDAY(N193,1)</f>
        <v>1</v>
      </c>
      <c r="Q193" s="1">
        <f t="shared" ref="Q193:Q205" si="35">HOUR(N193)</f>
        <v>20</v>
      </c>
      <c r="S193"/>
      <c r="T193"/>
      <c r="U193"/>
    </row>
    <row r="194" spans="1:21" s="1" customFormat="1" x14ac:dyDescent="0.25">
      <c r="A194" s="1">
        <v>206</v>
      </c>
      <c r="B194" s="1" t="s">
        <v>94</v>
      </c>
      <c r="C194" s="1" t="s">
        <v>278</v>
      </c>
      <c r="D194" s="2">
        <v>42095.424976851849</v>
      </c>
      <c r="E194" s="2">
        <v>42095.425034722219</v>
      </c>
      <c r="F194" s="1">
        <v>1</v>
      </c>
      <c r="G194" s="1">
        <v>2</v>
      </c>
      <c r="H194" s="1">
        <v>2</v>
      </c>
      <c r="I194" s="1">
        <v>1</v>
      </c>
      <c r="J194" s="1">
        <v>1</v>
      </c>
      <c r="K194" s="1">
        <v>1</v>
      </c>
      <c r="L194" s="4">
        <v>36</v>
      </c>
      <c r="M194" s="3" t="str">
        <f t="shared" si="26"/>
        <v>Apr</v>
      </c>
      <c r="N194" s="2">
        <v>42095.424988425926</v>
      </c>
      <c r="O194" s="1">
        <f t="shared" si="33"/>
        <v>1</v>
      </c>
      <c r="P194" s="1">
        <f t="shared" si="34"/>
        <v>4</v>
      </c>
      <c r="Q194" s="1">
        <f t="shared" si="35"/>
        <v>10</v>
      </c>
      <c r="S194"/>
      <c r="T194"/>
      <c r="U194"/>
    </row>
    <row r="195" spans="1:21" s="1" customFormat="1" x14ac:dyDescent="0.25">
      <c r="A195" s="1">
        <v>207</v>
      </c>
      <c r="B195" s="1" t="s">
        <v>112</v>
      </c>
      <c r="C195" s="1" t="s">
        <v>279</v>
      </c>
      <c r="D195" s="2">
        <v>42195.328032407408</v>
      </c>
      <c r="E195" s="2">
        <v>42195.328090277777</v>
      </c>
      <c r="F195" s="1">
        <v>1</v>
      </c>
      <c r="G195" s="1">
        <v>6</v>
      </c>
      <c r="H195" s="1">
        <v>4</v>
      </c>
      <c r="I195" s="1">
        <v>2</v>
      </c>
      <c r="J195" s="1">
        <v>1</v>
      </c>
      <c r="K195" s="1">
        <v>2</v>
      </c>
      <c r="L195" s="3">
        <v>64.8</v>
      </c>
      <c r="M195" s="3" t="str">
        <f t="shared" ref="M195:M258" si="36">TEXT(N195,"mmm")</f>
        <v>Jul</v>
      </c>
      <c r="N195" s="2">
        <v>42195.328032407408</v>
      </c>
      <c r="O195" s="1">
        <f t="shared" si="33"/>
        <v>10</v>
      </c>
      <c r="P195" s="1">
        <f t="shared" si="34"/>
        <v>6</v>
      </c>
      <c r="Q195" s="1">
        <f t="shared" si="35"/>
        <v>7</v>
      </c>
      <c r="S195"/>
      <c r="T195"/>
      <c r="U195"/>
    </row>
    <row r="196" spans="1:21" s="1" customFormat="1" x14ac:dyDescent="0.25">
      <c r="A196" s="1">
        <v>208</v>
      </c>
      <c r="B196" s="1" t="s">
        <v>274</v>
      </c>
      <c r="C196" s="1" t="s">
        <v>280</v>
      </c>
      <c r="D196" s="2">
        <v>42015.08556712963</v>
      </c>
      <c r="E196" s="2">
        <v>42015.085636574076</v>
      </c>
      <c r="F196" s="1">
        <v>1</v>
      </c>
      <c r="G196" s="1">
        <v>2</v>
      </c>
      <c r="H196" s="1">
        <v>4</v>
      </c>
      <c r="I196" s="1">
        <v>4</v>
      </c>
      <c r="J196" s="1">
        <v>1</v>
      </c>
      <c r="K196" s="1">
        <v>2</v>
      </c>
      <c r="L196" s="4">
        <v>9</v>
      </c>
      <c r="M196" s="3" t="str">
        <f t="shared" si="36"/>
        <v>Jan</v>
      </c>
      <c r="N196" s="2">
        <v>42015.085590277777</v>
      </c>
      <c r="O196" s="1">
        <f t="shared" si="33"/>
        <v>11</v>
      </c>
      <c r="P196" s="1">
        <f t="shared" si="34"/>
        <v>1</v>
      </c>
      <c r="Q196" s="1">
        <f t="shared" si="35"/>
        <v>2</v>
      </c>
      <c r="S196"/>
      <c r="T196"/>
      <c r="U196"/>
    </row>
    <row r="197" spans="1:21" s="1" customFormat="1" x14ac:dyDescent="0.25">
      <c r="A197" s="1">
        <v>209</v>
      </c>
      <c r="D197" s="2">
        <v>42068.601655092592</v>
      </c>
      <c r="E197" s="2">
        <v>42068.601701388892</v>
      </c>
      <c r="F197" s="1">
        <v>1</v>
      </c>
      <c r="G197" s="1">
        <v>2</v>
      </c>
      <c r="H197" s="1">
        <v>10</v>
      </c>
      <c r="I197" s="1">
        <v>3</v>
      </c>
      <c r="J197" s="1">
        <v>1</v>
      </c>
      <c r="K197" s="1">
        <v>2</v>
      </c>
      <c r="L197" s="4">
        <v>14.4</v>
      </c>
      <c r="M197" s="3" t="str">
        <f t="shared" si="36"/>
        <v>Mar</v>
      </c>
      <c r="N197" s="2">
        <v>42068.607604166667</v>
      </c>
      <c r="O197" s="1">
        <f t="shared" si="33"/>
        <v>5</v>
      </c>
      <c r="P197" s="1">
        <f t="shared" si="34"/>
        <v>5</v>
      </c>
      <c r="Q197" s="1">
        <f t="shared" si="35"/>
        <v>14</v>
      </c>
      <c r="S197"/>
      <c r="T197"/>
      <c r="U197"/>
    </row>
    <row r="198" spans="1:21" s="1" customFormat="1" x14ac:dyDescent="0.25">
      <c r="A198" s="1">
        <v>210</v>
      </c>
      <c r="B198" s="1" t="s">
        <v>94</v>
      </c>
      <c r="C198" s="1" t="s">
        <v>281</v>
      </c>
      <c r="D198" s="2">
        <v>42032.84646990741</v>
      </c>
      <c r="E198" s="2">
        <v>42032.846550925926</v>
      </c>
      <c r="F198" s="1">
        <v>1</v>
      </c>
      <c r="G198" s="1">
        <v>0</v>
      </c>
      <c r="H198" s="1">
        <v>6</v>
      </c>
      <c r="I198" s="1">
        <v>1</v>
      </c>
      <c r="J198" s="1">
        <v>1</v>
      </c>
      <c r="K198" s="1">
        <v>3</v>
      </c>
      <c r="L198" s="4">
        <v>21.6</v>
      </c>
      <c r="M198" s="3" t="str">
        <f t="shared" si="36"/>
        <v>Jan</v>
      </c>
      <c r="N198" s="2">
        <v>42032.846493055556</v>
      </c>
      <c r="O198" s="1">
        <f t="shared" si="33"/>
        <v>28</v>
      </c>
      <c r="P198" s="1">
        <f t="shared" si="34"/>
        <v>4</v>
      </c>
      <c r="Q198" s="1">
        <f t="shared" si="35"/>
        <v>20</v>
      </c>
      <c r="S198"/>
      <c r="T198"/>
      <c r="U198"/>
    </row>
    <row r="199" spans="1:21" s="1" customFormat="1" x14ac:dyDescent="0.25">
      <c r="A199" s="1">
        <v>211</v>
      </c>
      <c r="B199" s="1" t="s">
        <v>100</v>
      </c>
      <c r="C199" s="1" t="s">
        <v>282</v>
      </c>
      <c r="D199" s="2">
        <v>42019.902719907404</v>
      </c>
      <c r="E199" s="2">
        <v>42019.902766203704</v>
      </c>
      <c r="F199" s="1">
        <v>1</v>
      </c>
      <c r="G199" s="1">
        <v>0</v>
      </c>
      <c r="H199" s="1">
        <v>4</v>
      </c>
      <c r="I199" s="1">
        <v>2</v>
      </c>
      <c r="J199" s="1">
        <v>1</v>
      </c>
      <c r="K199" s="1">
        <v>2</v>
      </c>
      <c r="L199" s="4">
        <v>9</v>
      </c>
      <c r="M199" s="3" t="str">
        <f t="shared" si="36"/>
        <v>Jan</v>
      </c>
      <c r="N199" s="2">
        <v>42019.902731481481</v>
      </c>
      <c r="O199" s="1">
        <f t="shared" si="33"/>
        <v>15</v>
      </c>
      <c r="P199" s="1">
        <f t="shared" si="34"/>
        <v>5</v>
      </c>
      <c r="Q199" s="1">
        <f t="shared" si="35"/>
        <v>21</v>
      </c>
      <c r="S199"/>
      <c r="T199"/>
      <c r="U199"/>
    </row>
    <row r="200" spans="1:21" s="1" customFormat="1" x14ac:dyDescent="0.25">
      <c r="A200" s="1">
        <v>212</v>
      </c>
      <c r="B200" s="1" t="s">
        <v>103</v>
      </c>
      <c r="C200" s="1" t="s">
        <v>283</v>
      </c>
      <c r="D200" s="2">
        <v>42212.515092592592</v>
      </c>
      <c r="E200" s="2">
        <v>42212.515127314815</v>
      </c>
      <c r="F200" s="1">
        <v>1</v>
      </c>
      <c r="G200" s="1">
        <v>6</v>
      </c>
      <c r="H200" s="1">
        <v>2</v>
      </c>
      <c r="I200" s="1">
        <v>5</v>
      </c>
      <c r="J200" s="1">
        <v>1</v>
      </c>
      <c r="K200" s="1">
        <v>1</v>
      </c>
      <c r="L200" s="3">
        <v>29.92</v>
      </c>
      <c r="M200" s="3" t="str">
        <f t="shared" si="36"/>
        <v>Jul</v>
      </c>
      <c r="N200" s="2">
        <v>42212.515092592592</v>
      </c>
      <c r="O200" s="1">
        <f t="shared" si="33"/>
        <v>27</v>
      </c>
      <c r="P200" s="1">
        <f t="shared" si="34"/>
        <v>2</v>
      </c>
      <c r="Q200" s="1">
        <f t="shared" si="35"/>
        <v>12</v>
      </c>
      <c r="S200"/>
      <c r="T200"/>
      <c r="U200"/>
    </row>
    <row r="201" spans="1:21" s="1" customFormat="1" x14ac:dyDescent="0.25">
      <c r="A201" s="1">
        <v>213</v>
      </c>
      <c r="B201" s="1" t="s">
        <v>83</v>
      </c>
      <c r="C201" s="1" t="s">
        <v>284</v>
      </c>
      <c r="D201" s="2">
        <v>42199.101967592593</v>
      </c>
      <c r="E201" s="2">
        <v>42198.935358796298</v>
      </c>
      <c r="F201" s="1">
        <v>1</v>
      </c>
      <c r="G201" s="1">
        <v>12</v>
      </c>
      <c r="H201" s="1">
        <v>12</v>
      </c>
      <c r="I201" s="1">
        <v>6</v>
      </c>
      <c r="J201" s="1">
        <v>1</v>
      </c>
      <c r="K201" s="1">
        <v>5</v>
      </c>
      <c r="L201" s="3">
        <v>172.8</v>
      </c>
      <c r="M201" s="3" t="str">
        <f t="shared" si="36"/>
        <v>Jul</v>
      </c>
      <c r="N201" s="2">
        <v>42198.935312499998</v>
      </c>
      <c r="O201" s="1">
        <f t="shared" si="33"/>
        <v>13</v>
      </c>
      <c r="P201" s="1">
        <f t="shared" si="34"/>
        <v>2</v>
      </c>
      <c r="Q201" s="1">
        <f t="shared" si="35"/>
        <v>22</v>
      </c>
      <c r="S201"/>
      <c r="T201"/>
      <c r="U201"/>
    </row>
    <row r="202" spans="1:21" s="1" customFormat="1" x14ac:dyDescent="0.25">
      <c r="A202" s="1">
        <v>214</v>
      </c>
      <c r="B202" s="1" t="s">
        <v>285</v>
      </c>
      <c r="C202" s="1" t="s">
        <v>286</v>
      </c>
      <c r="D202" s="2">
        <v>42023.222268518519</v>
      </c>
      <c r="E202" s="2">
        <v>42023.222314814811</v>
      </c>
      <c r="F202" s="1">
        <v>1</v>
      </c>
      <c r="G202" s="1">
        <v>1</v>
      </c>
      <c r="H202" s="1">
        <v>4</v>
      </c>
      <c r="I202" s="1">
        <v>2</v>
      </c>
      <c r="J202" s="1">
        <v>1</v>
      </c>
      <c r="K202" s="1">
        <v>2</v>
      </c>
      <c r="L202" s="4">
        <v>18</v>
      </c>
      <c r="M202" s="3" t="str">
        <f t="shared" si="36"/>
        <v>Jan</v>
      </c>
      <c r="N202" s="2">
        <v>42023.222291666665</v>
      </c>
      <c r="O202" s="1">
        <f t="shared" si="33"/>
        <v>19</v>
      </c>
      <c r="P202" s="1">
        <f t="shared" si="34"/>
        <v>2</v>
      </c>
      <c r="Q202" s="1">
        <f t="shared" si="35"/>
        <v>5</v>
      </c>
      <c r="S202"/>
      <c r="T202"/>
      <c r="U202"/>
    </row>
    <row r="203" spans="1:21" s="1" customFormat="1" x14ac:dyDescent="0.25">
      <c r="A203" s="1">
        <v>215</v>
      </c>
      <c r="B203" s="1" t="s">
        <v>100</v>
      </c>
      <c r="C203" s="1" t="s">
        <v>287</v>
      </c>
      <c r="D203" s="2">
        <v>42177.998206018521</v>
      </c>
      <c r="E203" s="2">
        <v>42177.998252314814</v>
      </c>
      <c r="F203" s="1">
        <v>1</v>
      </c>
      <c r="G203" s="1">
        <v>2</v>
      </c>
      <c r="H203" s="1">
        <v>4</v>
      </c>
      <c r="I203" s="1">
        <v>2</v>
      </c>
      <c r="J203" s="1">
        <v>1</v>
      </c>
      <c r="K203" s="1">
        <v>3</v>
      </c>
      <c r="L203" s="3">
        <v>86.4</v>
      </c>
      <c r="M203" s="3" t="str">
        <f t="shared" si="36"/>
        <v>Jun</v>
      </c>
      <c r="N203" s="2">
        <v>42177.998217592591</v>
      </c>
      <c r="O203" s="1">
        <f t="shared" si="33"/>
        <v>22</v>
      </c>
      <c r="P203" s="1">
        <f t="shared" si="34"/>
        <v>2</v>
      </c>
      <c r="Q203" s="1">
        <f t="shared" si="35"/>
        <v>23</v>
      </c>
      <c r="S203"/>
      <c r="T203"/>
      <c r="U203"/>
    </row>
    <row r="204" spans="1:21" s="1" customFormat="1" x14ac:dyDescent="0.25">
      <c r="A204" s="1">
        <v>216</v>
      </c>
      <c r="B204" s="1" t="s">
        <v>239</v>
      </c>
      <c r="C204" s="1" t="s">
        <v>288</v>
      </c>
      <c r="D204" s="2">
        <v>42026.799305555556</v>
      </c>
      <c r="E204" s="2">
        <v>42026.799351851849</v>
      </c>
      <c r="F204" s="1">
        <v>1</v>
      </c>
      <c r="G204" s="1">
        <v>0</v>
      </c>
      <c r="H204" s="1">
        <v>4</v>
      </c>
      <c r="I204" s="1">
        <v>2</v>
      </c>
      <c r="J204" s="1">
        <v>1</v>
      </c>
      <c r="K204" s="1">
        <v>2</v>
      </c>
      <c r="L204" s="4">
        <v>9</v>
      </c>
      <c r="M204" s="3" t="str">
        <f t="shared" si="36"/>
        <v>Jan</v>
      </c>
      <c r="N204" s="2">
        <v>42026.799317129633</v>
      </c>
      <c r="O204" s="1">
        <f t="shared" si="33"/>
        <v>22</v>
      </c>
      <c r="P204" s="1">
        <f t="shared" si="34"/>
        <v>5</v>
      </c>
      <c r="Q204" s="1">
        <f t="shared" si="35"/>
        <v>19</v>
      </c>
      <c r="S204"/>
      <c r="T204"/>
      <c r="U204"/>
    </row>
    <row r="205" spans="1:21" s="1" customFormat="1" x14ac:dyDescent="0.25">
      <c r="A205" s="1">
        <v>217</v>
      </c>
      <c r="B205" s="1" t="s">
        <v>89</v>
      </c>
      <c r="C205" s="1" t="s">
        <v>289</v>
      </c>
      <c r="D205" s="2">
        <v>42227.440324074072</v>
      </c>
      <c r="E205" s="2">
        <v>42227.440370370372</v>
      </c>
      <c r="F205" s="1">
        <v>1</v>
      </c>
      <c r="G205" s="1">
        <v>4</v>
      </c>
      <c r="H205" s="1">
        <v>4</v>
      </c>
      <c r="I205" s="1">
        <v>2</v>
      </c>
      <c r="J205" s="1">
        <v>1</v>
      </c>
      <c r="K205" s="1">
        <v>2</v>
      </c>
      <c r="L205" s="3">
        <v>38.72</v>
      </c>
      <c r="M205" s="3" t="str">
        <f t="shared" si="36"/>
        <v>Aug</v>
      </c>
      <c r="N205" s="2">
        <v>42227.440324074072</v>
      </c>
      <c r="O205" s="1">
        <f t="shared" si="33"/>
        <v>11</v>
      </c>
      <c r="P205" s="1">
        <f t="shared" si="34"/>
        <v>3</v>
      </c>
      <c r="Q205" s="1">
        <f t="shared" si="35"/>
        <v>10</v>
      </c>
      <c r="S205"/>
      <c r="T205"/>
      <c r="U205"/>
    </row>
    <row r="206" spans="1:21" s="1" customFormat="1" x14ac:dyDescent="0.25">
      <c r="A206" s="1">
        <v>219</v>
      </c>
      <c r="D206" s="2">
        <v>42163.806689814817</v>
      </c>
      <c r="E206" s="2">
        <v>42237.305868055555</v>
      </c>
      <c r="F206" s="1">
        <v>22</v>
      </c>
      <c r="G206" s="1">
        <v>24</v>
      </c>
      <c r="H206" s="1">
        <v>21</v>
      </c>
      <c r="I206" s="1">
        <v>17</v>
      </c>
      <c r="J206" s="1">
        <v>1</v>
      </c>
      <c r="K206" s="1">
        <v>2</v>
      </c>
      <c r="L206" s="3">
        <v>31.5</v>
      </c>
      <c r="M206" s="3" t="str">
        <f t="shared" si="36"/>
        <v>Aug</v>
      </c>
      <c r="N206" s="2">
        <v>42237.317361111112</v>
      </c>
      <c r="O206" s="1">
        <f t="shared" ref="O206:O269" si="37">DAY(N206)</f>
        <v>21</v>
      </c>
      <c r="P206" s="1">
        <f t="shared" ref="P206:P269" si="38">WEEKDAY(N206,1)</f>
        <v>6</v>
      </c>
      <c r="Q206" s="1">
        <f t="shared" ref="Q206:Q269" si="39">HOUR(N206)</f>
        <v>7</v>
      </c>
      <c r="S206"/>
      <c r="T206"/>
      <c r="U206"/>
    </row>
    <row r="207" spans="1:21" s="1" customFormat="1" x14ac:dyDescent="0.25">
      <c r="A207" s="1">
        <v>220</v>
      </c>
      <c r="B207" s="1" t="s">
        <v>85</v>
      </c>
      <c r="C207" s="1" t="s">
        <v>290</v>
      </c>
      <c r="D207" s="2">
        <v>42117.581030092595</v>
      </c>
      <c r="E207" s="2">
        <v>42117.581076388888</v>
      </c>
      <c r="F207" s="1">
        <v>1</v>
      </c>
      <c r="G207" s="1">
        <v>2</v>
      </c>
      <c r="H207" s="1">
        <v>4</v>
      </c>
      <c r="I207" s="1">
        <v>1</v>
      </c>
      <c r="J207" s="1">
        <v>1</v>
      </c>
      <c r="K207" s="1">
        <v>2</v>
      </c>
      <c r="L207" s="4">
        <v>18</v>
      </c>
      <c r="M207" s="3" t="str">
        <f t="shared" si="36"/>
        <v>Apr</v>
      </c>
      <c r="N207" s="2">
        <v>42117.581041666665</v>
      </c>
      <c r="O207" s="1">
        <f t="shared" si="37"/>
        <v>23</v>
      </c>
      <c r="P207" s="1">
        <f t="shared" si="38"/>
        <v>5</v>
      </c>
      <c r="Q207" s="1">
        <f t="shared" si="39"/>
        <v>13</v>
      </c>
      <c r="S207"/>
      <c r="T207"/>
      <c r="U207"/>
    </row>
    <row r="208" spans="1:21" s="1" customFormat="1" x14ac:dyDescent="0.25">
      <c r="A208" s="1">
        <v>221</v>
      </c>
      <c r="B208" s="1" t="s">
        <v>87</v>
      </c>
      <c r="C208" s="1" t="s">
        <v>291</v>
      </c>
      <c r="D208" s="2">
        <v>42139.628020833334</v>
      </c>
      <c r="E208" s="2">
        <v>42139.628055555557</v>
      </c>
      <c r="F208" s="1">
        <v>1</v>
      </c>
      <c r="G208" s="1">
        <v>0</v>
      </c>
      <c r="H208" s="1">
        <v>2</v>
      </c>
      <c r="I208" s="1">
        <v>2</v>
      </c>
      <c r="J208" s="1">
        <v>1</v>
      </c>
      <c r="K208" s="1">
        <v>4</v>
      </c>
      <c r="L208" s="4">
        <v>28.8</v>
      </c>
      <c r="M208" s="3" t="str">
        <f t="shared" si="36"/>
        <v>May</v>
      </c>
      <c r="N208" s="2">
        <v>42139.628032407411</v>
      </c>
      <c r="O208" s="1">
        <f t="shared" si="37"/>
        <v>15</v>
      </c>
      <c r="P208" s="1">
        <f t="shared" si="38"/>
        <v>6</v>
      </c>
      <c r="Q208" s="1">
        <f t="shared" si="39"/>
        <v>15</v>
      </c>
      <c r="S208"/>
      <c r="T208"/>
      <c r="U208"/>
    </row>
    <row r="209" spans="1:21" s="1" customFormat="1" x14ac:dyDescent="0.25">
      <c r="A209" s="1">
        <v>222</v>
      </c>
      <c r="B209" s="1" t="s">
        <v>147</v>
      </c>
      <c r="C209" s="1" t="s">
        <v>292</v>
      </c>
      <c r="D209" s="2">
        <v>42168.507523148146</v>
      </c>
      <c r="E209" s="2">
        <v>42168.507581018515</v>
      </c>
      <c r="F209" s="1">
        <v>1</v>
      </c>
      <c r="G209" s="1">
        <v>4</v>
      </c>
      <c r="H209" s="1">
        <v>8</v>
      </c>
      <c r="I209" s="1">
        <v>2</v>
      </c>
      <c r="J209" s="1">
        <v>1</v>
      </c>
      <c r="K209" s="1">
        <v>7</v>
      </c>
      <c r="L209" s="3">
        <v>47.25</v>
      </c>
      <c r="M209" s="3" t="str">
        <f t="shared" si="36"/>
        <v>Jun</v>
      </c>
      <c r="N209" s="2">
        <v>42168.507534722223</v>
      </c>
      <c r="O209" s="1">
        <f t="shared" si="37"/>
        <v>13</v>
      </c>
      <c r="P209" s="1">
        <f t="shared" si="38"/>
        <v>7</v>
      </c>
      <c r="Q209" s="1">
        <f t="shared" si="39"/>
        <v>12</v>
      </c>
      <c r="S209"/>
      <c r="T209"/>
      <c r="U209"/>
    </row>
    <row r="210" spans="1:21" s="1" customFormat="1" x14ac:dyDescent="0.25">
      <c r="A210" s="1">
        <v>223</v>
      </c>
      <c r="B210" s="1" t="s">
        <v>147</v>
      </c>
      <c r="C210" s="1" t="s">
        <v>293</v>
      </c>
      <c r="D210" s="2">
        <v>42084.353217592594</v>
      </c>
      <c r="E210" s="2">
        <v>42084.353310185186</v>
      </c>
      <c r="F210" s="1">
        <v>1</v>
      </c>
      <c r="G210" s="1">
        <v>8</v>
      </c>
      <c r="H210" s="1">
        <v>18</v>
      </c>
      <c r="I210" s="1">
        <v>3</v>
      </c>
      <c r="J210" s="1">
        <v>1</v>
      </c>
      <c r="K210" s="1">
        <v>8</v>
      </c>
      <c r="L210" s="4">
        <v>70</v>
      </c>
      <c r="M210" s="3" t="str">
        <f t="shared" si="36"/>
        <v>Mar</v>
      </c>
      <c r="N210" s="2">
        <v>42084.35324074074</v>
      </c>
      <c r="O210" s="1">
        <f t="shared" si="37"/>
        <v>21</v>
      </c>
      <c r="P210" s="1">
        <f t="shared" si="38"/>
        <v>7</v>
      </c>
      <c r="Q210" s="1">
        <f t="shared" si="39"/>
        <v>8</v>
      </c>
      <c r="S210"/>
      <c r="T210"/>
      <c r="U210"/>
    </row>
    <row r="211" spans="1:21" s="1" customFormat="1" x14ac:dyDescent="0.25">
      <c r="A211" s="1">
        <v>224</v>
      </c>
      <c r="B211" s="1" t="s">
        <v>91</v>
      </c>
      <c r="C211" s="1" t="s">
        <v>294</v>
      </c>
      <c r="D211" s="2">
        <v>42057.508935185186</v>
      </c>
      <c r="E211" s="2">
        <v>42057.508993055555</v>
      </c>
      <c r="F211" s="1">
        <v>1</v>
      </c>
      <c r="G211" s="1">
        <v>0</v>
      </c>
      <c r="H211" s="1">
        <v>8</v>
      </c>
      <c r="I211" s="1">
        <v>1</v>
      </c>
      <c r="J211" s="1">
        <v>1</v>
      </c>
      <c r="K211" s="1">
        <v>4</v>
      </c>
      <c r="L211" s="4">
        <v>28.8</v>
      </c>
      <c r="M211" s="3" t="str">
        <f t="shared" si="36"/>
        <v>Feb</v>
      </c>
      <c r="N211" s="2">
        <v>42057.508946759262</v>
      </c>
      <c r="O211" s="1">
        <f t="shared" si="37"/>
        <v>22</v>
      </c>
      <c r="P211" s="1">
        <f t="shared" si="38"/>
        <v>1</v>
      </c>
      <c r="Q211" s="1">
        <f t="shared" si="39"/>
        <v>12</v>
      </c>
      <c r="S211"/>
      <c r="T211"/>
      <c r="U211"/>
    </row>
    <row r="212" spans="1:21" s="1" customFormat="1" x14ac:dyDescent="0.25">
      <c r="A212" s="1">
        <v>225</v>
      </c>
      <c r="B212" s="1" t="s">
        <v>123</v>
      </c>
      <c r="C212" s="1" t="s">
        <v>295</v>
      </c>
      <c r="D212" s="2">
        <v>42046.755972222221</v>
      </c>
      <c r="E212" s="2">
        <v>42055.612453703703</v>
      </c>
      <c r="F212" s="1">
        <v>5</v>
      </c>
      <c r="G212" s="1">
        <v>10</v>
      </c>
      <c r="H212" s="1">
        <v>13</v>
      </c>
      <c r="I212" s="1">
        <v>8</v>
      </c>
      <c r="J212" s="1">
        <v>1</v>
      </c>
      <c r="K212" s="1">
        <v>4</v>
      </c>
      <c r="L212" s="4">
        <v>201.6</v>
      </c>
      <c r="M212" s="3" t="str">
        <f t="shared" si="36"/>
        <v>Feb</v>
      </c>
      <c r="N212" s="2">
        <v>42046.756006944444</v>
      </c>
      <c r="O212" s="1">
        <f t="shared" si="37"/>
        <v>11</v>
      </c>
      <c r="P212" s="1">
        <f t="shared" si="38"/>
        <v>4</v>
      </c>
      <c r="Q212" s="1">
        <f t="shared" si="39"/>
        <v>18</v>
      </c>
      <c r="S212"/>
      <c r="T212"/>
      <c r="U212"/>
    </row>
    <row r="213" spans="1:21" s="1" customFormat="1" x14ac:dyDescent="0.25">
      <c r="A213" s="1">
        <v>226</v>
      </c>
      <c r="B213" s="1" t="s">
        <v>134</v>
      </c>
      <c r="C213" s="1" t="s">
        <v>296</v>
      </c>
      <c r="D213" s="2">
        <v>42229.512407407405</v>
      </c>
      <c r="E213" s="2">
        <v>42229.512430555558</v>
      </c>
      <c r="F213" s="1">
        <v>1</v>
      </c>
      <c r="G213" s="1">
        <v>2</v>
      </c>
      <c r="H213" s="1">
        <v>2</v>
      </c>
      <c r="I213" s="1">
        <v>2</v>
      </c>
      <c r="J213" s="1">
        <v>1</v>
      </c>
      <c r="K213" s="1">
        <v>2</v>
      </c>
      <c r="L213" s="3">
        <v>59.84</v>
      </c>
      <c r="M213" s="3" t="str">
        <f t="shared" si="36"/>
        <v>Aug</v>
      </c>
      <c r="N213" s="2">
        <v>42229.512407407405</v>
      </c>
      <c r="O213" s="1">
        <f t="shared" si="37"/>
        <v>13</v>
      </c>
      <c r="P213" s="1">
        <f t="shared" si="38"/>
        <v>5</v>
      </c>
      <c r="Q213" s="1">
        <f t="shared" si="39"/>
        <v>12</v>
      </c>
      <c r="S213"/>
      <c r="T213"/>
      <c r="U213"/>
    </row>
    <row r="214" spans="1:21" s="1" customFormat="1" x14ac:dyDescent="0.25">
      <c r="A214" s="1">
        <v>227</v>
      </c>
      <c r="B214" s="1" t="s">
        <v>100</v>
      </c>
      <c r="C214" s="1" t="s">
        <v>297</v>
      </c>
      <c r="D214" s="2">
        <v>42250.748506944445</v>
      </c>
      <c r="E214" s="2">
        <v>42250.58189814815</v>
      </c>
      <c r="F214" s="1">
        <v>1</v>
      </c>
      <c r="G214" s="1">
        <v>2</v>
      </c>
      <c r="H214" s="1">
        <v>4</v>
      </c>
      <c r="I214" s="1">
        <v>3</v>
      </c>
      <c r="J214" s="1">
        <v>1</v>
      </c>
      <c r="K214" s="1">
        <v>2</v>
      </c>
      <c r="L214" s="3">
        <v>22</v>
      </c>
      <c r="M214" s="3" t="str">
        <f t="shared" si="36"/>
        <v>Sep</v>
      </c>
      <c r="N214" s="2">
        <v>42250.58185185185</v>
      </c>
      <c r="O214" s="1">
        <f t="shared" si="37"/>
        <v>3</v>
      </c>
      <c r="P214" s="1">
        <f t="shared" si="38"/>
        <v>5</v>
      </c>
      <c r="Q214" s="1">
        <f t="shared" si="39"/>
        <v>13</v>
      </c>
      <c r="S214"/>
      <c r="T214"/>
      <c r="U214"/>
    </row>
    <row r="215" spans="1:21" s="1" customFormat="1" x14ac:dyDescent="0.25">
      <c r="A215" s="1">
        <v>228</v>
      </c>
      <c r="B215" s="1" t="s">
        <v>119</v>
      </c>
      <c r="C215" s="1" t="s">
        <v>298</v>
      </c>
      <c r="D215" s="2">
        <v>42026.078425925924</v>
      </c>
      <c r="E215" s="2">
        <v>42026.078472222223</v>
      </c>
      <c r="F215" s="1">
        <v>1</v>
      </c>
      <c r="G215" s="1">
        <v>0</v>
      </c>
      <c r="H215" s="1">
        <v>2</v>
      </c>
      <c r="I215" s="1">
        <v>2</v>
      </c>
      <c r="J215" s="1">
        <v>1</v>
      </c>
      <c r="K215" s="1">
        <v>5</v>
      </c>
      <c r="L215" s="4">
        <v>36</v>
      </c>
      <c r="M215" s="3" t="str">
        <f t="shared" si="36"/>
        <v>Jan</v>
      </c>
      <c r="N215" s="2">
        <v>42026.0784375</v>
      </c>
      <c r="O215" s="1">
        <f t="shared" si="37"/>
        <v>22</v>
      </c>
      <c r="P215" s="1">
        <f t="shared" si="38"/>
        <v>5</v>
      </c>
      <c r="Q215" s="1">
        <f t="shared" si="39"/>
        <v>1</v>
      </c>
      <c r="S215"/>
      <c r="T215"/>
      <c r="U215"/>
    </row>
    <row r="216" spans="1:21" s="1" customFormat="1" x14ac:dyDescent="0.25">
      <c r="A216" s="1">
        <v>229</v>
      </c>
      <c r="B216" s="1" t="s">
        <v>234</v>
      </c>
      <c r="C216" s="1" t="s">
        <v>299</v>
      </c>
      <c r="D216" s="2">
        <v>42138.857303240744</v>
      </c>
      <c r="E216" s="2">
        <v>42138.857361111113</v>
      </c>
      <c r="F216" s="1">
        <v>1</v>
      </c>
      <c r="G216" s="1">
        <v>0</v>
      </c>
      <c r="H216" s="1">
        <v>2</v>
      </c>
      <c r="I216" s="1">
        <v>2</v>
      </c>
      <c r="J216" s="1">
        <v>1</v>
      </c>
      <c r="K216" s="1">
        <v>3</v>
      </c>
      <c r="L216" s="4">
        <v>21.6</v>
      </c>
      <c r="M216" s="3" t="str">
        <f t="shared" si="36"/>
        <v>May</v>
      </c>
      <c r="N216" s="2">
        <v>42138.857314814813</v>
      </c>
      <c r="O216" s="1">
        <f t="shared" si="37"/>
        <v>14</v>
      </c>
      <c r="P216" s="1">
        <f t="shared" si="38"/>
        <v>5</v>
      </c>
      <c r="Q216" s="1">
        <f t="shared" si="39"/>
        <v>20</v>
      </c>
      <c r="S216"/>
      <c r="T216"/>
      <c r="U216"/>
    </row>
    <row r="217" spans="1:21" s="1" customFormat="1" x14ac:dyDescent="0.25">
      <c r="A217" s="1">
        <v>230</v>
      </c>
      <c r="B217" s="1" t="s">
        <v>245</v>
      </c>
      <c r="C217" s="1" t="s">
        <v>300</v>
      </c>
      <c r="D217" s="2">
        <v>42025.4059837963</v>
      </c>
      <c r="E217" s="2">
        <v>42025.406030092592</v>
      </c>
      <c r="F217" s="1">
        <v>1</v>
      </c>
      <c r="G217" s="1">
        <v>2</v>
      </c>
      <c r="H217" s="1">
        <v>8</v>
      </c>
      <c r="I217" s="1">
        <v>2</v>
      </c>
      <c r="J217" s="1">
        <v>1</v>
      </c>
      <c r="K217" s="1">
        <v>4</v>
      </c>
      <c r="L217" s="4">
        <v>28.8</v>
      </c>
      <c r="M217" s="3" t="str">
        <f t="shared" si="36"/>
        <v>Jan</v>
      </c>
      <c r="N217" s="2">
        <v>42025.406006944446</v>
      </c>
      <c r="O217" s="1">
        <f t="shared" si="37"/>
        <v>21</v>
      </c>
      <c r="P217" s="1">
        <f t="shared" si="38"/>
        <v>4</v>
      </c>
      <c r="Q217" s="1">
        <f t="shared" si="39"/>
        <v>9</v>
      </c>
      <c r="S217"/>
      <c r="T217"/>
      <c r="U217"/>
    </row>
    <row r="218" spans="1:21" s="1" customFormat="1" x14ac:dyDescent="0.25">
      <c r="A218" s="1">
        <v>231</v>
      </c>
      <c r="B218" s="1" t="s">
        <v>100</v>
      </c>
      <c r="C218" s="1" t="s">
        <v>301</v>
      </c>
      <c r="D218" s="2">
        <v>42143.593634259261</v>
      </c>
      <c r="E218" s="2">
        <v>42143.593680555554</v>
      </c>
      <c r="F218" s="1">
        <v>1</v>
      </c>
      <c r="G218" s="1">
        <v>2</v>
      </c>
      <c r="H218" s="1">
        <v>10</v>
      </c>
      <c r="I218" s="1">
        <v>2</v>
      </c>
      <c r="J218" s="1">
        <v>1</v>
      </c>
      <c r="K218" s="1">
        <v>1</v>
      </c>
      <c r="L218" s="4">
        <v>57.6</v>
      </c>
      <c r="M218" s="3" t="str">
        <f t="shared" si="36"/>
        <v>May</v>
      </c>
      <c r="N218" s="2">
        <v>42143.593645833331</v>
      </c>
      <c r="O218" s="1">
        <f t="shared" si="37"/>
        <v>19</v>
      </c>
      <c r="P218" s="1">
        <f t="shared" si="38"/>
        <v>3</v>
      </c>
      <c r="Q218" s="1">
        <f t="shared" si="39"/>
        <v>14</v>
      </c>
      <c r="S218"/>
      <c r="T218"/>
      <c r="U218"/>
    </row>
    <row r="219" spans="1:21" s="1" customFormat="1" x14ac:dyDescent="0.25">
      <c r="A219" s="1">
        <v>232</v>
      </c>
      <c r="B219" s="1" t="s">
        <v>234</v>
      </c>
      <c r="C219" s="1" t="s">
        <v>302</v>
      </c>
      <c r="D219" s="2">
        <v>42183.685277777775</v>
      </c>
      <c r="E219" s="2">
        <v>42183.518657407411</v>
      </c>
      <c r="F219" s="1">
        <v>1</v>
      </c>
      <c r="G219" s="1">
        <v>6</v>
      </c>
      <c r="H219" s="1">
        <v>4</v>
      </c>
      <c r="I219" s="1">
        <v>2</v>
      </c>
      <c r="J219" s="1">
        <v>1</v>
      </c>
      <c r="K219" s="1">
        <v>1</v>
      </c>
      <c r="L219" s="3">
        <v>28.8</v>
      </c>
      <c r="M219" s="3" t="str">
        <f t="shared" si="36"/>
        <v>Jun</v>
      </c>
      <c r="N219" s="2">
        <v>42183.518622685187</v>
      </c>
      <c r="O219" s="1">
        <f t="shared" si="37"/>
        <v>28</v>
      </c>
      <c r="P219" s="1">
        <f t="shared" si="38"/>
        <v>1</v>
      </c>
      <c r="Q219" s="1">
        <f t="shared" si="39"/>
        <v>12</v>
      </c>
      <c r="S219"/>
      <c r="T219"/>
      <c r="U219"/>
    </row>
    <row r="220" spans="1:21" s="1" customFormat="1" x14ac:dyDescent="0.25">
      <c r="A220" s="1">
        <v>233</v>
      </c>
      <c r="B220" s="1" t="s">
        <v>85</v>
      </c>
      <c r="C220" s="1" t="s">
        <v>303</v>
      </c>
      <c r="D220" s="2">
        <v>42236.796412037038</v>
      </c>
      <c r="E220" s="2">
        <v>42237.726030092592</v>
      </c>
      <c r="F220" s="1">
        <v>5</v>
      </c>
      <c r="G220" s="1">
        <v>0</v>
      </c>
      <c r="H220" s="1">
        <v>2</v>
      </c>
      <c r="I220" s="1">
        <v>4</v>
      </c>
      <c r="J220" s="1">
        <v>1</v>
      </c>
      <c r="K220" s="1">
        <v>1</v>
      </c>
      <c r="L220" s="3">
        <v>28.05</v>
      </c>
      <c r="M220" s="3" t="str">
        <f t="shared" si="36"/>
        <v>Aug</v>
      </c>
      <c r="N220" s="2">
        <v>42236.796412037038</v>
      </c>
      <c r="O220" s="1">
        <f t="shared" si="37"/>
        <v>20</v>
      </c>
      <c r="P220" s="1">
        <f t="shared" si="38"/>
        <v>5</v>
      </c>
      <c r="Q220" s="1">
        <f t="shared" si="39"/>
        <v>19</v>
      </c>
      <c r="S220"/>
      <c r="T220"/>
      <c r="U220"/>
    </row>
    <row r="221" spans="1:21" s="1" customFormat="1" x14ac:dyDescent="0.25">
      <c r="A221" s="1">
        <v>234</v>
      </c>
      <c r="B221" s="1" t="s">
        <v>198</v>
      </c>
      <c r="C221" s="1" t="s">
        <v>304</v>
      </c>
      <c r="D221" s="2">
        <v>42084.009699074071</v>
      </c>
      <c r="E221" s="2">
        <v>42084.870509259257</v>
      </c>
      <c r="F221" s="1">
        <v>2</v>
      </c>
      <c r="G221" s="1">
        <v>2</v>
      </c>
      <c r="H221" s="1">
        <v>4</v>
      </c>
      <c r="I221" s="1">
        <v>1</v>
      </c>
      <c r="J221" s="1">
        <v>1</v>
      </c>
      <c r="K221" s="1">
        <v>4</v>
      </c>
      <c r="L221" s="4">
        <v>28.8</v>
      </c>
      <c r="M221" s="3" t="str">
        <f t="shared" si="36"/>
        <v>Mar</v>
      </c>
      <c r="N221" s="2">
        <v>42084.009710648148</v>
      </c>
      <c r="O221" s="1">
        <f t="shared" si="37"/>
        <v>21</v>
      </c>
      <c r="P221" s="1">
        <f t="shared" si="38"/>
        <v>7</v>
      </c>
      <c r="Q221" s="1">
        <f t="shared" si="39"/>
        <v>0</v>
      </c>
      <c r="S221"/>
      <c r="T221"/>
      <c r="U221"/>
    </row>
    <row r="222" spans="1:21" s="1" customFormat="1" x14ac:dyDescent="0.25">
      <c r="A222" s="1">
        <v>235</v>
      </c>
      <c r="B222" s="1" t="s">
        <v>195</v>
      </c>
      <c r="C222" s="1" t="s">
        <v>305</v>
      </c>
      <c r="D222" s="2">
        <v>42040.687604166669</v>
      </c>
      <c r="E222" s="2">
        <v>42040.831967592596</v>
      </c>
      <c r="F222" s="1">
        <v>3</v>
      </c>
      <c r="G222" s="1">
        <v>0</v>
      </c>
      <c r="H222" s="1">
        <v>8</v>
      </c>
      <c r="I222" s="1">
        <v>2</v>
      </c>
      <c r="J222" s="1">
        <v>1</v>
      </c>
      <c r="K222" s="1">
        <v>4</v>
      </c>
      <c r="L222" s="4">
        <v>36</v>
      </c>
      <c r="M222" s="3" t="str">
        <f t="shared" si="36"/>
        <v>Feb</v>
      </c>
      <c r="N222" s="2">
        <v>42040.687627314815</v>
      </c>
      <c r="O222" s="1">
        <f t="shared" si="37"/>
        <v>5</v>
      </c>
      <c r="P222" s="1">
        <f t="shared" si="38"/>
        <v>5</v>
      </c>
      <c r="Q222" s="1">
        <f t="shared" si="39"/>
        <v>16</v>
      </c>
      <c r="S222"/>
      <c r="T222"/>
      <c r="U222"/>
    </row>
    <row r="223" spans="1:21" s="1" customFormat="1" x14ac:dyDescent="0.25">
      <c r="A223" s="1">
        <v>236</v>
      </c>
      <c r="B223" s="1" t="s">
        <v>100</v>
      </c>
      <c r="C223" s="1" t="s">
        <v>306</v>
      </c>
      <c r="D223" s="2">
        <v>42108.519201388888</v>
      </c>
      <c r="E223" s="2">
        <v>42108.519259259258</v>
      </c>
      <c r="F223" s="1">
        <v>1</v>
      </c>
      <c r="G223" s="1">
        <v>0</v>
      </c>
      <c r="H223" s="1">
        <v>6</v>
      </c>
      <c r="I223" s="1">
        <v>1</v>
      </c>
      <c r="J223" s="1">
        <v>1</v>
      </c>
      <c r="K223" s="1">
        <v>3</v>
      </c>
      <c r="L223" s="4">
        <v>18</v>
      </c>
      <c r="M223" s="3" t="str">
        <f t="shared" si="36"/>
        <v>Apr</v>
      </c>
      <c r="N223" s="2">
        <v>42108.519212962965</v>
      </c>
      <c r="O223" s="1">
        <f t="shared" si="37"/>
        <v>14</v>
      </c>
      <c r="P223" s="1">
        <f t="shared" si="38"/>
        <v>3</v>
      </c>
      <c r="Q223" s="1">
        <f t="shared" si="39"/>
        <v>12</v>
      </c>
      <c r="S223"/>
      <c r="T223"/>
      <c r="U223"/>
    </row>
    <row r="224" spans="1:21" s="1" customFormat="1" x14ac:dyDescent="0.25">
      <c r="A224" s="1">
        <v>237</v>
      </c>
      <c r="B224" s="1" t="s">
        <v>98</v>
      </c>
      <c r="C224" s="1" t="s">
        <v>307</v>
      </c>
      <c r="D224" s="2">
        <v>42231.938784722224</v>
      </c>
      <c r="E224" s="2">
        <v>42231.772141203706</v>
      </c>
      <c r="F224" s="1">
        <v>1</v>
      </c>
      <c r="G224" s="1">
        <v>14</v>
      </c>
      <c r="H224" s="1">
        <v>8</v>
      </c>
      <c r="I224" s="1">
        <v>2</v>
      </c>
      <c r="J224" s="1">
        <v>1</v>
      </c>
      <c r="K224" s="1">
        <v>4</v>
      </c>
      <c r="L224" s="3">
        <v>124.96</v>
      </c>
      <c r="M224" s="3" t="str">
        <f t="shared" si="36"/>
        <v>Aug</v>
      </c>
      <c r="N224" s="2">
        <v>42231.775023148148</v>
      </c>
      <c r="O224" s="1">
        <f t="shared" si="37"/>
        <v>15</v>
      </c>
      <c r="P224" s="1">
        <f t="shared" si="38"/>
        <v>7</v>
      </c>
      <c r="Q224" s="1">
        <f t="shared" si="39"/>
        <v>18</v>
      </c>
      <c r="S224"/>
      <c r="T224"/>
      <c r="U224"/>
    </row>
    <row r="225" spans="1:21" s="1" customFormat="1" x14ac:dyDescent="0.25">
      <c r="A225" s="1">
        <v>238</v>
      </c>
      <c r="D225" s="2">
        <v>42166.774988425925</v>
      </c>
      <c r="E225" s="2">
        <v>42166.71020833333</v>
      </c>
      <c r="F225" s="1">
        <v>3</v>
      </c>
      <c r="G225" s="1">
        <v>0</v>
      </c>
      <c r="H225" s="1">
        <v>3</v>
      </c>
      <c r="I225" s="1">
        <v>7</v>
      </c>
      <c r="J225" s="1">
        <v>1</v>
      </c>
      <c r="K225" s="1">
        <v>2</v>
      </c>
      <c r="L225" s="3">
        <v>14.4</v>
      </c>
      <c r="M225" s="3" t="str">
        <f t="shared" si="36"/>
        <v>Jun</v>
      </c>
      <c r="N225" s="2">
        <v>42166.618877314817</v>
      </c>
      <c r="O225" s="1">
        <f t="shared" si="37"/>
        <v>11</v>
      </c>
      <c r="P225" s="1">
        <f t="shared" si="38"/>
        <v>5</v>
      </c>
      <c r="Q225" s="1">
        <f t="shared" si="39"/>
        <v>14</v>
      </c>
      <c r="S225"/>
      <c r="T225"/>
      <c r="U225"/>
    </row>
    <row r="226" spans="1:21" s="1" customFormat="1" x14ac:dyDescent="0.25">
      <c r="A226" s="1">
        <v>239</v>
      </c>
      <c r="B226" s="1" t="s">
        <v>100</v>
      </c>
      <c r="C226" s="1" t="s">
        <v>308</v>
      </c>
      <c r="D226" s="2">
        <v>42031.677870370368</v>
      </c>
      <c r="E226" s="2">
        <v>42031.677916666667</v>
      </c>
      <c r="F226" s="1">
        <v>1</v>
      </c>
      <c r="G226" s="1">
        <v>2</v>
      </c>
      <c r="H226" s="1">
        <v>14</v>
      </c>
      <c r="I226" s="1">
        <v>3</v>
      </c>
      <c r="J226" s="1">
        <v>1</v>
      </c>
      <c r="K226" s="1">
        <v>4</v>
      </c>
      <c r="L226" s="4">
        <v>30.6</v>
      </c>
      <c r="M226" s="3" t="str">
        <f t="shared" si="36"/>
        <v>Jan</v>
      </c>
      <c r="N226" s="2">
        <v>42031.677893518521</v>
      </c>
      <c r="O226" s="1">
        <f t="shared" si="37"/>
        <v>27</v>
      </c>
      <c r="P226" s="1">
        <f t="shared" si="38"/>
        <v>3</v>
      </c>
      <c r="Q226" s="1">
        <f t="shared" si="39"/>
        <v>16</v>
      </c>
      <c r="S226"/>
      <c r="T226"/>
      <c r="U226"/>
    </row>
    <row r="227" spans="1:21" s="1" customFormat="1" x14ac:dyDescent="0.25">
      <c r="A227" s="1">
        <v>240</v>
      </c>
      <c r="B227" s="1" t="s">
        <v>100</v>
      </c>
      <c r="C227" s="1" t="s">
        <v>309</v>
      </c>
      <c r="D227" s="2">
        <v>42235.520428240743</v>
      </c>
      <c r="E227" s="2">
        <v>42235.520462962966</v>
      </c>
      <c r="F227" s="1">
        <v>1</v>
      </c>
      <c r="G227" s="1">
        <v>2</v>
      </c>
      <c r="H227" s="1">
        <v>6</v>
      </c>
      <c r="I227" s="1">
        <v>2</v>
      </c>
      <c r="J227" s="1">
        <v>1</v>
      </c>
      <c r="K227" s="1">
        <v>4</v>
      </c>
      <c r="L227" s="3">
        <v>35.200000000000003</v>
      </c>
      <c r="M227" s="3" t="str">
        <f t="shared" si="36"/>
        <v>Aug</v>
      </c>
      <c r="N227" s="2">
        <v>42235.520428240743</v>
      </c>
      <c r="O227" s="1">
        <f t="shared" si="37"/>
        <v>19</v>
      </c>
      <c r="P227" s="1">
        <f t="shared" si="38"/>
        <v>4</v>
      </c>
      <c r="Q227" s="1">
        <f t="shared" si="39"/>
        <v>12</v>
      </c>
      <c r="S227"/>
      <c r="T227"/>
      <c r="U227"/>
    </row>
    <row r="228" spans="1:21" s="1" customFormat="1" x14ac:dyDescent="0.25">
      <c r="A228" s="1">
        <v>241</v>
      </c>
      <c r="B228" s="1" t="s">
        <v>119</v>
      </c>
      <c r="C228" s="1" t="s">
        <v>310</v>
      </c>
      <c r="D228" s="2">
        <v>42167.737847222219</v>
      </c>
      <c r="E228" s="2">
        <v>42167.571226851855</v>
      </c>
      <c r="F228" s="1">
        <v>1</v>
      </c>
      <c r="G228" s="1">
        <v>2</v>
      </c>
      <c r="H228" s="1">
        <v>2</v>
      </c>
      <c r="I228" s="1">
        <v>2</v>
      </c>
      <c r="J228" s="1">
        <v>1</v>
      </c>
      <c r="K228" s="1">
        <v>4</v>
      </c>
      <c r="L228" s="3">
        <v>28.8</v>
      </c>
      <c r="M228" s="3" t="str">
        <f t="shared" si="36"/>
        <v>Jun</v>
      </c>
      <c r="N228" s="2">
        <v>42167.571192129632</v>
      </c>
      <c r="O228" s="1">
        <f t="shared" si="37"/>
        <v>12</v>
      </c>
      <c r="P228" s="1">
        <f t="shared" si="38"/>
        <v>6</v>
      </c>
      <c r="Q228" s="1">
        <f t="shared" si="39"/>
        <v>13</v>
      </c>
      <c r="S228"/>
      <c r="T228"/>
      <c r="U228"/>
    </row>
    <row r="229" spans="1:21" s="1" customFormat="1" x14ac:dyDescent="0.25">
      <c r="A229" s="1">
        <v>242</v>
      </c>
      <c r="B229" s="1" t="s">
        <v>83</v>
      </c>
      <c r="C229" s="1" t="s">
        <v>311</v>
      </c>
      <c r="D229" s="2">
        <v>42198.858749999999</v>
      </c>
      <c r="E229" s="2">
        <v>42198.692129629628</v>
      </c>
      <c r="F229" s="1">
        <v>1</v>
      </c>
      <c r="G229" s="1">
        <v>0</v>
      </c>
      <c r="H229" s="1">
        <v>2</v>
      </c>
      <c r="I229" s="1">
        <v>2</v>
      </c>
      <c r="J229" s="1">
        <v>1</v>
      </c>
      <c r="K229" s="1">
        <v>1</v>
      </c>
      <c r="L229" s="3">
        <v>6.75</v>
      </c>
      <c r="M229" s="3" t="str">
        <f t="shared" si="36"/>
        <v>Jul</v>
      </c>
      <c r="N229" s="2">
        <v>42198.692083333335</v>
      </c>
      <c r="O229" s="1">
        <f t="shared" si="37"/>
        <v>13</v>
      </c>
      <c r="P229" s="1">
        <f t="shared" si="38"/>
        <v>2</v>
      </c>
      <c r="Q229" s="1">
        <f t="shared" si="39"/>
        <v>16</v>
      </c>
      <c r="S229"/>
      <c r="T229"/>
      <c r="U229"/>
    </row>
    <row r="230" spans="1:21" s="1" customFormat="1" x14ac:dyDescent="0.25">
      <c r="A230" s="1">
        <v>243</v>
      </c>
      <c r="B230" s="1" t="s">
        <v>195</v>
      </c>
      <c r="C230" s="1" t="s">
        <v>312</v>
      </c>
      <c r="D230" s="2">
        <v>42031.940023148149</v>
      </c>
      <c r="E230" s="2">
        <v>42031.940081018518</v>
      </c>
      <c r="F230" s="1">
        <v>1</v>
      </c>
      <c r="G230" s="1">
        <v>0</v>
      </c>
      <c r="H230" s="1">
        <v>4</v>
      </c>
      <c r="I230" s="1">
        <v>1</v>
      </c>
      <c r="J230" s="1">
        <v>1</v>
      </c>
      <c r="K230" s="1">
        <v>2</v>
      </c>
      <c r="L230" s="4">
        <v>18</v>
      </c>
      <c r="M230" s="3" t="str">
        <f t="shared" si="36"/>
        <v>Jan</v>
      </c>
      <c r="N230" s="2">
        <v>42031.940034722225</v>
      </c>
      <c r="O230" s="1">
        <f t="shared" si="37"/>
        <v>27</v>
      </c>
      <c r="P230" s="1">
        <f t="shared" si="38"/>
        <v>3</v>
      </c>
      <c r="Q230" s="1">
        <f t="shared" si="39"/>
        <v>22</v>
      </c>
      <c r="S230"/>
      <c r="T230"/>
      <c r="U230"/>
    </row>
    <row r="231" spans="1:21" s="1" customFormat="1" x14ac:dyDescent="0.25">
      <c r="A231" s="1">
        <v>244</v>
      </c>
      <c r="B231" s="1" t="s">
        <v>285</v>
      </c>
      <c r="C231" s="1" t="s">
        <v>313</v>
      </c>
      <c r="D231" s="2">
        <v>42250.652696759258</v>
      </c>
      <c r="E231" s="2">
        <v>42250.486087962963</v>
      </c>
      <c r="F231" s="1">
        <v>1</v>
      </c>
      <c r="G231" s="1">
        <v>0</v>
      </c>
      <c r="H231" s="1">
        <v>2</v>
      </c>
      <c r="I231" s="1">
        <v>2</v>
      </c>
      <c r="J231" s="1">
        <v>1</v>
      </c>
      <c r="K231" s="1">
        <v>1</v>
      </c>
      <c r="L231" s="3">
        <v>112.64</v>
      </c>
      <c r="M231" s="3" t="str">
        <f t="shared" si="36"/>
        <v>Sep</v>
      </c>
      <c r="N231" s="2">
        <v>42250.486030092594</v>
      </c>
      <c r="O231" s="1">
        <f t="shared" si="37"/>
        <v>3</v>
      </c>
      <c r="P231" s="1">
        <f t="shared" si="38"/>
        <v>5</v>
      </c>
      <c r="Q231" s="1">
        <f t="shared" si="39"/>
        <v>11</v>
      </c>
      <c r="S231"/>
      <c r="T231"/>
      <c r="U231"/>
    </row>
    <row r="232" spans="1:21" s="1" customFormat="1" x14ac:dyDescent="0.25">
      <c r="A232" s="1">
        <v>245</v>
      </c>
      <c r="B232" s="1" t="s">
        <v>76</v>
      </c>
      <c r="C232" s="1" t="s">
        <v>314</v>
      </c>
      <c r="D232" s="2">
        <v>42226.934305555558</v>
      </c>
      <c r="E232" s="2">
        <v>42226.934351851851</v>
      </c>
      <c r="F232" s="1">
        <v>1</v>
      </c>
      <c r="G232" s="1">
        <v>4</v>
      </c>
      <c r="H232" s="1">
        <v>6</v>
      </c>
      <c r="I232" s="1">
        <v>7</v>
      </c>
      <c r="J232" s="1">
        <v>1</v>
      </c>
      <c r="K232" s="1">
        <v>1</v>
      </c>
      <c r="L232" s="3">
        <v>56.32</v>
      </c>
      <c r="M232" s="3" t="str">
        <f t="shared" si="36"/>
        <v>Aug</v>
      </c>
      <c r="N232" s="2">
        <v>42226.934305555558</v>
      </c>
      <c r="O232" s="1">
        <f t="shared" si="37"/>
        <v>10</v>
      </c>
      <c r="P232" s="1">
        <f t="shared" si="38"/>
        <v>2</v>
      </c>
      <c r="Q232" s="1">
        <f t="shared" si="39"/>
        <v>22</v>
      </c>
      <c r="S232"/>
      <c r="T232"/>
      <c r="U232"/>
    </row>
    <row r="233" spans="1:21" s="1" customFormat="1" x14ac:dyDescent="0.25">
      <c r="A233" s="1">
        <v>246</v>
      </c>
      <c r="B233" s="1" t="s">
        <v>100</v>
      </c>
      <c r="C233" s="1" t="s">
        <v>315</v>
      </c>
      <c r="D233" s="2">
        <v>42071.920578703706</v>
      </c>
      <c r="E233" s="2">
        <v>42071.920636574076</v>
      </c>
      <c r="F233" s="1">
        <v>1</v>
      </c>
      <c r="G233" s="1">
        <v>0</v>
      </c>
      <c r="H233" s="1">
        <v>8</v>
      </c>
      <c r="I233" s="1">
        <v>1</v>
      </c>
      <c r="J233" s="1">
        <v>1</v>
      </c>
      <c r="K233" s="1">
        <v>4</v>
      </c>
      <c r="L233" s="4">
        <v>28.8</v>
      </c>
      <c r="M233" s="3" t="str">
        <f t="shared" si="36"/>
        <v>Mar</v>
      </c>
      <c r="N233" s="2">
        <v>42071.920590277776</v>
      </c>
      <c r="O233" s="1">
        <f t="shared" si="37"/>
        <v>8</v>
      </c>
      <c r="P233" s="1">
        <f t="shared" si="38"/>
        <v>1</v>
      </c>
      <c r="Q233" s="1">
        <f t="shared" si="39"/>
        <v>22</v>
      </c>
      <c r="S233"/>
      <c r="T233"/>
      <c r="U233"/>
    </row>
    <row r="234" spans="1:21" s="1" customFormat="1" x14ac:dyDescent="0.25">
      <c r="A234" s="1">
        <v>247</v>
      </c>
      <c r="B234" s="1" t="s">
        <v>116</v>
      </c>
      <c r="C234" s="1" t="s">
        <v>316</v>
      </c>
      <c r="D234" s="2">
        <v>42143.673414351855</v>
      </c>
      <c r="E234" s="2">
        <v>42143.50677083333</v>
      </c>
      <c r="F234" s="1">
        <v>1</v>
      </c>
      <c r="G234" s="1">
        <v>16</v>
      </c>
      <c r="H234" s="1">
        <v>14</v>
      </c>
      <c r="I234" s="1">
        <v>4</v>
      </c>
      <c r="J234" s="1">
        <v>1</v>
      </c>
      <c r="K234" s="1">
        <v>4</v>
      </c>
      <c r="L234" s="4">
        <v>27</v>
      </c>
      <c r="M234" s="3" t="str">
        <f t="shared" si="36"/>
        <v>May</v>
      </c>
      <c r="N234" s="2">
        <v>42143.508402777778</v>
      </c>
      <c r="O234" s="1">
        <f t="shared" si="37"/>
        <v>19</v>
      </c>
      <c r="P234" s="1">
        <f t="shared" si="38"/>
        <v>3</v>
      </c>
      <c r="Q234" s="1">
        <f t="shared" si="39"/>
        <v>12</v>
      </c>
      <c r="S234"/>
      <c r="T234"/>
      <c r="U234"/>
    </row>
    <row r="235" spans="1:21" s="1" customFormat="1" x14ac:dyDescent="0.25">
      <c r="A235" s="1">
        <v>248</v>
      </c>
      <c r="B235" s="1" t="s">
        <v>83</v>
      </c>
      <c r="C235" s="1" t="s">
        <v>317</v>
      </c>
      <c r="D235" s="2">
        <v>42249.880520833336</v>
      </c>
      <c r="E235" s="2">
        <v>42249.810671296298</v>
      </c>
      <c r="F235" s="1">
        <v>3</v>
      </c>
      <c r="G235" s="1">
        <v>11</v>
      </c>
      <c r="H235" s="1">
        <v>8</v>
      </c>
      <c r="I235" s="1">
        <v>2</v>
      </c>
      <c r="J235" s="1">
        <v>1</v>
      </c>
      <c r="K235" s="1">
        <v>4</v>
      </c>
      <c r="L235" s="3">
        <v>33</v>
      </c>
      <c r="M235" s="3" t="str">
        <f t="shared" si="36"/>
        <v>Sep</v>
      </c>
      <c r="N235" s="2">
        <v>42249.713865740741</v>
      </c>
      <c r="O235" s="1">
        <f t="shared" si="37"/>
        <v>2</v>
      </c>
      <c r="P235" s="1">
        <f t="shared" si="38"/>
        <v>4</v>
      </c>
      <c r="Q235" s="1">
        <f t="shared" si="39"/>
        <v>17</v>
      </c>
      <c r="S235"/>
      <c r="T235"/>
      <c r="U235"/>
    </row>
    <row r="236" spans="1:21" s="1" customFormat="1" x14ac:dyDescent="0.25">
      <c r="A236" s="1">
        <v>249</v>
      </c>
      <c r="B236" s="1" t="s">
        <v>103</v>
      </c>
      <c r="C236" s="1" t="s">
        <v>318</v>
      </c>
      <c r="D236" s="2">
        <v>42177.616863425923</v>
      </c>
      <c r="E236" s="2">
        <v>42202.476759259262</v>
      </c>
      <c r="F236" s="1">
        <v>5</v>
      </c>
      <c r="G236" s="1">
        <v>3</v>
      </c>
      <c r="H236" s="1">
        <v>5</v>
      </c>
      <c r="I236" s="1">
        <v>8</v>
      </c>
      <c r="J236" s="1">
        <v>1</v>
      </c>
      <c r="K236" s="1">
        <v>4</v>
      </c>
      <c r="L236" s="3">
        <v>35.200000000000003</v>
      </c>
      <c r="M236" s="3" t="str">
        <f t="shared" si="36"/>
        <v>Jul</v>
      </c>
      <c r="N236" s="2">
        <v>42201.452870370369</v>
      </c>
      <c r="O236" s="1">
        <f t="shared" si="37"/>
        <v>16</v>
      </c>
      <c r="P236" s="1">
        <f t="shared" si="38"/>
        <v>5</v>
      </c>
      <c r="Q236" s="1">
        <f t="shared" si="39"/>
        <v>10</v>
      </c>
      <c r="S236"/>
      <c r="T236"/>
      <c r="U236"/>
    </row>
    <row r="237" spans="1:21" s="1" customFormat="1" x14ac:dyDescent="0.25">
      <c r="A237" s="1">
        <v>250</v>
      </c>
      <c r="B237" s="1" t="s">
        <v>116</v>
      </c>
      <c r="C237" s="1" t="s">
        <v>319</v>
      </c>
      <c r="D237" s="2">
        <v>42027.479826388888</v>
      </c>
      <c r="E237" s="2">
        <v>42027.480150462965</v>
      </c>
      <c r="F237" s="1">
        <v>1</v>
      </c>
      <c r="G237" s="1">
        <v>4</v>
      </c>
      <c r="H237" s="1">
        <v>6</v>
      </c>
      <c r="I237" s="1">
        <v>2</v>
      </c>
      <c r="J237" s="1">
        <v>1</v>
      </c>
      <c r="K237" s="1">
        <v>3</v>
      </c>
      <c r="L237" s="4">
        <v>21.6</v>
      </c>
      <c r="M237" s="3" t="str">
        <f t="shared" si="36"/>
        <v>Jan</v>
      </c>
      <c r="N237" s="2">
        <v>42027.480115740742</v>
      </c>
      <c r="O237" s="1">
        <f t="shared" si="37"/>
        <v>23</v>
      </c>
      <c r="P237" s="1">
        <f t="shared" si="38"/>
        <v>6</v>
      </c>
      <c r="Q237" s="1">
        <f t="shared" si="39"/>
        <v>11</v>
      </c>
      <c r="S237"/>
      <c r="T237"/>
      <c r="U237"/>
    </row>
    <row r="238" spans="1:21" s="1" customFormat="1" x14ac:dyDescent="0.25">
      <c r="A238" s="1">
        <v>251</v>
      </c>
      <c r="B238" s="1" t="s">
        <v>112</v>
      </c>
      <c r="C238" s="1" t="s">
        <v>320</v>
      </c>
      <c r="D238" s="2">
        <v>42166.472881944443</v>
      </c>
      <c r="E238" s="2">
        <v>42166.472916666666</v>
      </c>
      <c r="F238" s="1">
        <v>1</v>
      </c>
      <c r="G238" s="1">
        <v>2</v>
      </c>
      <c r="H238" s="1">
        <v>4</v>
      </c>
      <c r="I238" s="1">
        <v>8</v>
      </c>
      <c r="J238" s="1">
        <v>1</v>
      </c>
      <c r="K238" s="1">
        <v>4</v>
      </c>
      <c r="L238" s="3">
        <v>28.8</v>
      </c>
      <c r="M238" s="3" t="str">
        <f t="shared" si="36"/>
        <v>Jun</v>
      </c>
      <c r="N238" s="2">
        <v>42166.472893518519</v>
      </c>
      <c r="O238" s="1">
        <f t="shared" si="37"/>
        <v>11</v>
      </c>
      <c r="P238" s="1">
        <f t="shared" si="38"/>
        <v>5</v>
      </c>
      <c r="Q238" s="1">
        <f t="shared" si="39"/>
        <v>11</v>
      </c>
      <c r="S238"/>
      <c r="T238"/>
      <c r="U238"/>
    </row>
    <row r="239" spans="1:21" s="1" customFormat="1" x14ac:dyDescent="0.25">
      <c r="A239" s="1">
        <v>252</v>
      </c>
      <c r="B239" s="1" t="s">
        <v>123</v>
      </c>
      <c r="C239" s="1" t="s">
        <v>321</v>
      </c>
      <c r="D239" s="2">
        <v>42181.669687499998</v>
      </c>
      <c r="E239" s="2">
        <v>42181.503067129626</v>
      </c>
      <c r="F239" s="1">
        <v>1</v>
      </c>
      <c r="G239" s="1">
        <v>8</v>
      </c>
      <c r="H239" s="1">
        <v>2</v>
      </c>
      <c r="I239" s="1">
        <v>2</v>
      </c>
      <c r="J239" s="1">
        <v>1</v>
      </c>
      <c r="K239" s="1">
        <v>1</v>
      </c>
      <c r="L239" s="3">
        <v>28.8</v>
      </c>
      <c r="M239" s="3" t="str">
        <f t="shared" si="36"/>
        <v>Jun</v>
      </c>
      <c r="N239" s="2">
        <v>42181.503032407411</v>
      </c>
      <c r="O239" s="1">
        <f t="shared" si="37"/>
        <v>26</v>
      </c>
      <c r="P239" s="1">
        <f t="shared" si="38"/>
        <v>6</v>
      </c>
      <c r="Q239" s="1">
        <f t="shared" si="39"/>
        <v>12</v>
      </c>
      <c r="S239"/>
      <c r="T239"/>
      <c r="U239"/>
    </row>
    <row r="240" spans="1:21" s="1" customFormat="1" x14ac:dyDescent="0.25">
      <c r="A240" s="1">
        <v>253</v>
      </c>
      <c r="B240" s="1" t="s">
        <v>274</v>
      </c>
      <c r="C240" s="1" t="s">
        <v>322</v>
      </c>
      <c r="D240" s="2">
        <v>42147.514305555553</v>
      </c>
      <c r="E240" s="2">
        <v>42147.514351851853</v>
      </c>
      <c r="F240" s="1">
        <v>1</v>
      </c>
      <c r="G240" s="1">
        <v>4</v>
      </c>
      <c r="H240" s="1">
        <v>2</v>
      </c>
      <c r="I240" s="1">
        <v>7</v>
      </c>
      <c r="J240" s="1">
        <v>1</v>
      </c>
      <c r="K240" s="1">
        <v>1</v>
      </c>
      <c r="L240" s="3">
        <v>57.6</v>
      </c>
      <c r="M240" s="3" t="str">
        <f t="shared" si="36"/>
        <v>May</v>
      </c>
      <c r="N240" s="2">
        <v>42147.514317129629</v>
      </c>
      <c r="O240" s="1">
        <f t="shared" si="37"/>
        <v>23</v>
      </c>
      <c r="P240" s="1">
        <f t="shared" si="38"/>
        <v>7</v>
      </c>
      <c r="Q240" s="1">
        <f t="shared" si="39"/>
        <v>12</v>
      </c>
      <c r="S240"/>
      <c r="T240"/>
      <c r="U240"/>
    </row>
    <row r="241" spans="1:21" s="1" customFormat="1" x14ac:dyDescent="0.25">
      <c r="A241" s="1">
        <v>254</v>
      </c>
      <c r="B241" s="1" t="s">
        <v>119</v>
      </c>
      <c r="C241" s="1" t="s">
        <v>323</v>
      </c>
      <c r="D241" s="2">
        <v>42056.411006944443</v>
      </c>
      <c r="E241" s="2">
        <v>42056.411053240743</v>
      </c>
      <c r="F241" s="1">
        <v>1</v>
      </c>
      <c r="G241" s="1">
        <v>0</v>
      </c>
      <c r="H241" s="1">
        <v>2</v>
      </c>
      <c r="I241" s="1">
        <v>2</v>
      </c>
      <c r="J241" s="1">
        <v>1</v>
      </c>
      <c r="K241" s="1">
        <v>4</v>
      </c>
      <c r="L241" s="4">
        <v>28.8</v>
      </c>
      <c r="M241" s="3" t="str">
        <f t="shared" si="36"/>
        <v>Feb</v>
      </c>
      <c r="N241" s="2">
        <v>42056.41101851852</v>
      </c>
      <c r="O241" s="1">
        <f t="shared" si="37"/>
        <v>21</v>
      </c>
      <c r="P241" s="1">
        <f t="shared" si="38"/>
        <v>7</v>
      </c>
      <c r="Q241" s="1">
        <f t="shared" si="39"/>
        <v>9</v>
      </c>
      <c r="S241"/>
      <c r="T241"/>
      <c r="U241"/>
    </row>
    <row r="242" spans="1:21" s="1" customFormat="1" x14ac:dyDescent="0.25">
      <c r="A242" s="1">
        <v>255</v>
      </c>
      <c r="D242" s="2">
        <v>42205.231979166667</v>
      </c>
      <c r="E242" s="2">
        <v>42205.065324074072</v>
      </c>
      <c r="F242" s="1">
        <v>1</v>
      </c>
      <c r="G242" s="1">
        <v>2</v>
      </c>
      <c r="H242" s="1">
        <v>3</v>
      </c>
      <c r="I242" s="1">
        <v>2</v>
      </c>
      <c r="J242" s="1">
        <v>1</v>
      </c>
      <c r="K242" s="1">
        <v>2</v>
      </c>
      <c r="L242" s="3">
        <v>59.84</v>
      </c>
      <c r="M242" s="3" t="str">
        <f t="shared" si="36"/>
        <v>Jul</v>
      </c>
      <c r="N242" s="2">
        <v>42205.07130787037</v>
      </c>
      <c r="O242" s="1">
        <f t="shared" si="37"/>
        <v>20</v>
      </c>
      <c r="P242" s="1">
        <f t="shared" si="38"/>
        <v>2</v>
      </c>
      <c r="Q242" s="1">
        <f t="shared" si="39"/>
        <v>1</v>
      </c>
      <c r="S242"/>
      <c r="T242"/>
      <c r="U242"/>
    </row>
    <row r="243" spans="1:21" s="1" customFormat="1" x14ac:dyDescent="0.25">
      <c r="A243" s="1">
        <v>256</v>
      </c>
      <c r="D243" s="2">
        <v>42040.458506944444</v>
      </c>
      <c r="E243" s="2">
        <v>42051.541458333333</v>
      </c>
      <c r="F243" s="1">
        <v>2</v>
      </c>
      <c r="G243" s="1">
        <v>0</v>
      </c>
      <c r="H243" s="1">
        <v>3</v>
      </c>
      <c r="I243" s="1">
        <v>5</v>
      </c>
      <c r="J243" s="1">
        <v>1</v>
      </c>
      <c r="K243" s="1">
        <v>2</v>
      </c>
      <c r="L243" s="4">
        <v>18</v>
      </c>
      <c r="M243" s="3" t="str">
        <f t="shared" si="36"/>
        <v>Feb</v>
      </c>
      <c r="N243" s="2">
        <v>42040.462812500002</v>
      </c>
      <c r="O243" s="1">
        <f t="shared" si="37"/>
        <v>5</v>
      </c>
      <c r="P243" s="1">
        <f t="shared" si="38"/>
        <v>5</v>
      </c>
      <c r="Q243" s="1">
        <f t="shared" si="39"/>
        <v>11</v>
      </c>
      <c r="S243"/>
      <c r="T243"/>
      <c r="U243"/>
    </row>
    <row r="244" spans="1:21" s="1" customFormat="1" x14ac:dyDescent="0.25">
      <c r="A244" s="1">
        <v>257</v>
      </c>
      <c r="B244" s="1" t="s">
        <v>91</v>
      </c>
      <c r="C244" s="1" t="s">
        <v>324</v>
      </c>
      <c r="D244" s="2">
        <v>42197.656273148146</v>
      </c>
      <c r="E244" s="2">
        <v>42197.489675925928</v>
      </c>
      <c r="F244" s="1">
        <v>1</v>
      </c>
      <c r="G244" s="1">
        <v>10</v>
      </c>
      <c r="H244" s="1">
        <v>16</v>
      </c>
      <c r="I244" s="1">
        <v>2</v>
      </c>
      <c r="J244" s="1">
        <v>1</v>
      </c>
      <c r="K244" s="1">
        <v>7</v>
      </c>
      <c r="L244" s="3">
        <v>47.2</v>
      </c>
      <c r="M244" s="3" t="str">
        <f t="shared" si="36"/>
        <v>Jul</v>
      </c>
      <c r="N244" s="2">
        <v>42197.489629629628</v>
      </c>
      <c r="O244" s="1">
        <f t="shared" si="37"/>
        <v>12</v>
      </c>
      <c r="P244" s="1">
        <f t="shared" si="38"/>
        <v>1</v>
      </c>
      <c r="Q244" s="1">
        <f t="shared" si="39"/>
        <v>11</v>
      </c>
      <c r="S244"/>
      <c r="T244"/>
      <c r="U244"/>
    </row>
    <row r="245" spans="1:21" s="1" customFormat="1" x14ac:dyDescent="0.25">
      <c r="A245" s="1">
        <v>258</v>
      </c>
      <c r="B245" s="1" t="s">
        <v>285</v>
      </c>
      <c r="C245" s="1" t="s">
        <v>325</v>
      </c>
      <c r="D245" s="2">
        <v>42258.686527777776</v>
      </c>
      <c r="E245" s="2">
        <v>42258.686574074076</v>
      </c>
      <c r="F245" s="1">
        <v>1</v>
      </c>
      <c r="G245" s="1">
        <v>8</v>
      </c>
      <c r="H245" s="1">
        <v>12</v>
      </c>
      <c r="I245" s="1">
        <v>2</v>
      </c>
      <c r="J245" s="1">
        <v>1</v>
      </c>
      <c r="K245" s="1">
        <v>6</v>
      </c>
      <c r="L245" s="3">
        <v>68</v>
      </c>
      <c r="M245" s="3" t="str">
        <f t="shared" si="36"/>
        <v>Sep</v>
      </c>
      <c r="N245" s="2">
        <v>42258.686527777776</v>
      </c>
      <c r="O245" s="1">
        <f t="shared" si="37"/>
        <v>11</v>
      </c>
      <c r="P245" s="1">
        <f t="shared" si="38"/>
        <v>6</v>
      </c>
      <c r="Q245" s="1">
        <f t="shared" si="39"/>
        <v>16</v>
      </c>
      <c r="S245"/>
      <c r="T245"/>
      <c r="U245"/>
    </row>
    <row r="246" spans="1:21" s="1" customFormat="1" x14ac:dyDescent="0.25">
      <c r="A246" s="1">
        <v>259</v>
      </c>
      <c r="B246" s="1" t="s">
        <v>134</v>
      </c>
      <c r="C246" s="1" t="s">
        <v>326</v>
      </c>
      <c r="D246" s="2">
        <v>42193.648275462961</v>
      </c>
      <c r="E246" s="2">
        <v>42193.481666666667</v>
      </c>
      <c r="F246" s="1">
        <v>1</v>
      </c>
      <c r="G246" s="1">
        <v>0</v>
      </c>
      <c r="H246" s="1">
        <v>2</v>
      </c>
      <c r="I246" s="1">
        <v>4</v>
      </c>
      <c r="J246" s="1">
        <v>1</v>
      </c>
      <c r="K246" s="1">
        <v>1</v>
      </c>
      <c r="L246" s="3">
        <v>27</v>
      </c>
      <c r="M246" s="3" t="str">
        <f t="shared" si="36"/>
        <v>Jul</v>
      </c>
      <c r="N246" s="2">
        <v>42193.481620370374</v>
      </c>
      <c r="O246" s="1">
        <f t="shared" si="37"/>
        <v>8</v>
      </c>
      <c r="P246" s="1">
        <f t="shared" si="38"/>
        <v>4</v>
      </c>
      <c r="Q246" s="1">
        <f t="shared" si="39"/>
        <v>11</v>
      </c>
      <c r="S246"/>
      <c r="T246"/>
      <c r="U246"/>
    </row>
    <row r="247" spans="1:21" s="1" customFormat="1" x14ac:dyDescent="0.25">
      <c r="A247" s="1">
        <v>260</v>
      </c>
      <c r="B247" s="1" t="s">
        <v>100</v>
      </c>
      <c r="C247" s="1" t="s">
        <v>327</v>
      </c>
      <c r="D247" s="2">
        <v>42186.851365740738</v>
      </c>
      <c r="E247" s="2">
        <v>42186.684745370374</v>
      </c>
      <c r="F247" s="1">
        <v>1</v>
      </c>
      <c r="G247" s="1">
        <v>2</v>
      </c>
      <c r="H247" s="1">
        <v>2</v>
      </c>
      <c r="I247" s="1">
        <v>2</v>
      </c>
      <c r="J247" s="1">
        <v>1</v>
      </c>
      <c r="K247" s="1">
        <v>1</v>
      </c>
      <c r="L247" s="3">
        <v>36</v>
      </c>
      <c r="M247" s="3" t="str">
        <f t="shared" si="36"/>
        <v>Jul</v>
      </c>
      <c r="N247" s="2">
        <v>42186.684710648151</v>
      </c>
      <c r="O247" s="1">
        <f t="shared" si="37"/>
        <v>1</v>
      </c>
      <c r="P247" s="1">
        <f t="shared" si="38"/>
        <v>4</v>
      </c>
      <c r="Q247" s="1">
        <f t="shared" si="39"/>
        <v>16</v>
      </c>
      <c r="S247"/>
      <c r="T247"/>
      <c r="U247"/>
    </row>
    <row r="248" spans="1:21" s="1" customFormat="1" x14ac:dyDescent="0.25">
      <c r="A248" s="1">
        <v>261</v>
      </c>
      <c r="B248" s="1" t="s">
        <v>89</v>
      </c>
      <c r="C248" s="1" t="s">
        <v>328</v>
      </c>
      <c r="D248" s="2">
        <v>42157.834918981483</v>
      </c>
      <c r="E248" s="2">
        <v>42157.834965277776</v>
      </c>
      <c r="F248" s="1">
        <v>1</v>
      </c>
      <c r="G248" s="1">
        <v>2</v>
      </c>
      <c r="H248" s="1">
        <v>8</v>
      </c>
      <c r="I248" s="1">
        <v>2</v>
      </c>
      <c r="J248" s="1">
        <v>1</v>
      </c>
      <c r="K248" s="1">
        <v>4</v>
      </c>
      <c r="L248" s="3">
        <v>36</v>
      </c>
      <c r="M248" s="3" t="str">
        <f t="shared" si="36"/>
        <v>Jun</v>
      </c>
      <c r="N248" s="2">
        <v>42157.834930555553</v>
      </c>
      <c r="O248" s="1">
        <f t="shared" si="37"/>
        <v>2</v>
      </c>
      <c r="P248" s="1">
        <f t="shared" si="38"/>
        <v>3</v>
      </c>
      <c r="Q248" s="1">
        <f t="shared" si="39"/>
        <v>20</v>
      </c>
      <c r="S248"/>
      <c r="T248"/>
      <c r="U248"/>
    </row>
    <row r="249" spans="1:21" s="1" customFormat="1" x14ac:dyDescent="0.25">
      <c r="A249" s="1">
        <v>262</v>
      </c>
      <c r="B249" s="1" t="s">
        <v>103</v>
      </c>
      <c r="C249" s="1" t="s">
        <v>329</v>
      </c>
      <c r="D249" s="2">
        <v>42048.706203703703</v>
      </c>
      <c r="E249" s="2">
        <v>42048.706261574072</v>
      </c>
      <c r="F249" s="1">
        <v>1</v>
      </c>
      <c r="G249" s="1">
        <v>0</v>
      </c>
      <c r="H249" s="1">
        <v>4</v>
      </c>
      <c r="I249" s="1">
        <v>1</v>
      </c>
      <c r="J249" s="1">
        <v>1</v>
      </c>
      <c r="K249" s="1">
        <v>2</v>
      </c>
      <c r="L249" s="4">
        <v>9</v>
      </c>
      <c r="M249" s="3" t="str">
        <f t="shared" si="36"/>
        <v>Feb</v>
      </c>
      <c r="N249" s="2">
        <v>42048.70621527778</v>
      </c>
      <c r="O249" s="1">
        <f t="shared" si="37"/>
        <v>13</v>
      </c>
      <c r="P249" s="1">
        <f t="shared" si="38"/>
        <v>6</v>
      </c>
      <c r="Q249" s="1">
        <f t="shared" si="39"/>
        <v>16</v>
      </c>
      <c r="S249"/>
      <c r="T249"/>
      <c r="U249"/>
    </row>
    <row r="250" spans="1:21" s="1" customFormat="1" x14ac:dyDescent="0.25">
      <c r="A250" s="1">
        <v>263</v>
      </c>
      <c r="B250" s="1" t="s">
        <v>100</v>
      </c>
      <c r="C250" s="1" t="s">
        <v>330</v>
      </c>
      <c r="D250" s="2">
        <v>42174.736828703702</v>
      </c>
      <c r="E250" s="2">
        <v>42174.736863425926</v>
      </c>
      <c r="F250" s="1">
        <v>1</v>
      </c>
      <c r="G250" s="1">
        <v>8</v>
      </c>
      <c r="H250" s="1">
        <v>4</v>
      </c>
      <c r="I250" s="1">
        <v>2</v>
      </c>
      <c r="J250" s="1">
        <v>1</v>
      </c>
      <c r="K250" s="1">
        <v>5</v>
      </c>
      <c r="L250" s="3">
        <v>45</v>
      </c>
      <c r="M250" s="3" t="str">
        <f t="shared" si="36"/>
        <v>Jun</v>
      </c>
      <c r="N250" s="2">
        <v>42174.736840277779</v>
      </c>
      <c r="O250" s="1">
        <f t="shared" si="37"/>
        <v>19</v>
      </c>
      <c r="P250" s="1">
        <f t="shared" si="38"/>
        <v>6</v>
      </c>
      <c r="Q250" s="1">
        <f t="shared" si="39"/>
        <v>17</v>
      </c>
      <c r="S250"/>
      <c r="T250"/>
      <c r="U250"/>
    </row>
    <row r="251" spans="1:21" s="1" customFormat="1" x14ac:dyDescent="0.25">
      <c r="A251" s="1">
        <v>264</v>
      </c>
      <c r="B251" s="1" t="s">
        <v>215</v>
      </c>
      <c r="C251" s="1" t="s">
        <v>331</v>
      </c>
      <c r="D251" s="2">
        <v>42162.718229166669</v>
      </c>
      <c r="E251" s="2">
        <v>42162.551585648151</v>
      </c>
      <c r="F251" s="1">
        <v>1</v>
      </c>
      <c r="G251" s="1">
        <v>4</v>
      </c>
      <c r="H251" s="1">
        <v>6</v>
      </c>
      <c r="I251" s="1">
        <v>5</v>
      </c>
      <c r="J251" s="1">
        <v>1</v>
      </c>
      <c r="K251" s="1">
        <v>2</v>
      </c>
      <c r="L251" s="3">
        <v>14.4</v>
      </c>
      <c r="M251" s="3" t="str">
        <f t="shared" si="36"/>
        <v>Jun</v>
      </c>
      <c r="N251" s="2">
        <v>42162.553564814814</v>
      </c>
      <c r="O251" s="1">
        <f t="shared" si="37"/>
        <v>7</v>
      </c>
      <c r="P251" s="1">
        <f t="shared" si="38"/>
        <v>1</v>
      </c>
      <c r="Q251" s="1">
        <f t="shared" si="39"/>
        <v>13</v>
      </c>
      <c r="S251"/>
      <c r="T251"/>
      <c r="U251"/>
    </row>
    <row r="252" spans="1:21" s="1" customFormat="1" x14ac:dyDescent="0.25">
      <c r="A252" s="1">
        <v>265</v>
      </c>
      <c r="D252" s="2">
        <v>42082.410694444443</v>
      </c>
      <c r="E252" s="2">
        <v>42082.410752314812</v>
      </c>
      <c r="F252" s="1">
        <v>1</v>
      </c>
      <c r="G252" s="1">
        <v>2</v>
      </c>
      <c r="H252" s="1">
        <v>13</v>
      </c>
      <c r="I252" s="1">
        <v>2</v>
      </c>
      <c r="J252" s="1">
        <v>1</v>
      </c>
      <c r="K252" s="1">
        <v>8</v>
      </c>
      <c r="L252" s="4">
        <v>57.6</v>
      </c>
      <c r="M252" s="3" t="str">
        <f t="shared" si="36"/>
        <v>Mar</v>
      </c>
      <c r="N252" s="2">
        <v>42082.414490740739</v>
      </c>
      <c r="O252" s="1">
        <f t="shared" si="37"/>
        <v>19</v>
      </c>
      <c r="P252" s="1">
        <f t="shared" si="38"/>
        <v>5</v>
      </c>
      <c r="Q252" s="1">
        <f t="shared" si="39"/>
        <v>9</v>
      </c>
      <c r="S252"/>
      <c r="T252"/>
      <c r="U252"/>
    </row>
    <row r="253" spans="1:21" s="1" customFormat="1" x14ac:dyDescent="0.25">
      <c r="A253" s="1">
        <v>266</v>
      </c>
      <c r="B253" s="1" t="s">
        <v>91</v>
      </c>
      <c r="C253" s="1" t="s">
        <v>154</v>
      </c>
      <c r="D253" s="2">
        <v>42139.98940972222</v>
      </c>
      <c r="E253" s="2">
        <v>42139.989444444444</v>
      </c>
      <c r="F253" s="1">
        <v>1</v>
      </c>
      <c r="G253" s="1">
        <v>0</v>
      </c>
      <c r="H253" s="1">
        <v>2</v>
      </c>
      <c r="I253" s="1">
        <v>2</v>
      </c>
      <c r="J253" s="1">
        <v>1</v>
      </c>
      <c r="K253" s="1">
        <v>2</v>
      </c>
      <c r="L253" s="4">
        <v>14.4</v>
      </c>
      <c r="M253" s="3" t="str">
        <f t="shared" si="36"/>
        <v>May</v>
      </c>
      <c r="N253" s="2">
        <v>42139.98940972222</v>
      </c>
      <c r="O253" s="1">
        <f t="shared" si="37"/>
        <v>15</v>
      </c>
      <c r="P253" s="1">
        <f t="shared" si="38"/>
        <v>6</v>
      </c>
      <c r="Q253" s="1">
        <f t="shared" si="39"/>
        <v>23</v>
      </c>
      <c r="S253"/>
      <c r="T253"/>
      <c r="U253"/>
    </row>
    <row r="254" spans="1:21" s="1" customFormat="1" x14ac:dyDescent="0.25">
      <c r="A254" s="1">
        <v>267</v>
      </c>
      <c r="B254" s="1" t="s">
        <v>85</v>
      </c>
      <c r="C254" s="1" t="s">
        <v>332</v>
      </c>
      <c r="D254" s="2">
        <v>42246.562268518515</v>
      </c>
      <c r="E254" s="2">
        <v>42246.395671296297</v>
      </c>
      <c r="F254" s="1">
        <v>1</v>
      </c>
      <c r="G254" s="1">
        <v>4</v>
      </c>
      <c r="H254" s="1">
        <v>4</v>
      </c>
      <c r="I254" s="1">
        <v>2</v>
      </c>
      <c r="J254" s="1">
        <v>1</v>
      </c>
      <c r="K254" s="1">
        <v>3</v>
      </c>
      <c r="L254" s="3">
        <v>121.44</v>
      </c>
      <c r="M254" s="3" t="str">
        <f t="shared" si="36"/>
        <v>Aug</v>
      </c>
      <c r="N254" s="2">
        <v>42246.395613425928</v>
      </c>
      <c r="O254" s="1">
        <f t="shared" si="37"/>
        <v>30</v>
      </c>
      <c r="P254" s="1">
        <f t="shared" si="38"/>
        <v>1</v>
      </c>
      <c r="Q254" s="1">
        <f t="shared" si="39"/>
        <v>9</v>
      </c>
      <c r="S254"/>
      <c r="T254"/>
      <c r="U254"/>
    </row>
    <row r="255" spans="1:21" s="1" customFormat="1" x14ac:dyDescent="0.25">
      <c r="A255" s="1">
        <v>268</v>
      </c>
      <c r="B255" s="1" t="s">
        <v>107</v>
      </c>
      <c r="C255" s="1" t="s">
        <v>333</v>
      </c>
      <c r="D255" s="2">
        <v>42047.831516203703</v>
      </c>
      <c r="E255" s="2">
        <v>42047.831585648149</v>
      </c>
      <c r="F255" s="1">
        <v>1</v>
      </c>
      <c r="G255" s="1">
        <v>2</v>
      </c>
      <c r="H255" s="1">
        <v>12</v>
      </c>
      <c r="I255" s="1">
        <v>1</v>
      </c>
      <c r="J255" s="1">
        <v>1</v>
      </c>
      <c r="K255" s="1">
        <v>4</v>
      </c>
      <c r="L255" s="4">
        <v>30.6</v>
      </c>
      <c r="M255" s="3" t="str">
        <f t="shared" si="36"/>
        <v>Feb</v>
      </c>
      <c r="N255" s="2">
        <v>42047.83152777778</v>
      </c>
      <c r="O255" s="1">
        <f t="shared" si="37"/>
        <v>12</v>
      </c>
      <c r="P255" s="1">
        <f t="shared" si="38"/>
        <v>5</v>
      </c>
      <c r="Q255" s="1">
        <f t="shared" si="39"/>
        <v>19</v>
      </c>
      <c r="S255"/>
      <c r="T255"/>
      <c r="U255"/>
    </row>
    <row r="256" spans="1:21" s="1" customFormat="1" x14ac:dyDescent="0.25">
      <c r="A256" s="1">
        <v>269</v>
      </c>
      <c r="B256" s="1" t="s">
        <v>96</v>
      </c>
      <c r="C256" s="1" t="s">
        <v>334</v>
      </c>
      <c r="D256" s="2">
        <v>42157.797002314815</v>
      </c>
      <c r="E256" s="2">
        <v>42157.630358796298</v>
      </c>
      <c r="F256" s="1">
        <v>1</v>
      </c>
      <c r="G256" s="1">
        <v>2</v>
      </c>
      <c r="H256" s="1">
        <v>3</v>
      </c>
      <c r="I256" s="1">
        <v>1</v>
      </c>
      <c r="J256" s="1">
        <v>1</v>
      </c>
      <c r="K256" s="1">
        <v>2</v>
      </c>
      <c r="L256" s="3">
        <v>14.4</v>
      </c>
      <c r="M256" s="3" t="str">
        <f t="shared" si="36"/>
        <v>Jun</v>
      </c>
      <c r="N256" s="2">
        <v>42157.639525462961</v>
      </c>
      <c r="O256" s="1">
        <f t="shared" si="37"/>
        <v>2</v>
      </c>
      <c r="P256" s="1">
        <f t="shared" si="38"/>
        <v>3</v>
      </c>
      <c r="Q256" s="1">
        <f t="shared" si="39"/>
        <v>15</v>
      </c>
      <c r="S256"/>
      <c r="T256"/>
      <c r="U256"/>
    </row>
    <row r="257" spans="1:21" s="1" customFormat="1" x14ac:dyDescent="0.25">
      <c r="A257" s="1">
        <v>270</v>
      </c>
      <c r="B257" s="1" t="s">
        <v>100</v>
      </c>
      <c r="C257" s="1" t="s">
        <v>335</v>
      </c>
      <c r="D257" s="2">
        <v>42212.723576388889</v>
      </c>
      <c r="E257" s="2">
        <v>42213.551724537036</v>
      </c>
      <c r="F257" s="1">
        <v>2</v>
      </c>
      <c r="G257" s="1">
        <v>2</v>
      </c>
      <c r="H257" s="1">
        <v>4</v>
      </c>
      <c r="I257" s="1">
        <v>3</v>
      </c>
      <c r="J257" s="1">
        <v>1</v>
      </c>
      <c r="K257" s="1">
        <v>2</v>
      </c>
      <c r="L257" s="3">
        <v>112.64</v>
      </c>
      <c r="M257" s="3" t="str">
        <f t="shared" si="36"/>
        <v>Jul</v>
      </c>
      <c r="N257" s="2">
        <v>42212.556921296295</v>
      </c>
      <c r="O257" s="1">
        <f t="shared" si="37"/>
        <v>27</v>
      </c>
      <c r="P257" s="1">
        <f t="shared" si="38"/>
        <v>2</v>
      </c>
      <c r="Q257" s="1">
        <f t="shared" si="39"/>
        <v>13</v>
      </c>
      <c r="S257"/>
      <c r="T257"/>
      <c r="U257"/>
    </row>
    <row r="258" spans="1:21" s="1" customFormat="1" x14ac:dyDescent="0.25">
      <c r="A258" s="1">
        <v>271</v>
      </c>
      <c r="B258" s="1" t="s">
        <v>123</v>
      </c>
      <c r="C258" s="1" t="s">
        <v>336</v>
      </c>
      <c r="D258" s="2">
        <v>42030.98946759259</v>
      </c>
      <c r="E258" s="2">
        <v>42061.3440625</v>
      </c>
      <c r="F258" s="1">
        <v>10</v>
      </c>
      <c r="G258" s="1">
        <v>0</v>
      </c>
      <c r="H258" s="1">
        <v>14</v>
      </c>
      <c r="I258" s="1">
        <v>11</v>
      </c>
      <c r="J258" s="1">
        <v>2</v>
      </c>
      <c r="K258" s="1">
        <v>8</v>
      </c>
      <c r="L258" s="4">
        <v>30.6</v>
      </c>
      <c r="M258" s="3" t="str">
        <f t="shared" si="36"/>
        <v>Jan</v>
      </c>
      <c r="N258" s="2">
        <v>42030.989490740743</v>
      </c>
      <c r="O258" s="1">
        <f t="shared" si="37"/>
        <v>26</v>
      </c>
      <c r="P258" s="1">
        <f t="shared" si="38"/>
        <v>2</v>
      </c>
      <c r="Q258" s="1">
        <f t="shared" si="39"/>
        <v>23</v>
      </c>
      <c r="S258"/>
      <c r="T258"/>
      <c r="U258"/>
    </row>
    <row r="259" spans="1:21" s="1" customFormat="1" x14ac:dyDescent="0.25">
      <c r="A259" s="1">
        <v>272</v>
      </c>
      <c r="B259" s="1" t="s">
        <v>147</v>
      </c>
      <c r="C259" s="1" t="s">
        <v>337</v>
      </c>
      <c r="D259" s="2">
        <v>42093.417754629627</v>
      </c>
      <c r="E259" s="2">
        <v>42093.417812500003</v>
      </c>
      <c r="F259" s="1">
        <v>1</v>
      </c>
      <c r="G259" s="1">
        <v>1</v>
      </c>
      <c r="H259" s="1">
        <v>4</v>
      </c>
      <c r="I259" s="1">
        <v>1</v>
      </c>
      <c r="J259" s="1">
        <v>1</v>
      </c>
      <c r="K259" s="1">
        <v>2</v>
      </c>
      <c r="L259" s="4">
        <v>18</v>
      </c>
      <c r="M259" s="3" t="str">
        <f t="shared" ref="M259:M322" si="40">TEXT(N259,"mmm")</f>
        <v>Mar</v>
      </c>
      <c r="N259" s="2">
        <v>42093.417766203704</v>
      </c>
      <c r="O259" s="1">
        <f t="shared" si="37"/>
        <v>30</v>
      </c>
      <c r="P259" s="1">
        <f t="shared" si="38"/>
        <v>2</v>
      </c>
      <c r="Q259" s="1">
        <f t="shared" si="39"/>
        <v>10</v>
      </c>
      <c r="S259"/>
      <c r="T259"/>
      <c r="U259"/>
    </row>
    <row r="260" spans="1:21" s="1" customFormat="1" x14ac:dyDescent="0.25">
      <c r="A260" s="1">
        <v>273</v>
      </c>
      <c r="B260" s="1" t="s">
        <v>123</v>
      </c>
      <c r="C260" s="1" t="s">
        <v>338</v>
      </c>
      <c r="D260" s="2">
        <v>42145.676990740743</v>
      </c>
      <c r="E260" s="2">
        <v>42145.677037037036</v>
      </c>
      <c r="F260" s="1">
        <v>1</v>
      </c>
      <c r="G260" s="1">
        <v>2</v>
      </c>
      <c r="H260" s="1">
        <v>4</v>
      </c>
      <c r="I260" s="1">
        <v>6</v>
      </c>
      <c r="J260" s="1">
        <v>1</v>
      </c>
      <c r="K260" s="1">
        <v>1</v>
      </c>
      <c r="L260" s="4">
        <v>57.6</v>
      </c>
      <c r="M260" s="3" t="str">
        <f t="shared" si="40"/>
        <v>May</v>
      </c>
      <c r="N260" s="2">
        <v>42145.677002314813</v>
      </c>
      <c r="O260" s="1">
        <f t="shared" si="37"/>
        <v>21</v>
      </c>
      <c r="P260" s="1">
        <f t="shared" si="38"/>
        <v>5</v>
      </c>
      <c r="Q260" s="1">
        <f t="shared" si="39"/>
        <v>16</v>
      </c>
      <c r="S260"/>
      <c r="T260"/>
      <c r="U260"/>
    </row>
    <row r="261" spans="1:21" s="1" customFormat="1" x14ac:dyDescent="0.25">
      <c r="A261" s="1">
        <v>274</v>
      </c>
      <c r="B261" s="1" t="s">
        <v>131</v>
      </c>
      <c r="C261" s="1" t="s">
        <v>339</v>
      </c>
      <c r="D261" s="2">
        <v>42150.604733796295</v>
      </c>
      <c r="E261" s="2">
        <v>42150.604768518519</v>
      </c>
      <c r="F261" s="1">
        <v>1</v>
      </c>
      <c r="G261" s="1">
        <v>4</v>
      </c>
      <c r="H261" s="1">
        <v>6</v>
      </c>
      <c r="I261" s="1">
        <v>2</v>
      </c>
      <c r="J261" s="1">
        <v>1</v>
      </c>
      <c r="K261" s="1">
        <v>4</v>
      </c>
      <c r="L261" s="3">
        <v>36</v>
      </c>
      <c r="M261" s="3" t="str">
        <f t="shared" si="40"/>
        <v>May</v>
      </c>
      <c r="N261" s="2">
        <v>42150.604745370372</v>
      </c>
      <c r="O261" s="1">
        <f t="shared" si="37"/>
        <v>26</v>
      </c>
      <c r="P261" s="1">
        <f t="shared" si="38"/>
        <v>3</v>
      </c>
      <c r="Q261" s="1">
        <f t="shared" si="39"/>
        <v>14</v>
      </c>
      <c r="S261"/>
      <c r="T261"/>
      <c r="U261"/>
    </row>
    <row r="262" spans="1:21" s="1" customFormat="1" x14ac:dyDescent="0.25">
      <c r="A262" s="1">
        <v>275</v>
      </c>
      <c r="B262" s="1" t="s">
        <v>103</v>
      </c>
      <c r="C262" s="1" t="s">
        <v>340</v>
      </c>
      <c r="D262" s="2">
        <v>42074.98715277778</v>
      </c>
      <c r="E262" s="2">
        <v>42075.506018518521</v>
      </c>
      <c r="F262" s="1">
        <v>2</v>
      </c>
      <c r="G262" s="1">
        <v>0</v>
      </c>
      <c r="H262" s="1">
        <v>6</v>
      </c>
      <c r="I262" s="1">
        <v>3</v>
      </c>
      <c r="J262" s="1">
        <v>1</v>
      </c>
      <c r="K262" s="1">
        <v>2</v>
      </c>
      <c r="L262" s="4">
        <v>14.4</v>
      </c>
      <c r="M262" s="3" t="str">
        <f t="shared" si="40"/>
        <v>Mar</v>
      </c>
      <c r="N262" s="2">
        <v>42074.987164351849</v>
      </c>
      <c r="O262" s="1">
        <f t="shared" si="37"/>
        <v>11</v>
      </c>
      <c r="P262" s="1">
        <f t="shared" si="38"/>
        <v>4</v>
      </c>
      <c r="Q262" s="1">
        <f t="shared" si="39"/>
        <v>23</v>
      </c>
      <c r="S262"/>
      <c r="T262"/>
      <c r="U262"/>
    </row>
    <row r="263" spans="1:21" s="1" customFormat="1" x14ac:dyDescent="0.25">
      <c r="A263" s="1">
        <v>276</v>
      </c>
      <c r="B263" s="1" t="s">
        <v>341</v>
      </c>
      <c r="C263" s="1" t="s">
        <v>342</v>
      </c>
      <c r="D263" s="2">
        <v>42025.602546296293</v>
      </c>
      <c r="E263" s="2">
        <v>42025.602592592593</v>
      </c>
      <c r="F263" s="1">
        <v>1</v>
      </c>
      <c r="G263" s="1">
        <v>2</v>
      </c>
      <c r="H263" s="1">
        <v>2</v>
      </c>
      <c r="I263" s="1">
        <v>3</v>
      </c>
      <c r="J263" s="1">
        <v>1</v>
      </c>
      <c r="K263" s="1">
        <v>2</v>
      </c>
      <c r="L263" s="4">
        <v>9</v>
      </c>
      <c r="M263" s="3" t="str">
        <f t="shared" si="40"/>
        <v>Jan</v>
      </c>
      <c r="N263" s="2">
        <v>42025.602569444447</v>
      </c>
      <c r="O263" s="1">
        <f t="shared" si="37"/>
        <v>21</v>
      </c>
      <c r="P263" s="1">
        <f t="shared" si="38"/>
        <v>4</v>
      </c>
      <c r="Q263" s="1">
        <f t="shared" si="39"/>
        <v>14</v>
      </c>
      <c r="S263"/>
      <c r="T263"/>
      <c r="U263"/>
    </row>
    <row r="264" spans="1:21" s="1" customFormat="1" x14ac:dyDescent="0.25">
      <c r="A264" s="1">
        <v>277</v>
      </c>
      <c r="B264" s="1" t="s">
        <v>112</v>
      </c>
      <c r="C264" s="1" t="s">
        <v>343</v>
      </c>
      <c r="D264" s="2">
        <v>42041.53052083333</v>
      </c>
      <c r="E264" s="2">
        <v>42041.53056712963</v>
      </c>
      <c r="F264" s="1">
        <v>1</v>
      </c>
      <c r="G264" s="1">
        <v>0</v>
      </c>
      <c r="H264" s="1">
        <v>4</v>
      </c>
      <c r="I264" s="1">
        <v>1</v>
      </c>
      <c r="J264" s="1">
        <v>1</v>
      </c>
      <c r="K264" s="1">
        <v>2</v>
      </c>
      <c r="L264" s="4">
        <v>9</v>
      </c>
      <c r="M264" s="3" t="str">
        <f t="shared" si="40"/>
        <v>Feb</v>
      </c>
      <c r="N264" s="2">
        <v>42041.530532407407</v>
      </c>
      <c r="O264" s="1">
        <f t="shared" si="37"/>
        <v>6</v>
      </c>
      <c r="P264" s="1">
        <f t="shared" si="38"/>
        <v>6</v>
      </c>
      <c r="Q264" s="1">
        <f t="shared" si="39"/>
        <v>12</v>
      </c>
      <c r="S264"/>
      <c r="T264"/>
      <c r="U264"/>
    </row>
    <row r="265" spans="1:21" s="1" customFormat="1" x14ac:dyDescent="0.25">
      <c r="A265" s="1">
        <v>278</v>
      </c>
      <c r="B265" s="1" t="s">
        <v>83</v>
      </c>
      <c r="C265" s="1" t="s">
        <v>344</v>
      </c>
      <c r="D265" s="2">
        <v>42256.725902777776</v>
      </c>
      <c r="E265" s="2">
        <v>42257.724386574075</v>
      </c>
      <c r="F265" s="1">
        <v>3</v>
      </c>
      <c r="G265" s="1">
        <v>0</v>
      </c>
      <c r="H265" s="1">
        <v>2</v>
      </c>
      <c r="I265" s="1">
        <v>3</v>
      </c>
      <c r="J265" s="1">
        <v>1</v>
      </c>
      <c r="K265" s="1">
        <v>1</v>
      </c>
      <c r="L265" s="3">
        <v>29.92</v>
      </c>
      <c r="M265" s="3" t="str">
        <f t="shared" si="40"/>
        <v>Sep</v>
      </c>
      <c r="N265" s="2">
        <v>42256.725902777776</v>
      </c>
      <c r="O265" s="1">
        <f t="shared" si="37"/>
        <v>9</v>
      </c>
      <c r="P265" s="1">
        <f t="shared" si="38"/>
        <v>4</v>
      </c>
      <c r="Q265" s="1">
        <f t="shared" si="39"/>
        <v>17</v>
      </c>
      <c r="S265"/>
      <c r="T265"/>
      <c r="U265"/>
    </row>
    <row r="266" spans="1:21" s="1" customFormat="1" x14ac:dyDescent="0.25">
      <c r="A266" s="1">
        <v>279</v>
      </c>
      <c r="B266" s="1" t="s">
        <v>91</v>
      </c>
      <c r="C266" s="1" t="s">
        <v>345</v>
      </c>
      <c r="D266" s="2">
        <v>42185.653819444444</v>
      </c>
      <c r="E266" s="2">
        <v>42185.487210648149</v>
      </c>
      <c r="F266" s="1">
        <v>1</v>
      </c>
      <c r="G266" s="1">
        <v>2</v>
      </c>
      <c r="H266" s="1">
        <v>2</v>
      </c>
      <c r="I266" s="1">
        <v>2</v>
      </c>
      <c r="J266" s="1">
        <v>1</v>
      </c>
      <c r="K266" s="1">
        <v>1</v>
      </c>
      <c r="L266" s="3">
        <v>38.4</v>
      </c>
      <c r="M266" s="3" t="str">
        <f t="shared" si="40"/>
        <v>Jun</v>
      </c>
      <c r="N266" s="2">
        <v>42185.487164351849</v>
      </c>
      <c r="O266" s="1">
        <f t="shared" si="37"/>
        <v>30</v>
      </c>
      <c r="P266" s="1">
        <f t="shared" si="38"/>
        <v>3</v>
      </c>
      <c r="Q266" s="1">
        <f t="shared" si="39"/>
        <v>11</v>
      </c>
      <c r="S266"/>
      <c r="T266"/>
      <c r="U266"/>
    </row>
    <row r="267" spans="1:21" s="1" customFormat="1" x14ac:dyDescent="0.25">
      <c r="A267" s="1">
        <v>280</v>
      </c>
      <c r="D267" s="2">
        <v>42201.8593287037</v>
      </c>
      <c r="E267" s="2">
        <v>42201.692673611113</v>
      </c>
      <c r="F267" s="1">
        <v>2</v>
      </c>
      <c r="G267" s="1">
        <v>4</v>
      </c>
      <c r="H267" s="1">
        <v>6</v>
      </c>
      <c r="I267" s="1">
        <v>3</v>
      </c>
      <c r="J267" s="1">
        <v>1</v>
      </c>
      <c r="K267" s="1">
        <v>6</v>
      </c>
      <c r="L267" s="3">
        <v>45</v>
      </c>
      <c r="M267" s="3" t="str">
        <f t="shared" si="40"/>
        <v>Jul</v>
      </c>
      <c r="N267" s="2">
        <v>42201.699872685182</v>
      </c>
      <c r="O267" s="1">
        <f t="shared" si="37"/>
        <v>16</v>
      </c>
      <c r="P267" s="1">
        <f t="shared" si="38"/>
        <v>5</v>
      </c>
      <c r="Q267" s="1">
        <f t="shared" si="39"/>
        <v>16</v>
      </c>
      <c r="S267"/>
      <c r="T267"/>
      <c r="U267"/>
    </row>
    <row r="268" spans="1:21" s="1" customFormat="1" x14ac:dyDescent="0.25">
      <c r="A268" s="1">
        <v>281</v>
      </c>
      <c r="D268" s="2">
        <v>42264.962488425925</v>
      </c>
      <c r="E268" s="2">
        <v>42264.962500000001</v>
      </c>
      <c r="F268" s="1">
        <v>1</v>
      </c>
      <c r="G268" s="1">
        <v>6</v>
      </c>
      <c r="H268" s="1">
        <v>8</v>
      </c>
      <c r="I268" s="1">
        <v>7</v>
      </c>
      <c r="J268" s="1">
        <v>1</v>
      </c>
      <c r="K268" s="1">
        <v>1</v>
      </c>
      <c r="L268" s="3">
        <v>56.32</v>
      </c>
      <c r="M268" s="3" t="str">
        <f t="shared" si="40"/>
        <v>Sep</v>
      </c>
      <c r="N268" s="2">
        <v>42264.967048611114</v>
      </c>
      <c r="O268" s="1">
        <f t="shared" si="37"/>
        <v>17</v>
      </c>
      <c r="P268" s="1">
        <f t="shared" si="38"/>
        <v>5</v>
      </c>
      <c r="Q268" s="1">
        <f t="shared" si="39"/>
        <v>23</v>
      </c>
      <c r="S268"/>
      <c r="T268"/>
      <c r="U268"/>
    </row>
    <row r="269" spans="1:21" s="1" customFormat="1" x14ac:dyDescent="0.25">
      <c r="A269" s="1">
        <v>282</v>
      </c>
      <c r="B269" s="1" t="s">
        <v>137</v>
      </c>
      <c r="C269" s="1" t="s">
        <v>261</v>
      </c>
      <c r="D269" s="2">
        <v>42088.450381944444</v>
      </c>
      <c r="E269" s="2">
        <v>42088.450462962966</v>
      </c>
      <c r="F269" s="1">
        <v>1</v>
      </c>
      <c r="G269" s="1">
        <v>6</v>
      </c>
      <c r="H269" s="1">
        <v>18</v>
      </c>
      <c r="I269" s="1">
        <v>7</v>
      </c>
      <c r="J269" s="1">
        <v>1</v>
      </c>
      <c r="K269" s="1">
        <v>4</v>
      </c>
      <c r="L269" s="4">
        <v>27.2</v>
      </c>
      <c r="M269" s="3" t="str">
        <f t="shared" si="40"/>
        <v>Mar</v>
      </c>
      <c r="N269" s="2">
        <v>42088.45039351852</v>
      </c>
      <c r="O269" s="1">
        <f t="shared" si="37"/>
        <v>25</v>
      </c>
      <c r="P269" s="1">
        <f t="shared" si="38"/>
        <v>4</v>
      </c>
      <c r="Q269" s="1">
        <f t="shared" si="39"/>
        <v>10</v>
      </c>
      <c r="S269"/>
      <c r="T269"/>
      <c r="U269"/>
    </row>
    <row r="270" spans="1:21" s="1" customFormat="1" x14ac:dyDescent="0.25">
      <c r="A270" s="1">
        <v>283</v>
      </c>
      <c r="B270" s="1" t="s">
        <v>100</v>
      </c>
      <c r="C270" s="1" t="s">
        <v>346</v>
      </c>
      <c r="D270" s="2">
        <v>42027.64466435185</v>
      </c>
      <c r="E270" s="2">
        <v>42027.644814814812</v>
      </c>
      <c r="F270" s="1">
        <v>1</v>
      </c>
      <c r="G270" s="1">
        <v>0</v>
      </c>
      <c r="H270" s="1">
        <v>6</v>
      </c>
      <c r="I270" s="1">
        <v>3</v>
      </c>
      <c r="J270" s="1">
        <v>1</v>
      </c>
      <c r="K270" s="1">
        <v>4</v>
      </c>
      <c r="L270" s="4">
        <v>36</v>
      </c>
      <c r="M270" s="3" t="str">
        <f t="shared" si="40"/>
        <v>Jan</v>
      </c>
      <c r="N270" s="2">
        <v>42027.644780092596</v>
      </c>
      <c r="O270" s="1">
        <f t="shared" ref="O270:O273" si="41">DAY(N270)</f>
        <v>23</v>
      </c>
      <c r="P270" s="1">
        <f t="shared" ref="P270:P273" si="42">WEEKDAY(N270,1)</f>
        <v>6</v>
      </c>
      <c r="Q270" s="1">
        <f t="shared" ref="Q270:Q273" si="43">HOUR(N270)</f>
        <v>15</v>
      </c>
      <c r="S270"/>
      <c r="T270"/>
      <c r="U270"/>
    </row>
    <row r="271" spans="1:21" s="1" customFormat="1" x14ac:dyDescent="0.25">
      <c r="A271" s="1">
        <v>284</v>
      </c>
      <c r="B271" s="1" t="s">
        <v>89</v>
      </c>
      <c r="C271" s="1" t="s">
        <v>347</v>
      </c>
      <c r="D271" s="2">
        <v>42227.428761574076</v>
      </c>
      <c r="E271" s="2">
        <v>42227.262152777781</v>
      </c>
      <c r="F271" s="1">
        <v>1</v>
      </c>
      <c r="G271" s="1">
        <v>4</v>
      </c>
      <c r="H271" s="1">
        <v>2</v>
      </c>
      <c r="I271" s="1">
        <v>2</v>
      </c>
      <c r="J271" s="1">
        <v>1</v>
      </c>
      <c r="K271" s="1">
        <v>1</v>
      </c>
      <c r="L271" s="3">
        <v>56.32</v>
      </c>
      <c r="M271" s="3" t="str">
        <f t="shared" si="40"/>
        <v>Aug</v>
      </c>
      <c r="N271" s="2">
        <v>42227.262106481481</v>
      </c>
      <c r="O271" s="1">
        <f t="shared" si="41"/>
        <v>11</v>
      </c>
      <c r="P271" s="1">
        <f t="shared" si="42"/>
        <v>3</v>
      </c>
      <c r="Q271" s="1">
        <f t="shared" si="43"/>
        <v>6</v>
      </c>
      <c r="S271"/>
      <c r="T271"/>
      <c r="U271"/>
    </row>
    <row r="272" spans="1:21" s="1" customFormat="1" x14ac:dyDescent="0.25">
      <c r="A272" s="1">
        <v>285</v>
      </c>
      <c r="B272" s="1" t="s">
        <v>80</v>
      </c>
      <c r="C272" s="1" t="s">
        <v>348</v>
      </c>
      <c r="D272" s="2">
        <v>42211.230057870373</v>
      </c>
      <c r="E272" s="2">
        <v>42211.063460648147</v>
      </c>
      <c r="F272" s="1">
        <v>1</v>
      </c>
      <c r="G272" s="1">
        <v>8</v>
      </c>
      <c r="H272" s="1">
        <v>6</v>
      </c>
      <c r="I272" s="1">
        <v>2</v>
      </c>
      <c r="J272" s="1">
        <v>1</v>
      </c>
      <c r="K272" s="1">
        <v>4</v>
      </c>
      <c r="L272" s="3">
        <v>35.200000000000003</v>
      </c>
      <c r="M272" s="3" t="str">
        <f t="shared" si="40"/>
        <v>Jul</v>
      </c>
      <c r="N272" s="2">
        <v>42211.063402777778</v>
      </c>
      <c r="O272" s="1">
        <f t="shared" si="41"/>
        <v>26</v>
      </c>
      <c r="P272" s="1">
        <f t="shared" si="42"/>
        <v>1</v>
      </c>
      <c r="Q272" s="1">
        <f t="shared" si="43"/>
        <v>1</v>
      </c>
      <c r="S272"/>
      <c r="T272"/>
      <c r="U272"/>
    </row>
    <row r="273" spans="1:21" s="1" customFormat="1" x14ac:dyDescent="0.25">
      <c r="A273" s="1">
        <v>286</v>
      </c>
      <c r="B273" s="1" t="s">
        <v>234</v>
      </c>
      <c r="C273" s="1" t="s">
        <v>349</v>
      </c>
      <c r="D273" s="2">
        <v>42026.626203703701</v>
      </c>
      <c r="E273" s="2">
        <v>42026.626284722224</v>
      </c>
      <c r="F273" s="1">
        <v>1</v>
      </c>
      <c r="G273" s="1">
        <v>2</v>
      </c>
      <c r="H273" s="1">
        <v>4</v>
      </c>
      <c r="I273" s="1">
        <v>3</v>
      </c>
      <c r="J273" s="1">
        <v>1</v>
      </c>
      <c r="K273" s="1">
        <v>4</v>
      </c>
      <c r="L273" s="4">
        <v>28.8</v>
      </c>
      <c r="M273" s="3" t="str">
        <f t="shared" si="40"/>
        <v>Jan</v>
      </c>
      <c r="N273" s="2">
        <v>42026.626250000001</v>
      </c>
      <c r="O273" s="1">
        <f t="shared" si="41"/>
        <v>22</v>
      </c>
      <c r="P273" s="1">
        <f t="shared" si="42"/>
        <v>5</v>
      </c>
      <c r="Q273" s="1">
        <f t="shared" si="43"/>
        <v>15</v>
      </c>
      <c r="S273"/>
      <c r="T273"/>
      <c r="U273"/>
    </row>
    <row r="274" spans="1:21" s="1" customFormat="1" x14ac:dyDescent="0.25">
      <c r="A274" s="1">
        <v>288</v>
      </c>
      <c r="D274" s="2">
        <v>42208.538356481484</v>
      </c>
      <c r="E274" s="2">
        <v>42208.371701388889</v>
      </c>
      <c r="F274" s="1">
        <v>1</v>
      </c>
      <c r="G274" s="1">
        <v>2</v>
      </c>
      <c r="H274" s="1">
        <v>10</v>
      </c>
      <c r="I274" s="1">
        <v>13</v>
      </c>
      <c r="J274" s="1">
        <v>1</v>
      </c>
      <c r="K274" s="1">
        <v>4</v>
      </c>
      <c r="L274" s="3">
        <v>70.400000000000006</v>
      </c>
      <c r="M274" s="3" t="str">
        <f t="shared" si="40"/>
        <v>Jul</v>
      </c>
      <c r="N274" s="2">
        <v>42208.373310185183</v>
      </c>
      <c r="O274" s="1">
        <f t="shared" ref="O274:O292" si="44">DAY(N274)</f>
        <v>23</v>
      </c>
      <c r="P274" s="1">
        <f t="shared" ref="P274:P292" si="45">WEEKDAY(N274,1)</f>
        <v>5</v>
      </c>
      <c r="Q274" s="1">
        <f t="shared" ref="Q274:Q292" si="46">HOUR(N274)</f>
        <v>8</v>
      </c>
      <c r="S274"/>
      <c r="T274"/>
      <c r="U274"/>
    </row>
    <row r="275" spans="1:21" s="1" customFormat="1" x14ac:dyDescent="0.25">
      <c r="A275" s="1">
        <v>289</v>
      </c>
      <c r="B275" s="1" t="s">
        <v>100</v>
      </c>
      <c r="C275" s="1" t="s">
        <v>350</v>
      </c>
      <c r="D275" s="2">
        <v>42163.683171296296</v>
      </c>
      <c r="E275" s="2">
        <v>42163.516574074078</v>
      </c>
      <c r="F275" s="1">
        <v>1</v>
      </c>
      <c r="G275" s="1">
        <v>4</v>
      </c>
      <c r="H275" s="1">
        <v>8</v>
      </c>
      <c r="I275" s="1">
        <v>2</v>
      </c>
      <c r="J275" s="1">
        <v>1</v>
      </c>
      <c r="K275" s="1">
        <v>4</v>
      </c>
      <c r="L275" s="3">
        <v>28.8</v>
      </c>
      <c r="M275" s="3" t="str">
        <f t="shared" si="40"/>
        <v>Jun</v>
      </c>
      <c r="N275" s="2">
        <v>42163.516539351855</v>
      </c>
      <c r="O275" s="1">
        <f t="shared" si="44"/>
        <v>8</v>
      </c>
      <c r="P275" s="1">
        <f t="shared" si="45"/>
        <v>2</v>
      </c>
      <c r="Q275" s="1">
        <f t="shared" si="46"/>
        <v>12</v>
      </c>
      <c r="S275"/>
      <c r="T275"/>
      <c r="U275"/>
    </row>
    <row r="276" spans="1:21" s="1" customFormat="1" x14ac:dyDescent="0.25">
      <c r="A276" s="1">
        <v>290</v>
      </c>
      <c r="B276" s="1" t="s">
        <v>103</v>
      </c>
      <c r="C276" s="1" t="s">
        <v>201</v>
      </c>
      <c r="D276" s="2">
        <v>42072.399780092594</v>
      </c>
      <c r="E276" s="2">
        <v>42072.39984953704</v>
      </c>
      <c r="F276" s="1">
        <v>1</v>
      </c>
      <c r="G276" s="1">
        <v>4</v>
      </c>
      <c r="H276" s="1">
        <v>4</v>
      </c>
      <c r="I276" s="1">
        <v>1</v>
      </c>
      <c r="J276" s="1">
        <v>1</v>
      </c>
      <c r="K276" s="1">
        <v>2</v>
      </c>
      <c r="L276" s="4">
        <v>36</v>
      </c>
      <c r="M276" s="3" t="str">
        <f t="shared" si="40"/>
        <v>Mar</v>
      </c>
      <c r="N276" s="2">
        <v>42072.399791666663</v>
      </c>
      <c r="O276" s="1">
        <f t="shared" si="44"/>
        <v>9</v>
      </c>
      <c r="P276" s="1">
        <f t="shared" si="45"/>
        <v>2</v>
      </c>
      <c r="Q276" s="1">
        <f t="shared" si="46"/>
        <v>9</v>
      </c>
      <c r="S276"/>
      <c r="T276"/>
      <c r="U276"/>
    </row>
    <row r="277" spans="1:21" s="1" customFormat="1" x14ac:dyDescent="0.25">
      <c r="A277" s="1">
        <v>291</v>
      </c>
      <c r="B277" s="1" t="s">
        <v>87</v>
      </c>
      <c r="C277" s="1" t="s">
        <v>351</v>
      </c>
      <c r="D277" s="2">
        <v>42176.673680555556</v>
      </c>
      <c r="E277" s="2">
        <v>42176.673726851855</v>
      </c>
      <c r="F277" s="1">
        <v>1</v>
      </c>
      <c r="G277" s="1">
        <v>4</v>
      </c>
      <c r="H277" s="1">
        <v>2</v>
      </c>
      <c r="I277" s="1">
        <v>2</v>
      </c>
      <c r="J277" s="1">
        <v>1</v>
      </c>
      <c r="K277" s="1">
        <v>1</v>
      </c>
      <c r="L277" s="3">
        <v>28.8</v>
      </c>
      <c r="M277" s="3" t="str">
        <f t="shared" si="40"/>
        <v>Jun</v>
      </c>
      <c r="N277" s="2">
        <v>42176.673692129632</v>
      </c>
      <c r="O277" s="1">
        <f t="shared" si="44"/>
        <v>21</v>
      </c>
      <c r="P277" s="1">
        <f t="shared" si="45"/>
        <v>1</v>
      </c>
      <c r="Q277" s="1">
        <f t="shared" si="46"/>
        <v>16</v>
      </c>
      <c r="S277"/>
      <c r="T277"/>
      <c r="U277"/>
    </row>
    <row r="278" spans="1:21" s="1" customFormat="1" x14ac:dyDescent="0.25">
      <c r="A278" s="1">
        <v>292</v>
      </c>
      <c r="B278" s="1" t="s">
        <v>134</v>
      </c>
      <c r="C278" s="1" t="s">
        <v>352</v>
      </c>
      <c r="D278" s="2">
        <v>42100.634328703702</v>
      </c>
      <c r="E278" s="2">
        <v>42100.634375000001</v>
      </c>
      <c r="F278" s="1">
        <v>1</v>
      </c>
      <c r="G278" s="1">
        <v>2</v>
      </c>
      <c r="H278" s="1">
        <v>10</v>
      </c>
      <c r="I278" s="1">
        <v>4</v>
      </c>
      <c r="J278" s="1">
        <v>1</v>
      </c>
      <c r="K278" s="1">
        <v>4</v>
      </c>
      <c r="L278" s="4">
        <v>28.8</v>
      </c>
      <c r="M278" s="3" t="str">
        <f t="shared" si="40"/>
        <v>Apr</v>
      </c>
      <c r="N278" s="2">
        <v>42100.635625000003</v>
      </c>
      <c r="O278" s="1">
        <f t="shared" si="44"/>
        <v>6</v>
      </c>
      <c r="P278" s="1">
        <f t="shared" si="45"/>
        <v>2</v>
      </c>
      <c r="Q278" s="1">
        <f t="shared" si="46"/>
        <v>15</v>
      </c>
      <c r="S278"/>
      <c r="T278"/>
      <c r="U278"/>
    </row>
    <row r="279" spans="1:21" s="1" customFormat="1" x14ac:dyDescent="0.25">
      <c r="A279" s="1">
        <v>293</v>
      </c>
      <c r="B279" s="1" t="s">
        <v>234</v>
      </c>
      <c r="C279" s="1" t="s">
        <v>353</v>
      </c>
      <c r="D279" s="2">
        <v>41991.912615740737</v>
      </c>
      <c r="E279" s="2">
        <v>42267.757164351853</v>
      </c>
      <c r="F279" s="1">
        <v>3</v>
      </c>
      <c r="G279" s="1">
        <v>2</v>
      </c>
      <c r="H279" s="1">
        <v>2</v>
      </c>
      <c r="I279" s="1">
        <v>4</v>
      </c>
      <c r="J279" s="1">
        <v>1</v>
      </c>
      <c r="K279" s="1">
        <v>2</v>
      </c>
      <c r="L279" s="3">
        <v>140.80000000000001</v>
      </c>
      <c r="M279" s="3" t="str">
        <f t="shared" si="40"/>
        <v>Sep</v>
      </c>
      <c r="N279" s="2">
        <v>42267.758969907409</v>
      </c>
      <c r="O279" s="1">
        <f t="shared" si="44"/>
        <v>20</v>
      </c>
      <c r="P279" s="1">
        <f t="shared" si="45"/>
        <v>1</v>
      </c>
      <c r="Q279" s="1">
        <f t="shared" si="46"/>
        <v>18</v>
      </c>
      <c r="S279"/>
      <c r="T279"/>
      <c r="U279"/>
    </row>
    <row r="280" spans="1:21" s="1" customFormat="1" x14ac:dyDescent="0.25">
      <c r="A280" s="1">
        <v>294</v>
      </c>
      <c r="B280" s="1" t="s">
        <v>354</v>
      </c>
      <c r="C280" s="1" t="s">
        <v>355</v>
      </c>
      <c r="D280" s="2">
        <v>42164.935300925928</v>
      </c>
      <c r="E280" s="2">
        <v>42164.935347222221</v>
      </c>
      <c r="F280" s="1">
        <v>1</v>
      </c>
      <c r="G280" s="1">
        <v>10</v>
      </c>
      <c r="H280" s="1">
        <v>12</v>
      </c>
      <c r="I280" s="1">
        <v>5</v>
      </c>
      <c r="J280" s="1">
        <v>1</v>
      </c>
      <c r="K280" s="1">
        <v>6</v>
      </c>
      <c r="L280" s="3">
        <v>45.6</v>
      </c>
      <c r="M280" s="3" t="str">
        <f t="shared" si="40"/>
        <v>Jun</v>
      </c>
      <c r="N280" s="2">
        <v>42164.935312499998</v>
      </c>
      <c r="O280" s="1">
        <f t="shared" si="44"/>
        <v>9</v>
      </c>
      <c r="P280" s="1">
        <f t="shared" si="45"/>
        <v>3</v>
      </c>
      <c r="Q280" s="1">
        <f t="shared" si="46"/>
        <v>22</v>
      </c>
      <c r="S280"/>
      <c r="T280"/>
      <c r="U280"/>
    </row>
    <row r="281" spans="1:21" s="1" customFormat="1" x14ac:dyDescent="0.25">
      <c r="A281" s="1">
        <v>295</v>
      </c>
      <c r="B281" s="1" t="s">
        <v>100</v>
      </c>
      <c r="C281" s="1" t="s">
        <v>356</v>
      </c>
      <c r="D281" s="2">
        <v>42125.838622685187</v>
      </c>
      <c r="E281" s="2">
        <v>42125.838680555556</v>
      </c>
      <c r="F281" s="1">
        <v>1</v>
      </c>
      <c r="G281" s="1">
        <v>0</v>
      </c>
      <c r="H281" s="1">
        <v>6</v>
      </c>
      <c r="I281" s="1">
        <v>1</v>
      </c>
      <c r="J281" s="1">
        <v>1</v>
      </c>
      <c r="K281" s="1">
        <v>5</v>
      </c>
      <c r="L281" s="4">
        <v>36</v>
      </c>
      <c r="M281" s="3" t="str">
        <f t="shared" si="40"/>
        <v>May</v>
      </c>
      <c r="N281" s="2">
        <v>42125.838634259257</v>
      </c>
      <c r="O281" s="1">
        <f t="shared" si="44"/>
        <v>1</v>
      </c>
      <c r="P281" s="1">
        <f t="shared" si="45"/>
        <v>6</v>
      </c>
      <c r="Q281" s="1">
        <f t="shared" si="46"/>
        <v>20</v>
      </c>
      <c r="S281"/>
      <c r="T281"/>
      <c r="U281"/>
    </row>
    <row r="282" spans="1:21" s="1" customFormat="1" x14ac:dyDescent="0.25">
      <c r="A282" s="1">
        <v>296</v>
      </c>
      <c r="B282" s="1" t="s">
        <v>341</v>
      </c>
      <c r="C282" s="1" t="s">
        <v>357</v>
      </c>
      <c r="D282" s="2">
        <v>42095.580034722225</v>
      </c>
      <c r="E282" s="2">
        <v>42095.580081018517</v>
      </c>
      <c r="F282" s="1">
        <v>1</v>
      </c>
      <c r="G282" s="1">
        <v>0</v>
      </c>
      <c r="H282" s="1">
        <v>2</v>
      </c>
      <c r="I282" s="1">
        <v>1</v>
      </c>
      <c r="J282" s="1">
        <v>1</v>
      </c>
      <c r="K282" s="1">
        <v>1</v>
      </c>
      <c r="L282" s="4">
        <v>36</v>
      </c>
      <c r="M282" s="3" t="str">
        <f t="shared" si="40"/>
        <v>Apr</v>
      </c>
      <c r="N282" s="2">
        <v>42095.580034722225</v>
      </c>
      <c r="O282" s="1">
        <f t="shared" si="44"/>
        <v>1</v>
      </c>
      <c r="P282" s="1">
        <f t="shared" si="45"/>
        <v>4</v>
      </c>
      <c r="Q282" s="1">
        <f t="shared" si="46"/>
        <v>13</v>
      </c>
      <c r="S282"/>
      <c r="T282"/>
      <c r="U282"/>
    </row>
    <row r="283" spans="1:21" s="1" customFormat="1" x14ac:dyDescent="0.25">
      <c r="A283" s="1">
        <v>297</v>
      </c>
      <c r="B283" s="1" t="s">
        <v>96</v>
      </c>
      <c r="C283" s="1" t="s">
        <v>172</v>
      </c>
      <c r="D283" s="2">
        <v>42014.874872685185</v>
      </c>
      <c r="E283" s="2">
        <v>42014.874918981484</v>
      </c>
      <c r="F283" s="1">
        <v>1</v>
      </c>
      <c r="G283" s="1">
        <v>4</v>
      </c>
      <c r="H283" s="1">
        <v>16</v>
      </c>
      <c r="I283" s="1">
        <v>4</v>
      </c>
      <c r="J283" s="1">
        <v>1</v>
      </c>
      <c r="K283" s="1">
        <v>5</v>
      </c>
      <c r="L283" s="4">
        <v>36</v>
      </c>
      <c r="M283" s="3" t="str">
        <f t="shared" si="40"/>
        <v>Jan</v>
      </c>
      <c r="N283" s="2">
        <v>42014.87804398148</v>
      </c>
      <c r="O283" s="1">
        <f t="shared" si="44"/>
        <v>10</v>
      </c>
      <c r="P283" s="1">
        <f t="shared" si="45"/>
        <v>7</v>
      </c>
      <c r="Q283" s="1">
        <f t="shared" si="46"/>
        <v>21</v>
      </c>
      <c r="S283"/>
      <c r="T283"/>
      <c r="U283"/>
    </row>
    <row r="284" spans="1:21" s="1" customFormat="1" x14ac:dyDescent="0.25">
      <c r="A284" s="1">
        <v>298</v>
      </c>
      <c r="B284" s="1" t="s">
        <v>109</v>
      </c>
      <c r="C284" s="1" t="s">
        <v>358</v>
      </c>
      <c r="D284" s="2">
        <v>42187.888599537036</v>
      </c>
      <c r="E284" s="2">
        <v>42259.943229166667</v>
      </c>
      <c r="F284" s="1">
        <v>2</v>
      </c>
      <c r="G284" s="1">
        <v>3</v>
      </c>
      <c r="H284" s="1">
        <v>4</v>
      </c>
      <c r="I284" s="1">
        <v>2</v>
      </c>
      <c r="J284" s="1">
        <v>1</v>
      </c>
      <c r="K284" s="1">
        <v>2</v>
      </c>
      <c r="L284" s="3">
        <v>74.8</v>
      </c>
      <c r="M284" s="3" t="str">
        <f t="shared" si="40"/>
        <v>Sep</v>
      </c>
      <c r="N284" s="2">
        <v>42259.947500000002</v>
      </c>
      <c r="O284" s="1">
        <f t="shared" si="44"/>
        <v>12</v>
      </c>
      <c r="P284" s="1">
        <f t="shared" si="45"/>
        <v>7</v>
      </c>
      <c r="Q284" s="1">
        <f t="shared" si="46"/>
        <v>22</v>
      </c>
      <c r="S284"/>
      <c r="T284"/>
      <c r="U284"/>
    </row>
    <row r="285" spans="1:21" s="1" customFormat="1" x14ac:dyDescent="0.25">
      <c r="A285" s="1">
        <v>299</v>
      </c>
      <c r="B285" s="1" t="s">
        <v>94</v>
      </c>
      <c r="C285" s="1" t="s">
        <v>359</v>
      </c>
      <c r="D285" s="2">
        <v>42266.717280092591</v>
      </c>
      <c r="E285" s="2">
        <v>42266.902418981481</v>
      </c>
      <c r="F285" s="1">
        <v>7</v>
      </c>
      <c r="G285" s="1">
        <v>8</v>
      </c>
      <c r="H285" s="1">
        <v>2</v>
      </c>
      <c r="I285" s="1">
        <v>2</v>
      </c>
      <c r="J285" s="1">
        <v>1</v>
      </c>
      <c r="K285" s="1">
        <v>1</v>
      </c>
      <c r="L285" s="3">
        <v>56.32</v>
      </c>
      <c r="M285" s="3" t="str">
        <f t="shared" si="40"/>
        <v>Sep</v>
      </c>
      <c r="N285" s="2">
        <v>42266.717291666668</v>
      </c>
      <c r="O285" s="1">
        <f t="shared" si="44"/>
        <v>19</v>
      </c>
      <c r="P285" s="1">
        <f t="shared" si="45"/>
        <v>7</v>
      </c>
      <c r="Q285" s="1">
        <f t="shared" si="46"/>
        <v>17</v>
      </c>
      <c r="S285"/>
      <c r="T285"/>
      <c r="U285"/>
    </row>
    <row r="286" spans="1:21" s="1" customFormat="1" x14ac:dyDescent="0.25">
      <c r="A286" s="1">
        <v>300</v>
      </c>
      <c r="B286" s="1" t="s">
        <v>274</v>
      </c>
      <c r="C286" s="1" t="s">
        <v>360</v>
      </c>
      <c r="D286" s="2">
        <v>42019.836770833332</v>
      </c>
      <c r="E286" s="2">
        <v>42042.825995370367</v>
      </c>
      <c r="F286" s="1">
        <v>2</v>
      </c>
      <c r="G286" s="1">
        <v>1</v>
      </c>
      <c r="H286" s="1">
        <v>7</v>
      </c>
      <c r="I286" s="1">
        <v>4</v>
      </c>
      <c r="J286" s="1">
        <v>2</v>
      </c>
      <c r="K286" s="1">
        <v>4</v>
      </c>
      <c r="L286" s="4">
        <v>9</v>
      </c>
      <c r="M286" s="3" t="str">
        <f t="shared" si="40"/>
        <v>Jan</v>
      </c>
      <c r="N286" s="2">
        <v>42019.836793981478</v>
      </c>
      <c r="O286" s="1">
        <f t="shared" si="44"/>
        <v>15</v>
      </c>
      <c r="P286" s="1">
        <f t="shared" si="45"/>
        <v>5</v>
      </c>
      <c r="Q286" s="1">
        <f t="shared" si="46"/>
        <v>20</v>
      </c>
      <c r="S286"/>
      <c r="T286"/>
      <c r="U286"/>
    </row>
    <row r="287" spans="1:21" s="1" customFormat="1" x14ac:dyDescent="0.25">
      <c r="A287" s="1">
        <v>301</v>
      </c>
      <c r="B287" s="1" t="s">
        <v>341</v>
      </c>
      <c r="C287" s="1" t="s">
        <v>361</v>
      </c>
      <c r="D287" s="2">
        <v>42063.670682870368</v>
      </c>
      <c r="E287" s="2">
        <v>42063.670740740738</v>
      </c>
      <c r="F287" s="1">
        <v>1</v>
      </c>
      <c r="G287" s="1">
        <v>4</v>
      </c>
      <c r="H287" s="1">
        <v>2</v>
      </c>
      <c r="I287" s="1">
        <v>1</v>
      </c>
      <c r="J287" s="1">
        <v>1</v>
      </c>
      <c r="K287" s="1">
        <v>2</v>
      </c>
      <c r="L287" s="4">
        <v>9</v>
      </c>
      <c r="M287" s="3" t="str">
        <f t="shared" si="40"/>
        <v>Feb</v>
      </c>
      <c r="N287" s="2">
        <v>42063.670694444445</v>
      </c>
      <c r="O287" s="1">
        <f t="shared" si="44"/>
        <v>28</v>
      </c>
      <c r="P287" s="1">
        <f t="shared" si="45"/>
        <v>7</v>
      </c>
      <c r="Q287" s="1">
        <f t="shared" si="46"/>
        <v>16</v>
      </c>
      <c r="S287"/>
      <c r="T287"/>
      <c r="U287"/>
    </row>
    <row r="288" spans="1:21" s="1" customFormat="1" x14ac:dyDescent="0.25">
      <c r="A288" s="1">
        <v>302</v>
      </c>
      <c r="B288" s="1" t="s">
        <v>96</v>
      </c>
      <c r="C288" s="1" t="s">
        <v>362</v>
      </c>
      <c r="D288" s="2">
        <v>42018.517164351855</v>
      </c>
      <c r="E288" s="2">
        <v>42018.517210648148</v>
      </c>
      <c r="F288" s="1">
        <v>1</v>
      </c>
      <c r="G288" s="1">
        <v>0</v>
      </c>
      <c r="H288" s="1">
        <v>2</v>
      </c>
      <c r="I288" s="1">
        <v>2</v>
      </c>
      <c r="J288" s="1">
        <v>1</v>
      </c>
      <c r="K288" s="1">
        <v>2</v>
      </c>
      <c r="L288" s="4">
        <v>9</v>
      </c>
      <c r="M288" s="3" t="str">
        <f t="shared" si="40"/>
        <v>Jan</v>
      </c>
      <c r="N288" s="2">
        <v>42018.517175925925</v>
      </c>
      <c r="O288" s="1">
        <f t="shared" si="44"/>
        <v>14</v>
      </c>
      <c r="P288" s="1">
        <f t="shared" si="45"/>
        <v>4</v>
      </c>
      <c r="Q288" s="1">
        <f t="shared" si="46"/>
        <v>12</v>
      </c>
      <c r="S288"/>
      <c r="T288"/>
      <c r="U288"/>
    </row>
    <row r="289" spans="1:21" s="1" customFormat="1" x14ac:dyDescent="0.25">
      <c r="A289" s="1">
        <v>303</v>
      </c>
      <c r="D289" s="2">
        <v>42144.031319444446</v>
      </c>
      <c r="E289" s="2">
        <v>42143.864675925928</v>
      </c>
      <c r="F289" s="1">
        <v>1</v>
      </c>
      <c r="G289" s="1">
        <v>2</v>
      </c>
      <c r="H289" s="1">
        <v>2</v>
      </c>
      <c r="I289" s="1">
        <v>2</v>
      </c>
      <c r="J289" s="1">
        <v>1</v>
      </c>
      <c r="K289" s="1">
        <v>5</v>
      </c>
      <c r="L289" s="4">
        <v>36</v>
      </c>
      <c r="M289" s="3" t="str">
        <f t="shared" si="40"/>
        <v>May</v>
      </c>
      <c r="N289" s="2">
        <v>42143.867650462962</v>
      </c>
      <c r="O289" s="1">
        <f t="shared" si="44"/>
        <v>19</v>
      </c>
      <c r="P289" s="1">
        <f t="shared" si="45"/>
        <v>3</v>
      </c>
      <c r="Q289" s="1">
        <f t="shared" si="46"/>
        <v>20</v>
      </c>
      <c r="S289"/>
      <c r="T289"/>
      <c r="U289"/>
    </row>
    <row r="290" spans="1:21" s="1" customFormat="1" x14ac:dyDescent="0.25">
      <c r="A290" s="1">
        <v>304</v>
      </c>
      <c r="D290" s="2">
        <v>42231.248622685183</v>
      </c>
      <c r="E290" s="2">
        <v>42231.081967592596</v>
      </c>
      <c r="F290" s="1">
        <v>1</v>
      </c>
      <c r="G290" s="1">
        <v>2</v>
      </c>
      <c r="H290" s="1">
        <v>6</v>
      </c>
      <c r="I290" s="1">
        <v>4</v>
      </c>
      <c r="J290" s="1">
        <v>1</v>
      </c>
      <c r="K290" s="1">
        <v>1</v>
      </c>
      <c r="L290" s="3">
        <v>29.92</v>
      </c>
      <c r="M290" s="3" t="str">
        <f t="shared" si="40"/>
        <v>Aug</v>
      </c>
      <c r="N290" s="2">
        <v>42231.084444444445</v>
      </c>
      <c r="O290" s="1">
        <f t="shared" si="44"/>
        <v>15</v>
      </c>
      <c r="P290" s="1">
        <f t="shared" si="45"/>
        <v>7</v>
      </c>
      <c r="Q290" s="1">
        <f t="shared" si="46"/>
        <v>2</v>
      </c>
      <c r="S290"/>
      <c r="T290"/>
      <c r="U290"/>
    </row>
    <row r="291" spans="1:21" s="1" customFormat="1" x14ac:dyDescent="0.25">
      <c r="A291" s="1">
        <v>305</v>
      </c>
      <c r="B291" s="1" t="s">
        <v>147</v>
      </c>
      <c r="C291" s="1" t="s">
        <v>363</v>
      </c>
      <c r="D291" s="2">
        <v>42195.671585648146</v>
      </c>
      <c r="E291" s="2">
        <v>42195.671631944446</v>
      </c>
      <c r="F291" s="1">
        <v>1</v>
      </c>
      <c r="G291" s="1">
        <v>2</v>
      </c>
      <c r="H291" s="1">
        <v>2</v>
      </c>
      <c r="I291" s="1">
        <v>2</v>
      </c>
      <c r="J291" s="1">
        <v>1</v>
      </c>
      <c r="K291" s="1">
        <v>1</v>
      </c>
      <c r="L291" s="3">
        <v>28.8</v>
      </c>
      <c r="M291" s="3" t="str">
        <f t="shared" si="40"/>
        <v>Jul</v>
      </c>
      <c r="N291" s="2">
        <v>42195.671597222223</v>
      </c>
      <c r="O291" s="1">
        <f t="shared" si="44"/>
        <v>10</v>
      </c>
      <c r="P291" s="1">
        <f t="shared" si="45"/>
        <v>6</v>
      </c>
      <c r="Q291" s="1">
        <f t="shared" si="46"/>
        <v>16</v>
      </c>
      <c r="S291"/>
      <c r="T291"/>
      <c r="U291"/>
    </row>
    <row r="292" spans="1:21" s="1" customFormat="1" x14ac:dyDescent="0.25">
      <c r="A292" s="1">
        <v>306</v>
      </c>
      <c r="B292" s="1" t="s">
        <v>96</v>
      </c>
      <c r="C292" s="1" t="s">
        <v>364</v>
      </c>
      <c r="D292" s="2">
        <v>41537.804837962962</v>
      </c>
      <c r="E292" s="2">
        <v>42027.425069444442</v>
      </c>
      <c r="F292" s="1">
        <v>3</v>
      </c>
      <c r="G292" s="1">
        <v>2</v>
      </c>
      <c r="H292" s="1">
        <v>2</v>
      </c>
      <c r="I292" s="1">
        <v>2</v>
      </c>
      <c r="J292" s="1">
        <v>1</v>
      </c>
      <c r="K292" s="1">
        <v>2</v>
      </c>
      <c r="L292" s="4">
        <v>9</v>
      </c>
      <c r="M292" s="3" t="str">
        <f t="shared" si="40"/>
        <v>Jan</v>
      </c>
      <c r="N292" s="2">
        <v>42024.59238425926</v>
      </c>
      <c r="O292" s="1">
        <f t="shared" si="44"/>
        <v>20</v>
      </c>
      <c r="P292" s="1">
        <f t="shared" si="45"/>
        <v>3</v>
      </c>
      <c r="Q292" s="1">
        <f t="shared" si="46"/>
        <v>14</v>
      </c>
      <c r="S292"/>
      <c r="T292"/>
      <c r="U292"/>
    </row>
    <row r="293" spans="1:21" s="1" customFormat="1" x14ac:dyDescent="0.25">
      <c r="A293" s="1">
        <v>308</v>
      </c>
      <c r="B293" s="1" t="s">
        <v>285</v>
      </c>
      <c r="C293" s="1" t="s">
        <v>365</v>
      </c>
      <c r="D293" s="2">
        <v>42053.82135416667</v>
      </c>
      <c r="E293" s="2">
        <v>42073.92328703704</v>
      </c>
      <c r="F293" s="1">
        <v>3</v>
      </c>
      <c r="G293" s="1">
        <v>1</v>
      </c>
      <c r="H293" s="1">
        <v>14</v>
      </c>
      <c r="I293" s="1">
        <v>10</v>
      </c>
      <c r="J293" s="1">
        <v>3</v>
      </c>
      <c r="K293" s="1">
        <v>7</v>
      </c>
      <c r="L293" s="4">
        <v>8</v>
      </c>
      <c r="M293" s="3" t="str">
        <f t="shared" si="40"/>
        <v>Feb</v>
      </c>
      <c r="N293" s="2">
        <v>42053.824131944442</v>
      </c>
      <c r="O293" s="1">
        <f t="shared" ref="O293:O345" si="47">DAY(N293)</f>
        <v>18</v>
      </c>
      <c r="P293" s="1">
        <f t="shared" ref="P293:P345" si="48">WEEKDAY(N293,1)</f>
        <v>4</v>
      </c>
      <c r="Q293" s="1">
        <f t="shared" ref="Q293:Q345" si="49">HOUR(N293)</f>
        <v>19</v>
      </c>
      <c r="S293"/>
      <c r="T293"/>
      <c r="U293"/>
    </row>
    <row r="294" spans="1:21" s="1" customFormat="1" x14ac:dyDescent="0.25">
      <c r="A294" s="1">
        <v>309</v>
      </c>
      <c r="B294" s="1" t="s">
        <v>89</v>
      </c>
      <c r="C294" s="1" t="s">
        <v>366</v>
      </c>
      <c r="D294" s="2">
        <v>42245.697581018518</v>
      </c>
      <c r="E294" s="2">
        <v>42245.697615740741</v>
      </c>
      <c r="F294" s="1">
        <v>1</v>
      </c>
      <c r="G294" s="1">
        <v>2</v>
      </c>
      <c r="H294" s="1">
        <v>2</v>
      </c>
      <c r="I294" s="1">
        <v>2</v>
      </c>
      <c r="J294" s="1">
        <v>1</v>
      </c>
      <c r="K294" s="1">
        <v>1</v>
      </c>
      <c r="L294" s="3">
        <v>40.799999999999997</v>
      </c>
      <c r="M294" s="3" t="str">
        <f t="shared" si="40"/>
        <v>Aug</v>
      </c>
      <c r="N294" s="2">
        <v>42245.697581018518</v>
      </c>
      <c r="O294" s="1">
        <f t="shared" si="47"/>
        <v>29</v>
      </c>
      <c r="P294" s="1">
        <f t="shared" si="48"/>
        <v>7</v>
      </c>
      <c r="Q294" s="1">
        <f t="shared" si="49"/>
        <v>16</v>
      </c>
      <c r="S294"/>
      <c r="T294"/>
      <c r="U294"/>
    </row>
    <row r="295" spans="1:21" s="1" customFormat="1" x14ac:dyDescent="0.25">
      <c r="A295" s="1">
        <v>310</v>
      </c>
      <c r="B295" s="1" t="s">
        <v>123</v>
      </c>
      <c r="C295" s="1" t="s">
        <v>367</v>
      </c>
      <c r="D295" s="2">
        <v>42155.631666666668</v>
      </c>
      <c r="E295" s="2">
        <v>42155.465011574073</v>
      </c>
      <c r="F295" s="1">
        <v>1</v>
      </c>
      <c r="G295" s="1">
        <v>6</v>
      </c>
      <c r="H295" s="1">
        <v>2</v>
      </c>
      <c r="I295" s="1">
        <v>4</v>
      </c>
      <c r="J295" s="1">
        <v>1</v>
      </c>
      <c r="K295" s="1">
        <v>4</v>
      </c>
      <c r="L295" s="3">
        <v>25.6</v>
      </c>
      <c r="M295" s="3" t="str">
        <f t="shared" si="40"/>
        <v>May</v>
      </c>
      <c r="N295" s="2">
        <v>42155.467013888891</v>
      </c>
      <c r="O295" s="1">
        <f t="shared" si="47"/>
        <v>31</v>
      </c>
      <c r="P295" s="1">
        <f t="shared" si="48"/>
        <v>1</v>
      </c>
      <c r="Q295" s="1">
        <f t="shared" si="49"/>
        <v>11</v>
      </c>
      <c r="S295"/>
      <c r="T295"/>
      <c r="U295"/>
    </row>
    <row r="296" spans="1:21" s="1" customFormat="1" x14ac:dyDescent="0.25">
      <c r="A296" s="1">
        <v>311</v>
      </c>
      <c r="B296" s="1" t="s">
        <v>245</v>
      </c>
      <c r="C296" s="1" t="s">
        <v>368</v>
      </c>
      <c r="D296" s="2">
        <v>42249.691805555558</v>
      </c>
      <c r="E296" s="2">
        <v>42249.691886574074</v>
      </c>
      <c r="F296" s="1">
        <v>1</v>
      </c>
      <c r="G296" s="1">
        <v>0</v>
      </c>
      <c r="H296" s="1">
        <v>2</v>
      </c>
      <c r="I296" s="1">
        <v>2</v>
      </c>
      <c r="J296" s="1">
        <v>1</v>
      </c>
      <c r="K296" s="1">
        <v>1</v>
      </c>
      <c r="L296" s="3">
        <v>29.92</v>
      </c>
      <c r="M296" s="3" t="str">
        <f t="shared" si="40"/>
        <v>Sep</v>
      </c>
      <c r="N296" s="2">
        <v>42249.691805555558</v>
      </c>
      <c r="O296" s="1">
        <f t="shared" si="47"/>
        <v>2</v>
      </c>
      <c r="P296" s="1">
        <f t="shared" si="48"/>
        <v>4</v>
      </c>
      <c r="Q296" s="1">
        <f t="shared" si="49"/>
        <v>16</v>
      </c>
      <c r="S296"/>
      <c r="T296"/>
      <c r="U296"/>
    </row>
    <row r="297" spans="1:21" s="1" customFormat="1" x14ac:dyDescent="0.25">
      <c r="A297" s="1">
        <v>312</v>
      </c>
      <c r="B297" s="1" t="s">
        <v>96</v>
      </c>
      <c r="C297" s="1" t="s">
        <v>369</v>
      </c>
      <c r="D297" s="2">
        <v>42034.916759259257</v>
      </c>
      <c r="E297" s="2">
        <v>42034.916898148149</v>
      </c>
      <c r="F297" s="1">
        <v>1</v>
      </c>
      <c r="G297" s="1">
        <v>2</v>
      </c>
      <c r="H297" s="1">
        <v>10</v>
      </c>
      <c r="I297" s="1">
        <v>1</v>
      </c>
      <c r="J297" s="1">
        <v>1</v>
      </c>
      <c r="K297" s="1">
        <v>5</v>
      </c>
      <c r="L297" s="4">
        <v>36</v>
      </c>
      <c r="M297" s="3" t="str">
        <f t="shared" si="40"/>
        <v>Jan</v>
      </c>
      <c r="N297" s="2">
        <v>42034.91678240741</v>
      </c>
      <c r="O297" s="1">
        <f t="shared" si="47"/>
        <v>30</v>
      </c>
      <c r="P297" s="1">
        <f t="shared" si="48"/>
        <v>6</v>
      </c>
      <c r="Q297" s="1">
        <f t="shared" si="49"/>
        <v>22</v>
      </c>
      <c r="S297"/>
      <c r="T297"/>
      <c r="U297"/>
    </row>
    <row r="298" spans="1:21" s="1" customFormat="1" x14ac:dyDescent="0.25">
      <c r="A298" s="1">
        <v>313</v>
      </c>
      <c r="D298" s="2">
        <v>42161.750277777777</v>
      </c>
      <c r="E298" s="2">
        <v>42161.583657407406</v>
      </c>
      <c r="F298" s="1">
        <v>1</v>
      </c>
      <c r="G298" s="1">
        <v>0</v>
      </c>
      <c r="H298" s="1">
        <v>2</v>
      </c>
      <c r="I298" s="1">
        <v>3</v>
      </c>
      <c r="J298" s="1">
        <v>1</v>
      </c>
      <c r="K298" s="1">
        <v>1</v>
      </c>
      <c r="L298" s="3">
        <v>28.8</v>
      </c>
      <c r="M298" s="3" t="str">
        <f t="shared" si="40"/>
        <v>Jun</v>
      </c>
      <c r="N298" s="2">
        <v>42161.586759259262</v>
      </c>
      <c r="O298" s="1">
        <f t="shared" si="47"/>
        <v>6</v>
      </c>
      <c r="P298" s="1">
        <f t="shared" si="48"/>
        <v>7</v>
      </c>
      <c r="Q298" s="1">
        <f t="shared" si="49"/>
        <v>14</v>
      </c>
      <c r="S298"/>
      <c r="T298"/>
      <c r="U298"/>
    </row>
    <row r="299" spans="1:21" s="1" customFormat="1" x14ac:dyDescent="0.25">
      <c r="A299" s="1">
        <v>314</v>
      </c>
      <c r="B299" s="1" t="s">
        <v>131</v>
      </c>
      <c r="C299" s="1" t="s">
        <v>370</v>
      </c>
      <c r="D299" s="2">
        <v>42117.35738425926</v>
      </c>
      <c r="E299" s="2">
        <v>42117.715717592589</v>
      </c>
      <c r="F299" s="1">
        <v>4</v>
      </c>
      <c r="G299" s="1">
        <v>0</v>
      </c>
      <c r="H299" s="1">
        <v>4</v>
      </c>
      <c r="I299" s="1">
        <v>2</v>
      </c>
      <c r="J299" s="1">
        <v>1</v>
      </c>
      <c r="K299" s="1">
        <v>2</v>
      </c>
      <c r="L299" s="4">
        <v>14.4</v>
      </c>
      <c r="M299" s="3" t="str">
        <f t="shared" si="40"/>
        <v>Apr</v>
      </c>
      <c r="N299" s="2">
        <v>42117.357395833336</v>
      </c>
      <c r="O299" s="1">
        <f t="shared" si="47"/>
        <v>23</v>
      </c>
      <c r="P299" s="1">
        <f t="shared" si="48"/>
        <v>5</v>
      </c>
      <c r="Q299" s="1">
        <f t="shared" si="49"/>
        <v>8</v>
      </c>
      <c r="S299"/>
      <c r="T299"/>
      <c r="U299"/>
    </row>
    <row r="300" spans="1:21" s="1" customFormat="1" x14ac:dyDescent="0.25">
      <c r="A300" s="1">
        <v>315</v>
      </c>
      <c r="B300" s="1" t="s">
        <v>103</v>
      </c>
      <c r="C300" s="1" t="s">
        <v>371</v>
      </c>
      <c r="D300" s="2">
        <v>42025.539606481485</v>
      </c>
      <c r="E300" s="2">
        <v>42030.42255787037</v>
      </c>
      <c r="F300" s="1">
        <v>4</v>
      </c>
      <c r="G300" s="1">
        <v>0</v>
      </c>
      <c r="H300" s="1">
        <v>8</v>
      </c>
      <c r="I300" s="1">
        <v>4</v>
      </c>
      <c r="J300" s="1">
        <v>1</v>
      </c>
      <c r="K300" s="1">
        <v>4</v>
      </c>
      <c r="L300" s="4">
        <v>28.8</v>
      </c>
      <c r="M300" s="3" t="str">
        <f t="shared" si="40"/>
        <v>Jan</v>
      </c>
      <c r="N300" s="2">
        <v>42025.539618055554</v>
      </c>
      <c r="O300" s="1">
        <f t="shared" si="47"/>
        <v>21</v>
      </c>
      <c r="P300" s="1">
        <f t="shared" si="48"/>
        <v>4</v>
      </c>
      <c r="Q300" s="1">
        <f t="shared" si="49"/>
        <v>12</v>
      </c>
      <c r="S300"/>
      <c r="T300"/>
      <c r="U300"/>
    </row>
    <row r="301" spans="1:21" s="1" customFormat="1" x14ac:dyDescent="0.25">
      <c r="A301" s="1">
        <v>316</v>
      </c>
      <c r="B301" s="1" t="s">
        <v>123</v>
      </c>
      <c r="C301" s="1" t="s">
        <v>372</v>
      </c>
      <c r="D301" s="2">
        <v>42182.90829861111</v>
      </c>
      <c r="E301" s="2">
        <v>42182.90834490741</v>
      </c>
      <c r="F301" s="1">
        <v>1</v>
      </c>
      <c r="G301" s="1">
        <v>4</v>
      </c>
      <c r="H301" s="1">
        <v>2</v>
      </c>
      <c r="I301" s="1">
        <v>2</v>
      </c>
      <c r="J301" s="1">
        <v>1</v>
      </c>
      <c r="K301" s="1">
        <v>1</v>
      </c>
      <c r="L301" s="3">
        <v>28.8</v>
      </c>
      <c r="M301" s="3" t="str">
        <f t="shared" si="40"/>
        <v>Jun</v>
      </c>
      <c r="N301" s="2">
        <v>42182.90829861111</v>
      </c>
      <c r="O301" s="1">
        <f t="shared" si="47"/>
        <v>27</v>
      </c>
      <c r="P301" s="1">
        <f t="shared" si="48"/>
        <v>7</v>
      </c>
      <c r="Q301" s="1">
        <f t="shared" si="49"/>
        <v>21</v>
      </c>
      <c r="S301"/>
      <c r="T301"/>
      <c r="U301"/>
    </row>
    <row r="302" spans="1:21" s="1" customFormat="1" x14ac:dyDescent="0.25">
      <c r="A302" s="1">
        <v>317</v>
      </c>
      <c r="B302" s="1" t="s">
        <v>147</v>
      </c>
      <c r="C302" s="1" t="s">
        <v>373</v>
      </c>
      <c r="D302" s="2">
        <v>42067.882430555554</v>
      </c>
      <c r="E302" s="2">
        <v>42067.882488425923</v>
      </c>
      <c r="F302" s="1">
        <v>1</v>
      </c>
      <c r="G302" s="1">
        <v>0</v>
      </c>
      <c r="H302" s="1">
        <v>4</v>
      </c>
      <c r="I302" s="1">
        <v>1</v>
      </c>
      <c r="J302" s="1">
        <v>1</v>
      </c>
      <c r="K302" s="1">
        <v>4</v>
      </c>
      <c r="L302" s="4">
        <v>36</v>
      </c>
      <c r="M302" s="3" t="str">
        <f t="shared" si="40"/>
        <v>Mar</v>
      </c>
      <c r="N302" s="2">
        <v>42067.88244212963</v>
      </c>
      <c r="O302" s="1">
        <f t="shared" si="47"/>
        <v>4</v>
      </c>
      <c r="P302" s="1">
        <f t="shared" si="48"/>
        <v>4</v>
      </c>
      <c r="Q302" s="1">
        <f t="shared" si="49"/>
        <v>21</v>
      </c>
      <c r="S302"/>
      <c r="T302"/>
      <c r="U302"/>
    </row>
    <row r="303" spans="1:21" s="1" customFormat="1" x14ac:dyDescent="0.25">
      <c r="A303" s="1">
        <v>318</v>
      </c>
      <c r="B303" s="1" t="s">
        <v>354</v>
      </c>
      <c r="C303" s="1" t="s">
        <v>374</v>
      </c>
      <c r="D303" s="2">
        <v>42203.931238425925</v>
      </c>
      <c r="E303" s="2">
        <v>42203.764606481483</v>
      </c>
      <c r="F303" s="1">
        <v>1</v>
      </c>
      <c r="G303" s="1">
        <v>2</v>
      </c>
      <c r="H303" s="1">
        <v>4</v>
      </c>
      <c r="I303" s="1">
        <v>2</v>
      </c>
      <c r="J303" s="1">
        <v>1</v>
      </c>
      <c r="K303" s="1">
        <v>1</v>
      </c>
      <c r="L303" s="3">
        <v>29.92</v>
      </c>
      <c r="M303" s="3" t="str">
        <f t="shared" si="40"/>
        <v>Jul</v>
      </c>
      <c r="N303" s="2">
        <v>42203.76458333333</v>
      </c>
      <c r="O303" s="1">
        <f t="shared" si="47"/>
        <v>18</v>
      </c>
      <c r="P303" s="1">
        <f t="shared" si="48"/>
        <v>7</v>
      </c>
      <c r="Q303" s="1">
        <f t="shared" si="49"/>
        <v>18</v>
      </c>
      <c r="S303"/>
      <c r="T303"/>
      <c r="U303"/>
    </row>
    <row r="304" spans="1:21" s="1" customFormat="1" x14ac:dyDescent="0.25">
      <c r="A304" s="1">
        <v>319</v>
      </c>
      <c r="B304" s="1" t="s">
        <v>285</v>
      </c>
      <c r="C304" s="1" t="s">
        <v>375</v>
      </c>
      <c r="D304" s="2">
        <v>42110.857187499998</v>
      </c>
      <c r="E304" s="2">
        <v>42110.857222222221</v>
      </c>
      <c r="F304" s="1">
        <v>1</v>
      </c>
      <c r="G304" s="1">
        <v>0</v>
      </c>
      <c r="H304" s="1">
        <v>2</v>
      </c>
      <c r="I304" s="1">
        <v>1</v>
      </c>
      <c r="J304" s="1">
        <v>1</v>
      </c>
      <c r="K304" s="1">
        <v>3</v>
      </c>
      <c r="L304" s="4">
        <v>27</v>
      </c>
      <c r="M304" s="3" t="str">
        <f t="shared" si="40"/>
        <v>Apr</v>
      </c>
      <c r="N304" s="2">
        <v>42110.857187499998</v>
      </c>
      <c r="O304" s="1">
        <f t="shared" si="47"/>
        <v>16</v>
      </c>
      <c r="P304" s="1">
        <f t="shared" si="48"/>
        <v>5</v>
      </c>
      <c r="Q304" s="1">
        <f t="shared" si="49"/>
        <v>20</v>
      </c>
      <c r="S304"/>
      <c r="T304"/>
      <c r="U304"/>
    </row>
    <row r="305" spans="1:21" s="1" customFormat="1" x14ac:dyDescent="0.25">
      <c r="A305" s="1">
        <v>320</v>
      </c>
      <c r="B305" s="1" t="s">
        <v>96</v>
      </c>
      <c r="C305" s="1" t="s">
        <v>376</v>
      </c>
      <c r="D305" s="2">
        <v>42032.637986111113</v>
      </c>
      <c r="E305" s="2">
        <v>42032.638437499998</v>
      </c>
      <c r="F305" s="1">
        <v>1</v>
      </c>
      <c r="G305" s="1">
        <v>4</v>
      </c>
      <c r="H305" s="1">
        <v>2</v>
      </c>
      <c r="I305" s="1">
        <v>3</v>
      </c>
      <c r="J305" s="1">
        <v>1</v>
      </c>
      <c r="K305" s="1">
        <v>1</v>
      </c>
      <c r="L305" s="4">
        <v>57.6</v>
      </c>
      <c r="M305" s="3" t="str">
        <f t="shared" si="40"/>
        <v>Jan</v>
      </c>
      <c r="N305" s="2">
        <v>42032.638391203705</v>
      </c>
      <c r="O305" s="1">
        <f t="shared" si="47"/>
        <v>28</v>
      </c>
      <c r="P305" s="1">
        <f t="shared" si="48"/>
        <v>4</v>
      </c>
      <c r="Q305" s="1">
        <f t="shared" si="49"/>
        <v>15</v>
      </c>
      <c r="S305"/>
      <c r="T305"/>
      <c r="U305"/>
    </row>
    <row r="306" spans="1:21" s="1" customFormat="1" x14ac:dyDescent="0.25">
      <c r="A306" s="1">
        <v>321</v>
      </c>
      <c r="B306" s="1" t="s">
        <v>85</v>
      </c>
      <c r="C306" s="1" t="s">
        <v>377</v>
      </c>
      <c r="D306" s="2">
        <v>42185.981851851851</v>
      </c>
      <c r="E306" s="2">
        <v>42185.981898148151</v>
      </c>
      <c r="F306" s="1">
        <v>1</v>
      </c>
      <c r="G306" s="1">
        <v>4</v>
      </c>
      <c r="H306" s="1">
        <v>4</v>
      </c>
      <c r="I306" s="1">
        <v>4</v>
      </c>
      <c r="J306" s="1">
        <v>1</v>
      </c>
      <c r="K306" s="1">
        <v>2</v>
      </c>
      <c r="L306" s="3">
        <v>32.799999999999997</v>
      </c>
      <c r="M306" s="3" t="str">
        <f t="shared" si="40"/>
        <v>Jun</v>
      </c>
      <c r="N306" s="2">
        <v>42185.981863425928</v>
      </c>
      <c r="O306" s="1">
        <f t="shared" si="47"/>
        <v>30</v>
      </c>
      <c r="P306" s="1">
        <f t="shared" si="48"/>
        <v>3</v>
      </c>
      <c r="Q306" s="1">
        <f t="shared" si="49"/>
        <v>23</v>
      </c>
      <c r="S306"/>
      <c r="T306"/>
      <c r="U306"/>
    </row>
    <row r="307" spans="1:21" s="1" customFormat="1" x14ac:dyDescent="0.25">
      <c r="A307" s="1">
        <v>322</v>
      </c>
      <c r="B307" s="1" t="s">
        <v>96</v>
      </c>
      <c r="C307" s="1" t="s">
        <v>378</v>
      </c>
      <c r="D307" s="2">
        <v>42235.891226851854</v>
      </c>
      <c r="E307" s="2">
        <v>42242.343032407407</v>
      </c>
      <c r="F307" s="1">
        <v>3</v>
      </c>
      <c r="G307" s="1">
        <v>3</v>
      </c>
      <c r="H307" s="1">
        <v>3</v>
      </c>
      <c r="I307" s="1">
        <v>5</v>
      </c>
      <c r="J307" s="1">
        <v>1</v>
      </c>
      <c r="K307" s="1">
        <v>1</v>
      </c>
      <c r="L307" s="3">
        <v>26.4</v>
      </c>
      <c r="M307" s="3" t="str">
        <f t="shared" si="40"/>
        <v>Aug</v>
      </c>
      <c r="N307" s="2">
        <v>42242.345300925925</v>
      </c>
      <c r="O307" s="1">
        <f t="shared" si="47"/>
        <v>26</v>
      </c>
      <c r="P307" s="1">
        <f t="shared" si="48"/>
        <v>4</v>
      </c>
      <c r="Q307" s="1">
        <f t="shared" si="49"/>
        <v>8</v>
      </c>
      <c r="S307"/>
      <c r="T307"/>
      <c r="U307"/>
    </row>
    <row r="308" spans="1:21" s="1" customFormat="1" x14ac:dyDescent="0.25">
      <c r="A308" s="1">
        <v>323</v>
      </c>
      <c r="B308" s="1" t="s">
        <v>195</v>
      </c>
      <c r="C308" s="1" t="s">
        <v>379</v>
      </c>
      <c r="D308" s="2">
        <v>42205.615011574075</v>
      </c>
      <c r="E308" s="2">
        <v>42205.448391203703</v>
      </c>
      <c r="F308" s="1">
        <v>1</v>
      </c>
      <c r="G308" s="1">
        <v>6</v>
      </c>
      <c r="H308" s="1">
        <v>2</v>
      </c>
      <c r="I308" s="1">
        <v>2</v>
      </c>
      <c r="J308" s="1">
        <v>1</v>
      </c>
      <c r="K308" s="1">
        <v>1</v>
      </c>
      <c r="L308" s="3">
        <v>29.92</v>
      </c>
      <c r="M308" s="3" t="str">
        <f t="shared" si="40"/>
        <v>Jul</v>
      </c>
      <c r="N308" s="2">
        <v>42205.448368055557</v>
      </c>
      <c r="O308" s="1">
        <f t="shared" si="47"/>
        <v>20</v>
      </c>
      <c r="P308" s="1">
        <f t="shared" si="48"/>
        <v>2</v>
      </c>
      <c r="Q308" s="1">
        <f t="shared" si="49"/>
        <v>10</v>
      </c>
      <c r="S308"/>
      <c r="T308"/>
      <c r="U308"/>
    </row>
    <row r="309" spans="1:21" s="1" customFormat="1" x14ac:dyDescent="0.25">
      <c r="A309" s="1">
        <v>324</v>
      </c>
      <c r="B309" s="1" t="s">
        <v>212</v>
      </c>
      <c r="C309" s="1" t="s">
        <v>380</v>
      </c>
      <c r="D309" s="2">
        <v>42158.29960648148</v>
      </c>
      <c r="E309" s="2">
        <v>42158.299641203703</v>
      </c>
      <c r="F309" s="1">
        <v>1</v>
      </c>
      <c r="G309" s="1">
        <v>0</v>
      </c>
      <c r="H309" s="1">
        <v>4</v>
      </c>
      <c r="I309" s="1">
        <v>2</v>
      </c>
      <c r="J309" s="1">
        <v>1</v>
      </c>
      <c r="K309" s="1">
        <v>2</v>
      </c>
      <c r="L309" s="3">
        <v>18</v>
      </c>
      <c r="M309" s="3" t="str">
        <f t="shared" si="40"/>
        <v>Jun</v>
      </c>
      <c r="N309" s="2">
        <v>42158.299618055556</v>
      </c>
      <c r="O309" s="1">
        <f t="shared" si="47"/>
        <v>3</v>
      </c>
      <c r="P309" s="1">
        <f t="shared" si="48"/>
        <v>4</v>
      </c>
      <c r="Q309" s="1">
        <f t="shared" si="49"/>
        <v>7</v>
      </c>
      <c r="S309"/>
      <c r="T309"/>
      <c r="U309"/>
    </row>
    <row r="310" spans="1:21" s="1" customFormat="1" x14ac:dyDescent="0.25">
      <c r="A310" s="1">
        <v>325</v>
      </c>
      <c r="B310" s="1" t="s">
        <v>131</v>
      </c>
      <c r="C310" s="1" t="s">
        <v>381</v>
      </c>
      <c r="D310" s="2">
        <v>42049.463125000002</v>
      </c>
      <c r="E310" s="2">
        <v>42052.538553240738</v>
      </c>
      <c r="F310" s="1">
        <v>5</v>
      </c>
      <c r="G310" s="1">
        <v>0</v>
      </c>
      <c r="H310" s="1">
        <v>6</v>
      </c>
      <c r="I310" s="1">
        <v>3</v>
      </c>
      <c r="J310" s="1">
        <v>1</v>
      </c>
      <c r="K310" s="1">
        <v>2</v>
      </c>
      <c r="L310" s="4">
        <v>9</v>
      </c>
      <c r="M310" s="3" t="str">
        <f t="shared" si="40"/>
        <v>Feb</v>
      </c>
      <c r="N310" s="2">
        <v>42049.463136574072</v>
      </c>
      <c r="O310" s="1">
        <f t="shared" si="47"/>
        <v>14</v>
      </c>
      <c r="P310" s="1">
        <f t="shared" si="48"/>
        <v>7</v>
      </c>
      <c r="Q310" s="1">
        <f t="shared" si="49"/>
        <v>11</v>
      </c>
      <c r="S310"/>
      <c r="T310"/>
      <c r="U310"/>
    </row>
    <row r="311" spans="1:21" s="1" customFormat="1" x14ac:dyDescent="0.25">
      <c r="A311" s="1">
        <v>326</v>
      </c>
      <c r="B311" s="1" t="s">
        <v>83</v>
      </c>
      <c r="C311" s="1" t="s">
        <v>382</v>
      </c>
      <c r="D311" s="2">
        <v>42143.467731481483</v>
      </c>
      <c r="E311" s="2">
        <v>42143.467766203707</v>
      </c>
      <c r="F311" s="1">
        <v>1</v>
      </c>
      <c r="G311" s="1">
        <v>6</v>
      </c>
      <c r="H311" s="1">
        <v>7</v>
      </c>
      <c r="I311" s="1">
        <v>2</v>
      </c>
      <c r="J311" s="1">
        <v>1</v>
      </c>
      <c r="K311" s="1">
        <v>1</v>
      </c>
      <c r="L311" s="4">
        <v>28.8</v>
      </c>
      <c r="M311" s="3" t="str">
        <f t="shared" si="40"/>
        <v>May</v>
      </c>
      <c r="N311" s="2">
        <v>42143.467743055553</v>
      </c>
      <c r="O311" s="1">
        <f t="shared" si="47"/>
        <v>19</v>
      </c>
      <c r="P311" s="1">
        <f t="shared" si="48"/>
        <v>3</v>
      </c>
      <c r="Q311" s="1">
        <f t="shared" si="49"/>
        <v>11</v>
      </c>
      <c r="S311"/>
      <c r="T311"/>
      <c r="U311"/>
    </row>
    <row r="312" spans="1:21" s="1" customFormat="1" x14ac:dyDescent="0.25">
      <c r="A312" s="1">
        <v>327</v>
      </c>
      <c r="B312" s="1" t="s">
        <v>83</v>
      </c>
      <c r="C312" s="1" t="s">
        <v>383</v>
      </c>
      <c r="D312" s="2">
        <v>42066.608958333331</v>
      </c>
      <c r="E312" s="2">
        <v>42066.609016203707</v>
      </c>
      <c r="F312" s="1">
        <v>1</v>
      </c>
      <c r="G312" s="1">
        <v>0</v>
      </c>
      <c r="H312" s="1">
        <v>2</v>
      </c>
      <c r="I312" s="1">
        <v>1</v>
      </c>
      <c r="J312" s="1">
        <v>1</v>
      </c>
      <c r="K312" s="1">
        <v>1</v>
      </c>
      <c r="L312" s="4">
        <v>36</v>
      </c>
      <c r="M312" s="3" t="str">
        <f t="shared" si="40"/>
        <v>Mar</v>
      </c>
      <c r="N312" s="2">
        <v>42066.608969907407</v>
      </c>
      <c r="O312" s="1">
        <f t="shared" si="47"/>
        <v>3</v>
      </c>
      <c r="P312" s="1">
        <f t="shared" si="48"/>
        <v>3</v>
      </c>
      <c r="Q312" s="1">
        <f t="shared" si="49"/>
        <v>14</v>
      </c>
      <c r="S312"/>
      <c r="T312"/>
      <c r="U312"/>
    </row>
    <row r="313" spans="1:21" s="1" customFormat="1" x14ac:dyDescent="0.25">
      <c r="A313" s="1">
        <v>328</v>
      </c>
      <c r="B313" s="1" t="s">
        <v>123</v>
      </c>
      <c r="C313" s="1" t="s">
        <v>384</v>
      </c>
      <c r="D313" s="2">
        <v>42087.840578703705</v>
      </c>
      <c r="E313" s="2">
        <v>42087.92496527778</v>
      </c>
      <c r="F313" s="1">
        <v>3</v>
      </c>
      <c r="G313" s="1">
        <v>0</v>
      </c>
      <c r="H313" s="1">
        <v>10</v>
      </c>
      <c r="I313" s="1">
        <v>1</v>
      </c>
      <c r="J313" s="1">
        <v>1</v>
      </c>
      <c r="K313" s="1">
        <v>4</v>
      </c>
      <c r="L313" s="4">
        <v>28.8</v>
      </c>
      <c r="M313" s="3" t="str">
        <f t="shared" si="40"/>
        <v>Mar</v>
      </c>
      <c r="N313" s="2">
        <v>42087.840590277781</v>
      </c>
      <c r="O313" s="1">
        <f t="shared" si="47"/>
        <v>24</v>
      </c>
      <c r="P313" s="1">
        <f t="shared" si="48"/>
        <v>3</v>
      </c>
      <c r="Q313" s="1">
        <f t="shared" si="49"/>
        <v>20</v>
      </c>
      <c r="S313"/>
      <c r="T313"/>
      <c r="U313"/>
    </row>
    <row r="314" spans="1:21" s="1" customFormat="1" x14ac:dyDescent="0.25">
      <c r="A314" s="1">
        <v>329</v>
      </c>
      <c r="B314" s="1" t="s">
        <v>96</v>
      </c>
      <c r="C314" s="1" t="s">
        <v>385</v>
      </c>
      <c r="D314" s="2">
        <v>42149.966967592591</v>
      </c>
      <c r="E314" s="2">
        <v>42149.800324074073</v>
      </c>
      <c r="F314" s="1">
        <v>1</v>
      </c>
      <c r="G314" s="1">
        <v>4</v>
      </c>
      <c r="H314" s="1">
        <v>2</v>
      </c>
      <c r="I314" s="1">
        <v>2</v>
      </c>
      <c r="J314" s="1">
        <v>1</v>
      </c>
      <c r="K314" s="1">
        <v>1</v>
      </c>
      <c r="L314" s="3">
        <v>28.8</v>
      </c>
      <c r="M314" s="3" t="str">
        <f t="shared" si="40"/>
        <v>May</v>
      </c>
      <c r="N314" s="2">
        <v>42149.801574074074</v>
      </c>
      <c r="O314" s="1">
        <f t="shared" si="47"/>
        <v>25</v>
      </c>
      <c r="P314" s="1">
        <f t="shared" si="48"/>
        <v>2</v>
      </c>
      <c r="Q314" s="1">
        <f t="shared" si="49"/>
        <v>19</v>
      </c>
      <c r="S314"/>
      <c r="T314"/>
      <c r="U314"/>
    </row>
    <row r="315" spans="1:21" s="1" customFormat="1" x14ac:dyDescent="0.25">
      <c r="A315" s="1">
        <v>330</v>
      </c>
      <c r="B315" s="1" t="s">
        <v>85</v>
      </c>
      <c r="C315" s="1" t="s">
        <v>386</v>
      </c>
      <c r="D315" s="2">
        <v>42205.513402777775</v>
      </c>
      <c r="E315" s="2">
        <v>42205.34679398148</v>
      </c>
      <c r="F315" s="1">
        <v>1</v>
      </c>
      <c r="G315" s="1">
        <v>14</v>
      </c>
      <c r="H315" s="1">
        <v>10</v>
      </c>
      <c r="I315" s="1">
        <v>2</v>
      </c>
      <c r="J315" s="1">
        <v>1</v>
      </c>
      <c r="K315" s="1">
        <v>4</v>
      </c>
      <c r="L315" s="3">
        <v>35.200000000000003</v>
      </c>
      <c r="M315" s="3" t="str">
        <f t="shared" si="40"/>
        <v>Jul</v>
      </c>
      <c r="N315" s="2">
        <v>42205.346759259257</v>
      </c>
      <c r="O315" s="1">
        <f t="shared" si="47"/>
        <v>20</v>
      </c>
      <c r="P315" s="1">
        <f t="shared" si="48"/>
        <v>2</v>
      </c>
      <c r="Q315" s="1">
        <f t="shared" si="49"/>
        <v>8</v>
      </c>
      <c r="S315"/>
      <c r="T315"/>
      <c r="U315"/>
    </row>
    <row r="316" spans="1:21" s="1" customFormat="1" x14ac:dyDescent="0.25">
      <c r="A316" s="1">
        <v>331</v>
      </c>
      <c r="B316" s="1" t="s">
        <v>100</v>
      </c>
      <c r="C316" s="1" t="s">
        <v>387</v>
      </c>
      <c r="D316" s="2">
        <v>42246.613587962966</v>
      </c>
      <c r="E316" s="2">
        <v>42246.613634259258</v>
      </c>
      <c r="F316" s="1">
        <v>1</v>
      </c>
      <c r="G316" s="1">
        <v>2</v>
      </c>
      <c r="H316" s="1">
        <v>2</v>
      </c>
      <c r="I316" s="1">
        <v>2</v>
      </c>
      <c r="J316" s="1">
        <v>1</v>
      </c>
      <c r="K316" s="1">
        <v>1</v>
      </c>
      <c r="L316" s="3">
        <v>56.32</v>
      </c>
      <c r="M316" s="3" t="str">
        <f t="shared" si="40"/>
        <v>Aug</v>
      </c>
      <c r="N316" s="2">
        <v>42246.613587962966</v>
      </c>
      <c r="O316" s="1">
        <f t="shared" si="47"/>
        <v>30</v>
      </c>
      <c r="P316" s="1">
        <f t="shared" si="48"/>
        <v>1</v>
      </c>
      <c r="Q316" s="1">
        <f t="shared" si="49"/>
        <v>14</v>
      </c>
      <c r="S316"/>
      <c r="T316"/>
      <c r="U316"/>
    </row>
    <row r="317" spans="1:21" s="1" customFormat="1" x14ac:dyDescent="0.25">
      <c r="A317" s="1">
        <v>332</v>
      </c>
      <c r="B317" s="1" t="s">
        <v>131</v>
      </c>
      <c r="C317" s="1" t="s">
        <v>388</v>
      </c>
      <c r="D317" s="2">
        <v>42122.981493055559</v>
      </c>
      <c r="E317" s="2">
        <v>42122.981550925928</v>
      </c>
      <c r="F317" s="1">
        <v>1</v>
      </c>
      <c r="G317" s="1">
        <v>0</v>
      </c>
      <c r="H317" s="1">
        <v>4</v>
      </c>
      <c r="I317" s="1">
        <v>1</v>
      </c>
      <c r="J317" s="1">
        <v>1</v>
      </c>
      <c r="K317" s="1">
        <v>4</v>
      </c>
      <c r="L317" s="4">
        <v>36</v>
      </c>
      <c r="M317" s="3" t="str">
        <f t="shared" si="40"/>
        <v>Apr</v>
      </c>
      <c r="N317" s="2">
        <v>42122.981493055559</v>
      </c>
      <c r="O317" s="1">
        <f t="shared" si="47"/>
        <v>28</v>
      </c>
      <c r="P317" s="1">
        <f t="shared" si="48"/>
        <v>3</v>
      </c>
      <c r="Q317" s="1">
        <f t="shared" si="49"/>
        <v>23</v>
      </c>
      <c r="S317"/>
      <c r="T317"/>
      <c r="U317"/>
    </row>
    <row r="318" spans="1:21" s="1" customFormat="1" x14ac:dyDescent="0.25">
      <c r="A318" s="1">
        <v>333</v>
      </c>
      <c r="B318" s="1" t="s">
        <v>87</v>
      </c>
      <c r="C318" s="1" t="s">
        <v>389</v>
      </c>
      <c r="D318" s="2">
        <v>42158.870729166665</v>
      </c>
      <c r="E318" s="2">
        <v>42158.870775462965</v>
      </c>
      <c r="F318" s="1">
        <v>1</v>
      </c>
      <c r="G318" s="1">
        <v>6</v>
      </c>
      <c r="H318" s="1">
        <v>4</v>
      </c>
      <c r="I318" s="1">
        <v>2</v>
      </c>
      <c r="J318" s="1">
        <v>1</v>
      </c>
      <c r="K318" s="1">
        <v>2</v>
      </c>
      <c r="L318" s="3">
        <v>57.6</v>
      </c>
      <c r="M318" s="3" t="str">
        <f t="shared" si="40"/>
        <v>Jun</v>
      </c>
      <c r="N318" s="2">
        <v>42158.870740740742</v>
      </c>
      <c r="O318" s="1">
        <f t="shared" si="47"/>
        <v>3</v>
      </c>
      <c r="P318" s="1">
        <f t="shared" si="48"/>
        <v>4</v>
      </c>
      <c r="Q318" s="1">
        <f t="shared" si="49"/>
        <v>20</v>
      </c>
      <c r="S318"/>
      <c r="T318"/>
      <c r="U318"/>
    </row>
    <row r="319" spans="1:21" s="1" customFormat="1" x14ac:dyDescent="0.25">
      <c r="A319" s="1">
        <v>334</v>
      </c>
      <c r="D319" s="2">
        <v>42054.675069444442</v>
      </c>
      <c r="E319" s="2">
        <v>42054.675127314818</v>
      </c>
      <c r="F319" s="1">
        <v>1</v>
      </c>
      <c r="G319" s="1">
        <v>0</v>
      </c>
      <c r="H319" s="1">
        <v>6</v>
      </c>
      <c r="I319" s="1">
        <v>2</v>
      </c>
      <c r="J319" s="1">
        <v>1</v>
      </c>
      <c r="K319" s="1">
        <v>3</v>
      </c>
      <c r="L319" s="4">
        <v>18</v>
      </c>
      <c r="M319" s="3" t="str">
        <f t="shared" si="40"/>
        <v>Feb</v>
      </c>
      <c r="N319" s="2">
        <v>42054.675081018519</v>
      </c>
      <c r="O319" s="1">
        <f t="shared" si="47"/>
        <v>19</v>
      </c>
      <c r="P319" s="1">
        <f t="shared" si="48"/>
        <v>5</v>
      </c>
      <c r="Q319" s="1">
        <f t="shared" si="49"/>
        <v>16</v>
      </c>
      <c r="S319"/>
      <c r="T319"/>
      <c r="U319"/>
    </row>
    <row r="320" spans="1:21" s="1" customFormat="1" x14ac:dyDescent="0.25">
      <c r="A320" s="1">
        <v>335</v>
      </c>
      <c r="D320" s="2">
        <v>42061.522418981483</v>
      </c>
      <c r="E320" s="2">
        <v>42090.403807870367</v>
      </c>
      <c r="F320" s="1">
        <v>3</v>
      </c>
      <c r="G320" s="1">
        <v>3</v>
      </c>
      <c r="H320" s="1">
        <v>5</v>
      </c>
      <c r="I320" s="1">
        <v>4</v>
      </c>
      <c r="J320" s="1">
        <v>1</v>
      </c>
      <c r="K320" s="1">
        <v>1</v>
      </c>
      <c r="L320" s="4">
        <v>36</v>
      </c>
      <c r="M320" s="3" t="str">
        <f t="shared" si="40"/>
        <v>Mar</v>
      </c>
      <c r="N320" s="2">
        <v>42090.405462962961</v>
      </c>
      <c r="O320" s="1">
        <f t="shared" si="47"/>
        <v>27</v>
      </c>
      <c r="P320" s="1">
        <f t="shared" si="48"/>
        <v>6</v>
      </c>
      <c r="Q320" s="1">
        <f t="shared" si="49"/>
        <v>9</v>
      </c>
      <c r="S320"/>
      <c r="T320"/>
      <c r="U320"/>
    </row>
    <row r="321" spans="1:21" s="1" customFormat="1" x14ac:dyDescent="0.25">
      <c r="A321" s="1">
        <v>336</v>
      </c>
      <c r="B321" s="1" t="s">
        <v>96</v>
      </c>
      <c r="C321" s="1" t="s">
        <v>156</v>
      </c>
      <c r="D321" s="2">
        <v>42143.86309027778</v>
      </c>
      <c r="E321" s="2">
        <v>42143.696446759262</v>
      </c>
      <c r="F321" s="1">
        <v>1</v>
      </c>
      <c r="G321" s="1">
        <v>6</v>
      </c>
      <c r="H321" s="1">
        <v>6</v>
      </c>
      <c r="I321" s="1">
        <v>2</v>
      </c>
      <c r="J321" s="1">
        <v>1</v>
      </c>
      <c r="K321" s="1">
        <v>12</v>
      </c>
      <c r="L321" s="4">
        <v>86.4</v>
      </c>
      <c r="M321" s="3" t="str">
        <f t="shared" si="40"/>
        <v>May</v>
      </c>
      <c r="N321" s="2">
        <v>42143.703530092593</v>
      </c>
      <c r="O321" s="1">
        <f t="shared" si="47"/>
        <v>19</v>
      </c>
      <c r="P321" s="1">
        <f t="shared" si="48"/>
        <v>3</v>
      </c>
      <c r="Q321" s="1">
        <f t="shared" si="49"/>
        <v>16</v>
      </c>
      <c r="S321"/>
      <c r="T321"/>
      <c r="U321"/>
    </row>
    <row r="322" spans="1:21" s="1" customFormat="1" x14ac:dyDescent="0.25">
      <c r="A322" s="1">
        <v>337</v>
      </c>
      <c r="B322" s="1" t="s">
        <v>100</v>
      </c>
      <c r="C322" s="1" t="s">
        <v>390</v>
      </c>
      <c r="D322" s="2">
        <v>42043.731562499997</v>
      </c>
      <c r="E322" s="2">
        <v>42043.731608796297</v>
      </c>
      <c r="F322" s="1">
        <v>1</v>
      </c>
      <c r="G322" s="1">
        <v>0</v>
      </c>
      <c r="H322" s="1">
        <v>4</v>
      </c>
      <c r="I322" s="1">
        <v>3</v>
      </c>
      <c r="J322" s="1">
        <v>1</v>
      </c>
      <c r="K322" s="1">
        <v>2</v>
      </c>
      <c r="L322" s="4">
        <v>9</v>
      </c>
      <c r="M322" s="3" t="str">
        <f t="shared" si="40"/>
        <v>Feb</v>
      </c>
      <c r="N322" s="2">
        <v>42043.731574074074</v>
      </c>
      <c r="O322" s="1">
        <f t="shared" si="47"/>
        <v>8</v>
      </c>
      <c r="P322" s="1">
        <f t="shared" si="48"/>
        <v>1</v>
      </c>
      <c r="Q322" s="1">
        <f t="shared" si="49"/>
        <v>17</v>
      </c>
      <c r="S322"/>
      <c r="T322"/>
      <c r="U322"/>
    </row>
    <row r="323" spans="1:21" s="1" customFormat="1" x14ac:dyDescent="0.25">
      <c r="A323" s="1">
        <v>338</v>
      </c>
      <c r="B323" s="1" t="s">
        <v>100</v>
      </c>
      <c r="C323" s="1" t="s">
        <v>391</v>
      </c>
      <c r="D323" s="2">
        <v>42154.163402777776</v>
      </c>
      <c r="E323" s="2">
        <v>42154.163449074076</v>
      </c>
      <c r="F323" s="1">
        <v>1</v>
      </c>
      <c r="G323" s="1">
        <v>2</v>
      </c>
      <c r="H323" s="1">
        <v>2</v>
      </c>
      <c r="I323" s="1">
        <v>2</v>
      </c>
      <c r="J323" s="1">
        <v>1</v>
      </c>
      <c r="K323" s="1">
        <v>1</v>
      </c>
      <c r="L323" s="3">
        <v>28.8</v>
      </c>
      <c r="M323" s="3" t="str">
        <f t="shared" ref="M323:M386" si="50">TEXT(N323,"mmm")</f>
        <v>May</v>
      </c>
      <c r="N323" s="2">
        <v>42154.163414351853</v>
      </c>
      <c r="O323" s="1">
        <f t="shared" si="47"/>
        <v>30</v>
      </c>
      <c r="P323" s="1">
        <f t="shared" si="48"/>
        <v>7</v>
      </c>
      <c r="Q323" s="1">
        <f t="shared" si="49"/>
        <v>3</v>
      </c>
      <c r="S323"/>
      <c r="T323"/>
      <c r="U323"/>
    </row>
    <row r="324" spans="1:21" s="1" customFormat="1" x14ac:dyDescent="0.25">
      <c r="A324" s="1">
        <v>339</v>
      </c>
      <c r="D324" s="2">
        <v>42071.708275462966</v>
      </c>
      <c r="E324" s="2">
        <v>42072.805324074077</v>
      </c>
      <c r="F324" s="1">
        <v>5</v>
      </c>
      <c r="G324" s="1">
        <v>2</v>
      </c>
      <c r="H324" s="1">
        <v>3</v>
      </c>
      <c r="I324" s="1">
        <v>2</v>
      </c>
      <c r="J324" s="1">
        <v>1</v>
      </c>
      <c r="K324" s="1">
        <v>2</v>
      </c>
      <c r="L324" s="4">
        <v>64.8</v>
      </c>
      <c r="M324" s="3" t="str">
        <f t="shared" si="50"/>
        <v>Mar</v>
      </c>
      <c r="N324" s="2">
        <v>42071.71199074074</v>
      </c>
      <c r="O324" s="1">
        <f t="shared" si="47"/>
        <v>8</v>
      </c>
      <c r="P324" s="1">
        <f t="shared" si="48"/>
        <v>1</v>
      </c>
      <c r="Q324" s="1">
        <f t="shared" si="49"/>
        <v>17</v>
      </c>
      <c r="S324"/>
      <c r="T324"/>
      <c r="U324"/>
    </row>
    <row r="325" spans="1:21" s="1" customFormat="1" x14ac:dyDescent="0.25">
      <c r="A325" s="1">
        <v>340</v>
      </c>
      <c r="B325" s="1" t="s">
        <v>100</v>
      </c>
      <c r="C325" s="1" t="s">
        <v>392</v>
      </c>
      <c r="D325" s="2">
        <v>42020.617476851854</v>
      </c>
      <c r="E325" s="2">
        <v>42020.617523148147</v>
      </c>
      <c r="F325" s="1">
        <v>1</v>
      </c>
      <c r="G325" s="1">
        <v>0</v>
      </c>
      <c r="H325" s="1">
        <v>8</v>
      </c>
      <c r="I325" s="1">
        <v>2</v>
      </c>
      <c r="J325" s="1">
        <v>1</v>
      </c>
      <c r="K325" s="1">
        <v>4</v>
      </c>
      <c r="L325" s="4">
        <v>28.8</v>
      </c>
      <c r="M325" s="3" t="str">
        <f t="shared" si="50"/>
        <v>Jan</v>
      </c>
      <c r="N325" s="2">
        <v>42020.617488425924</v>
      </c>
      <c r="O325" s="1">
        <f t="shared" si="47"/>
        <v>16</v>
      </c>
      <c r="P325" s="1">
        <f t="shared" si="48"/>
        <v>6</v>
      </c>
      <c r="Q325" s="1">
        <f t="shared" si="49"/>
        <v>14</v>
      </c>
      <c r="S325"/>
      <c r="T325"/>
      <c r="U325"/>
    </row>
    <row r="326" spans="1:21" s="1" customFormat="1" x14ac:dyDescent="0.25">
      <c r="A326" s="1">
        <v>341</v>
      </c>
      <c r="B326" s="1" t="s">
        <v>109</v>
      </c>
      <c r="C326" s="1" t="s">
        <v>393</v>
      </c>
      <c r="D326" s="2">
        <v>42080.433368055557</v>
      </c>
      <c r="E326" s="2">
        <v>42080.433437500003</v>
      </c>
      <c r="F326" s="1">
        <v>1</v>
      </c>
      <c r="G326" s="1">
        <v>0</v>
      </c>
      <c r="H326" s="1">
        <v>8</v>
      </c>
      <c r="I326" s="1">
        <v>1</v>
      </c>
      <c r="J326" s="1">
        <v>1</v>
      </c>
      <c r="K326" s="1">
        <v>4</v>
      </c>
      <c r="L326" s="4">
        <v>28.8</v>
      </c>
      <c r="M326" s="3" t="str">
        <f t="shared" si="50"/>
        <v>Mar</v>
      </c>
      <c r="N326" s="2">
        <v>42080.433379629627</v>
      </c>
      <c r="O326" s="1">
        <f t="shared" si="47"/>
        <v>17</v>
      </c>
      <c r="P326" s="1">
        <f t="shared" si="48"/>
        <v>3</v>
      </c>
      <c r="Q326" s="1">
        <f t="shared" si="49"/>
        <v>10</v>
      </c>
      <c r="S326"/>
      <c r="T326"/>
      <c r="U326"/>
    </row>
    <row r="327" spans="1:21" s="1" customFormat="1" x14ac:dyDescent="0.25">
      <c r="A327" s="1">
        <v>342</v>
      </c>
      <c r="D327" s="2">
        <v>42131.829560185186</v>
      </c>
      <c r="E327" s="2">
        <v>42131.809652777774</v>
      </c>
      <c r="F327" s="1">
        <v>2</v>
      </c>
      <c r="G327" s="1">
        <v>2</v>
      </c>
      <c r="H327" s="1">
        <v>2</v>
      </c>
      <c r="I327" s="1">
        <v>5</v>
      </c>
      <c r="J327" s="1">
        <v>1</v>
      </c>
      <c r="K327" s="1">
        <v>1</v>
      </c>
      <c r="L327" s="4">
        <v>57.6</v>
      </c>
      <c r="M327" s="3" t="str">
        <f t="shared" si="50"/>
        <v>May</v>
      </c>
      <c r="N327" s="2">
        <v>42131.668483796297</v>
      </c>
      <c r="O327" s="1">
        <f t="shared" si="47"/>
        <v>7</v>
      </c>
      <c r="P327" s="1">
        <f t="shared" si="48"/>
        <v>5</v>
      </c>
      <c r="Q327" s="1">
        <f t="shared" si="49"/>
        <v>16</v>
      </c>
      <c r="S327"/>
      <c r="T327"/>
      <c r="U327"/>
    </row>
    <row r="328" spans="1:21" s="1" customFormat="1" x14ac:dyDescent="0.25">
      <c r="A328" s="1">
        <v>343</v>
      </c>
      <c r="B328" s="1" t="s">
        <v>83</v>
      </c>
      <c r="C328" s="1" t="s">
        <v>394</v>
      </c>
      <c r="D328" s="2">
        <v>42020.38795138889</v>
      </c>
      <c r="E328" s="2">
        <v>42026.513796296298</v>
      </c>
      <c r="F328" s="1">
        <v>3</v>
      </c>
      <c r="G328" s="1">
        <v>2</v>
      </c>
      <c r="H328" s="1">
        <v>2</v>
      </c>
      <c r="I328" s="1">
        <v>3</v>
      </c>
      <c r="J328" s="1">
        <v>1</v>
      </c>
      <c r="K328" s="1">
        <v>1</v>
      </c>
      <c r="L328" s="4">
        <v>28.8</v>
      </c>
      <c r="M328" s="3" t="str">
        <f t="shared" si="50"/>
        <v>Jan</v>
      </c>
      <c r="N328" s="2">
        <v>42020.387962962966</v>
      </c>
      <c r="O328" s="1">
        <f t="shared" si="47"/>
        <v>16</v>
      </c>
      <c r="P328" s="1">
        <f t="shared" si="48"/>
        <v>6</v>
      </c>
      <c r="Q328" s="1">
        <f t="shared" si="49"/>
        <v>9</v>
      </c>
      <c r="S328"/>
      <c r="T328"/>
      <c r="U328"/>
    </row>
    <row r="329" spans="1:21" s="1" customFormat="1" x14ac:dyDescent="0.25">
      <c r="A329" s="1">
        <v>344</v>
      </c>
      <c r="B329" s="1" t="s">
        <v>123</v>
      </c>
      <c r="C329" s="1" t="s">
        <v>395</v>
      </c>
      <c r="D329" s="2">
        <v>42266.467349537037</v>
      </c>
      <c r="E329" s="2">
        <v>42268.546111111114</v>
      </c>
      <c r="F329" s="1">
        <v>2</v>
      </c>
      <c r="G329" s="1">
        <v>2</v>
      </c>
      <c r="H329" s="1">
        <v>2</v>
      </c>
      <c r="I329" s="1">
        <v>3</v>
      </c>
      <c r="J329" s="1">
        <v>1</v>
      </c>
      <c r="K329" s="1">
        <v>1</v>
      </c>
      <c r="L329" s="3">
        <v>29.92</v>
      </c>
      <c r="M329" s="3" t="str">
        <f t="shared" si="50"/>
        <v>Sep</v>
      </c>
      <c r="N329" s="2">
        <v>42266.467349537037</v>
      </c>
      <c r="O329" s="1">
        <f t="shared" si="47"/>
        <v>19</v>
      </c>
      <c r="P329" s="1">
        <f t="shared" si="48"/>
        <v>7</v>
      </c>
      <c r="Q329" s="1">
        <f t="shared" si="49"/>
        <v>11</v>
      </c>
      <c r="S329"/>
      <c r="T329"/>
      <c r="U329"/>
    </row>
    <row r="330" spans="1:21" s="1" customFormat="1" x14ac:dyDescent="0.25">
      <c r="A330" s="1">
        <v>345</v>
      </c>
      <c r="B330" s="1" t="s">
        <v>96</v>
      </c>
      <c r="C330" s="1" t="s">
        <v>396</v>
      </c>
      <c r="D330" s="2">
        <v>42191.944814814815</v>
      </c>
      <c r="E330" s="2">
        <v>42191.778171296297</v>
      </c>
      <c r="F330" s="1">
        <v>1</v>
      </c>
      <c r="G330" s="1">
        <v>4</v>
      </c>
      <c r="H330" s="1">
        <v>10</v>
      </c>
      <c r="I330" s="1">
        <v>6</v>
      </c>
      <c r="J330" s="1">
        <v>1</v>
      </c>
      <c r="K330" s="1">
        <v>3</v>
      </c>
      <c r="L330" s="3">
        <v>86.4</v>
      </c>
      <c r="M330" s="3" t="str">
        <f t="shared" si="50"/>
        <v>Jul</v>
      </c>
      <c r="N330" s="2">
        <v>42191.804791666669</v>
      </c>
      <c r="O330" s="1">
        <f t="shared" si="47"/>
        <v>6</v>
      </c>
      <c r="P330" s="1">
        <f t="shared" si="48"/>
        <v>2</v>
      </c>
      <c r="Q330" s="1">
        <f t="shared" si="49"/>
        <v>19</v>
      </c>
      <c r="S330"/>
      <c r="T330"/>
      <c r="U330"/>
    </row>
    <row r="331" spans="1:21" s="1" customFormat="1" x14ac:dyDescent="0.25">
      <c r="A331" s="1">
        <v>346</v>
      </c>
      <c r="B331" s="1" t="s">
        <v>134</v>
      </c>
      <c r="C331" s="1" t="s">
        <v>397</v>
      </c>
      <c r="D331" s="2">
        <v>42145.71261574074</v>
      </c>
      <c r="E331" s="2">
        <v>42145.71266203704</v>
      </c>
      <c r="F331" s="1">
        <v>1</v>
      </c>
      <c r="G331" s="1">
        <v>6</v>
      </c>
      <c r="H331" s="1">
        <v>8</v>
      </c>
      <c r="I331" s="1">
        <v>2</v>
      </c>
      <c r="J331" s="1">
        <v>1</v>
      </c>
      <c r="K331" s="1">
        <v>4</v>
      </c>
      <c r="L331" s="4">
        <v>27.2</v>
      </c>
      <c r="M331" s="3" t="str">
        <f t="shared" si="50"/>
        <v>May</v>
      </c>
      <c r="N331" s="2">
        <v>42145.712627314817</v>
      </c>
      <c r="O331" s="1">
        <f t="shared" si="47"/>
        <v>21</v>
      </c>
      <c r="P331" s="1">
        <f t="shared" si="48"/>
        <v>5</v>
      </c>
      <c r="Q331" s="1">
        <f t="shared" si="49"/>
        <v>17</v>
      </c>
      <c r="S331"/>
      <c r="T331"/>
      <c r="U331"/>
    </row>
    <row r="332" spans="1:21" s="1" customFormat="1" x14ac:dyDescent="0.25">
      <c r="A332" s="1">
        <v>347</v>
      </c>
      <c r="B332" s="1" t="s">
        <v>234</v>
      </c>
      <c r="C332" s="1" t="s">
        <v>398</v>
      </c>
      <c r="D332" s="2">
        <v>42170.334548611114</v>
      </c>
      <c r="E332" s="2">
        <v>42170.334583333337</v>
      </c>
      <c r="F332" s="1">
        <v>1</v>
      </c>
      <c r="G332" s="1">
        <v>4</v>
      </c>
      <c r="H332" s="1">
        <v>2</v>
      </c>
      <c r="I332" s="1">
        <v>2</v>
      </c>
      <c r="J332" s="1">
        <v>1</v>
      </c>
      <c r="K332" s="1">
        <v>1</v>
      </c>
      <c r="L332" s="3">
        <v>25.6</v>
      </c>
      <c r="M332" s="3" t="str">
        <f t="shared" si="50"/>
        <v>Jun</v>
      </c>
      <c r="N332" s="2">
        <v>42170.334548611114</v>
      </c>
      <c r="O332" s="1">
        <f t="shared" si="47"/>
        <v>15</v>
      </c>
      <c r="P332" s="1">
        <f t="shared" si="48"/>
        <v>2</v>
      </c>
      <c r="Q332" s="1">
        <f t="shared" si="49"/>
        <v>8</v>
      </c>
      <c r="S332"/>
      <c r="T332"/>
      <c r="U332"/>
    </row>
    <row r="333" spans="1:21" s="1" customFormat="1" x14ac:dyDescent="0.25">
      <c r="A333" s="1">
        <v>348</v>
      </c>
      <c r="B333" s="1" t="s">
        <v>274</v>
      </c>
      <c r="C333" s="1" t="s">
        <v>399</v>
      </c>
      <c r="D333" s="2">
        <v>42048.403993055559</v>
      </c>
      <c r="E333" s="2">
        <v>42048.404039351852</v>
      </c>
      <c r="F333" s="1">
        <v>1</v>
      </c>
      <c r="G333" s="1">
        <v>0</v>
      </c>
      <c r="H333" s="1">
        <v>4</v>
      </c>
      <c r="I333" s="1">
        <v>10</v>
      </c>
      <c r="J333" s="1">
        <v>1</v>
      </c>
      <c r="K333" s="1">
        <v>2</v>
      </c>
      <c r="L333" s="4">
        <v>9</v>
      </c>
      <c r="M333" s="3" t="str">
        <f t="shared" si="50"/>
        <v>Feb</v>
      </c>
      <c r="N333" s="2">
        <v>42048.404004629629</v>
      </c>
      <c r="O333" s="1">
        <f t="shared" si="47"/>
        <v>13</v>
      </c>
      <c r="P333" s="1">
        <f t="shared" si="48"/>
        <v>6</v>
      </c>
      <c r="Q333" s="1">
        <f t="shared" si="49"/>
        <v>9</v>
      </c>
      <c r="S333"/>
      <c r="T333"/>
      <c r="U333"/>
    </row>
    <row r="334" spans="1:21" s="1" customFormat="1" x14ac:dyDescent="0.25">
      <c r="A334" s="1">
        <v>349</v>
      </c>
      <c r="B334" s="1" t="s">
        <v>400</v>
      </c>
      <c r="C334" s="1" t="s">
        <v>401</v>
      </c>
      <c r="D334" s="2">
        <v>42250.756805555553</v>
      </c>
      <c r="E334" s="2">
        <v>42250.590196759258</v>
      </c>
      <c r="F334" s="1">
        <v>1</v>
      </c>
      <c r="G334" s="1">
        <v>3</v>
      </c>
      <c r="H334" s="1">
        <v>4</v>
      </c>
      <c r="I334" s="1">
        <v>2</v>
      </c>
      <c r="J334" s="1">
        <v>1</v>
      </c>
      <c r="K334" s="1">
        <v>4</v>
      </c>
      <c r="L334" s="3">
        <v>119.68</v>
      </c>
      <c r="M334" s="3" t="str">
        <f t="shared" si="50"/>
        <v>Sep</v>
      </c>
      <c r="N334" s="2">
        <v>42250.590150462966</v>
      </c>
      <c r="O334" s="1">
        <f t="shared" si="47"/>
        <v>3</v>
      </c>
      <c r="P334" s="1">
        <f t="shared" si="48"/>
        <v>5</v>
      </c>
      <c r="Q334" s="1">
        <f t="shared" si="49"/>
        <v>14</v>
      </c>
      <c r="S334"/>
      <c r="T334"/>
      <c r="U334"/>
    </row>
    <row r="335" spans="1:21" s="1" customFormat="1" x14ac:dyDescent="0.25">
      <c r="A335" s="1">
        <v>350</v>
      </c>
      <c r="B335" s="1" t="s">
        <v>239</v>
      </c>
      <c r="C335" s="1" t="s">
        <v>240</v>
      </c>
      <c r="D335" s="2">
        <v>42059.799456018518</v>
      </c>
      <c r="E335" s="2">
        <v>42059.799513888887</v>
      </c>
      <c r="F335" s="1">
        <v>1</v>
      </c>
      <c r="G335" s="1">
        <v>0</v>
      </c>
      <c r="H335" s="1">
        <v>8</v>
      </c>
      <c r="I335" s="1">
        <v>1</v>
      </c>
      <c r="J335" s="1">
        <v>1</v>
      </c>
      <c r="K335" s="1">
        <v>4</v>
      </c>
      <c r="L335" s="4">
        <v>28.8</v>
      </c>
      <c r="M335" s="3" t="str">
        <f t="shared" si="50"/>
        <v>Feb</v>
      </c>
      <c r="N335" s="2">
        <v>42059.799467592595</v>
      </c>
      <c r="O335" s="1">
        <f t="shared" si="47"/>
        <v>24</v>
      </c>
      <c r="P335" s="1">
        <f t="shared" si="48"/>
        <v>3</v>
      </c>
      <c r="Q335" s="1">
        <f t="shared" si="49"/>
        <v>19</v>
      </c>
      <c r="S335"/>
      <c r="T335"/>
      <c r="U335"/>
    </row>
    <row r="336" spans="1:21" s="1" customFormat="1" x14ac:dyDescent="0.25">
      <c r="A336" s="1">
        <v>351</v>
      </c>
      <c r="D336" s="2">
        <v>42008.665879629632</v>
      </c>
      <c r="E336" s="2">
        <v>42008.665914351855</v>
      </c>
      <c r="F336" s="1">
        <v>1</v>
      </c>
      <c r="G336" s="1">
        <v>0</v>
      </c>
      <c r="H336" s="1">
        <v>6</v>
      </c>
      <c r="I336" s="1">
        <v>7</v>
      </c>
      <c r="J336" s="1">
        <v>1</v>
      </c>
      <c r="K336" s="1">
        <v>2</v>
      </c>
      <c r="L336" s="4">
        <v>9</v>
      </c>
      <c r="M336" s="3" t="str">
        <f t="shared" si="50"/>
        <v>Jan</v>
      </c>
      <c r="N336" s="2">
        <v>42008.667453703703</v>
      </c>
      <c r="O336" s="1">
        <f t="shared" si="47"/>
        <v>4</v>
      </c>
      <c r="P336" s="1">
        <f t="shared" si="48"/>
        <v>1</v>
      </c>
      <c r="Q336" s="1">
        <f t="shared" si="49"/>
        <v>16</v>
      </c>
      <c r="S336"/>
      <c r="T336"/>
      <c r="U336"/>
    </row>
    <row r="337" spans="1:21" s="1" customFormat="1" x14ac:dyDescent="0.25">
      <c r="A337" s="1">
        <v>352</v>
      </c>
      <c r="B337" s="1" t="s">
        <v>96</v>
      </c>
      <c r="C337" s="1" t="s">
        <v>402</v>
      </c>
      <c r="D337" s="2">
        <v>42066.663935185185</v>
      </c>
      <c r="E337" s="2">
        <v>42066.663993055554</v>
      </c>
      <c r="F337" s="1">
        <v>1</v>
      </c>
      <c r="G337" s="1">
        <v>2</v>
      </c>
      <c r="H337" s="1">
        <v>2</v>
      </c>
      <c r="I337" s="1">
        <v>1</v>
      </c>
      <c r="J337" s="1">
        <v>1</v>
      </c>
      <c r="K337" s="1">
        <v>1</v>
      </c>
      <c r="L337" s="4">
        <v>25.6</v>
      </c>
      <c r="M337" s="3" t="str">
        <f t="shared" si="50"/>
        <v>Mar</v>
      </c>
      <c r="N337" s="2">
        <v>42066.663946759261</v>
      </c>
      <c r="O337" s="1">
        <f t="shared" si="47"/>
        <v>3</v>
      </c>
      <c r="P337" s="1">
        <f t="shared" si="48"/>
        <v>3</v>
      </c>
      <c r="Q337" s="1">
        <f t="shared" si="49"/>
        <v>15</v>
      </c>
      <c r="S337"/>
      <c r="T337"/>
      <c r="U337"/>
    </row>
    <row r="338" spans="1:21" s="1" customFormat="1" x14ac:dyDescent="0.25">
      <c r="A338" s="1">
        <v>353</v>
      </c>
      <c r="B338" s="1" t="s">
        <v>147</v>
      </c>
      <c r="C338" s="1" t="s">
        <v>403</v>
      </c>
      <c r="D338" s="2">
        <v>42193.033715277779</v>
      </c>
      <c r="E338" s="2">
        <v>42192.867094907408</v>
      </c>
      <c r="F338" s="1">
        <v>1</v>
      </c>
      <c r="G338" s="1">
        <v>2</v>
      </c>
      <c r="H338" s="1">
        <v>4</v>
      </c>
      <c r="I338" s="1">
        <v>4</v>
      </c>
      <c r="J338" s="1">
        <v>1</v>
      </c>
      <c r="K338" s="1">
        <v>1</v>
      </c>
      <c r="L338" s="3">
        <v>36</v>
      </c>
      <c r="M338" s="3" t="str">
        <f t="shared" si="50"/>
        <v>Jul</v>
      </c>
      <c r="N338" s="2">
        <v>42192.867060185185</v>
      </c>
      <c r="O338" s="1">
        <f t="shared" si="47"/>
        <v>7</v>
      </c>
      <c r="P338" s="1">
        <f t="shared" si="48"/>
        <v>3</v>
      </c>
      <c r="Q338" s="1">
        <f t="shared" si="49"/>
        <v>20</v>
      </c>
      <c r="S338"/>
      <c r="T338"/>
      <c r="U338"/>
    </row>
    <row r="339" spans="1:21" s="1" customFormat="1" x14ac:dyDescent="0.25">
      <c r="A339" s="1">
        <v>354</v>
      </c>
      <c r="B339" s="1" t="s">
        <v>210</v>
      </c>
      <c r="C339" s="1" t="s">
        <v>404</v>
      </c>
      <c r="D339" s="2">
        <v>42201.676782407405</v>
      </c>
      <c r="E339" s="2">
        <v>42201.676840277774</v>
      </c>
      <c r="F339" s="1">
        <v>1</v>
      </c>
      <c r="G339" s="1">
        <v>4</v>
      </c>
      <c r="H339" s="1">
        <v>4</v>
      </c>
      <c r="I339" s="1">
        <v>2</v>
      </c>
      <c r="J339" s="1">
        <v>1</v>
      </c>
      <c r="K339" s="1">
        <v>2</v>
      </c>
      <c r="L339" s="3">
        <v>111.2</v>
      </c>
      <c r="M339" s="3" t="str">
        <f t="shared" si="50"/>
        <v>Jul</v>
      </c>
      <c r="N339" s="2">
        <v>42201.676793981482</v>
      </c>
      <c r="O339" s="1">
        <f t="shared" si="47"/>
        <v>16</v>
      </c>
      <c r="P339" s="1">
        <f t="shared" si="48"/>
        <v>5</v>
      </c>
      <c r="Q339" s="1">
        <f t="shared" si="49"/>
        <v>16</v>
      </c>
      <c r="S339"/>
      <c r="T339"/>
      <c r="U339"/>
    </row>
    <row r="340" spans="1:21" s="1" customFormat="1" x14ac:dyDescent="0.25">
      <c r="A340" s="1">
        <v>355</v>
      </c>
      <c r="B340" s="1" t="s">
        <v>210</v>
      </c>
      <c r="C340" s="1" t="s">
        <v>405</v>
      </c>
      <c r="D340" s="2">
        <v>42143.743530092594</v>
      </c>
      <c r="E340" s="2">
        <v>42143.743564814817</v>
      </c>
      <c r="F340" s="1">
        <v>1</v>
      </c>
      <c r="G340" s="1">
        <v>0</v>
      </c>
      <c r="H340" s="1">
        <v>2</v>
      </c>
      <c r="I340" s="1">
        <v>2</v>
      </c>
      <c r="J340" s="1">
        <v>1</v>
      </c>
      <c r="K340" s="1">
        <v>1</v>
      </c>
      <c r="L340" s="4">
        <v>27</v>
      </c>
      <c r="M340" s="3" t="str">
        <f t="shared" si="50"/>
        <v>May</v>
      </c>
      <c r="N340" s="2">
        <v>42143.743530092594</v>
      </c>
      <c r="O340" s="1">
        <f t="shared" si="47"/>
        <v>19</v>
      </c>
      <c r="P340" s="1">
        <f t="shared" si="48"/>
        <v>3</v>
      </c>
      <c r="Q340" s="1">
        <f t="shared" si="49"/>
        <v>17</v>
      </c>
      <c r="S340"/>
      <c r="T340"/>
      <c r="U340"/>
    </row>
    <row r="341" spans="1:21" s="1" customFormat="1" x14ac:dyDescent="0.25">
      <c r="A341" s="1">
        <v>356</v>
      </c>
      <c r="B341" s="1" t="s">
        <v>134</v>
      </c>
      <c r="C341" s="1" t="s">
        <v>406</v>
      </c>
      <c r="D341" s="2">
        <v>42232.662800925929</v>
      </c>
      <c r="E341" s="2">
        <v>42232.496192129627</v>
      </c>
      <c r="F341" s="1">
        <v>1</v>
      </c>
      <c r="G341" s="1">
        <v>0</v>
      </c>
      <c r="H341" s="1">
        <v>2</v>
      </c>
      <c r="I341" s="1">
        <v>2</v>
      </c>
      <c r="J341" s="1">
        <v>1</v>
      </c>
      <c r="K341" s="1">
        <v>1</v>
      </c>
      <c r="L341" s="3">
        <v>29.92</v>
      </c>
      <c r="M341" s="3" t="str">
        <f t="shared" si="50"/>
        <v>Aug</v>
      </c>
      <c r="N341" s="2">
        <v>42232.496145833335</v>
      </c>
      <c r="O341" s="1">
        <f t="shared" si="47"/>
        <v>16</v>
      </c>
      <c r="P341" s="1">
        <f t="shared" si="48"/>
        <v>1</v>
      </c>
      <c r="Q341" s="1">
        <f t="shared" si="49"/>
        <v>11</v>
      </c>
      <c r="S341"/>
      <c r="T341"/>
      <c r="U341"/>
    </row>
    <row r="342" spans="1:21" s="1" customFormat="1" x14ac:dyDescent="0.25">
      <c r="A342" s="1">
        <v>357</v>
      </c>
      <c r="B342" s="1" t="s">
        <v>285</v>
      </c>
      <c r="C342" s="1" t="s">
        <v>407</v>
      </c>
      <c r="D342" s="2">
        <v>42194.737638888888</v>
      </c>
      <c r="E342" s="2">
        <v>42194.73777777778</v>
      </c>
      <c r="F342" s="1">
        <v>1</v>
      </c>
      <c r="G342" s="1">
        <v>2</v>
      </c>
      <c r="H342" s="1">
        <v>8</v>
      </c>
      <c r="I342" s="1">
        <v>4</v>
      </c>
      <c r="J342" s="1">
        <v>1</v>
      </c>
      <c r="K342" s="1">
        <v>4</v>
      </c>
      <c r="L342" s="3">
        <v>28.8</v>
      </c>
      <c r="M342" s="3" t="str">
        <f t="shared" si="50"/>
        <v>Jul</v>
      </c>
      <c r="N342" s="2">
        <v>42194.737638888888</v>
      </c>
      <c r="O342" s="1">
        <f t="shared" si="47"/>
        <v>9</v>
      </c>
      <c r="P342" s="1">
        <f t="shared" si="48"/>
        <v>5</v>
      </c>
      <c r="Q342" s="1">
        <f t="shared" si="49"/>
        <v>17</v>
      </c>
      <c r="S342"/>
      <c r="T342"/>
      <c r="U342"/>
    </row>
    <row r="343" spans="1:21" s="1" customFormat="1" x14ac:dyDescent="0.25">
      <c r="A343" s="1">
        <v>358</v>
      </c>
      <c r="B343" s="1" t="s">
        <v>134</v>
      </c>
      <c r="C343" s="1" t="s">
        <v>408</v>
      </c>
      <c r="D343" s="2">
        <v>42037.431342592594</v>
      </c>
      <c r="E343" s="2">
        <v>42037.431400462963</v>
      </c>
      <c r="F343" s="1">
        <v>1</v>
      </c>
      <c r="G343" s="1">
        <v>0</v>
      </c>
      <c r="H343" s="1">
        <v>2</v>
      </c>
      <c r="I343" s="1">
        <v>2</v>
      </c>
      <c r="J343" s="1">
        <v>1</v>
      </c>
      <c r="K343" s="1">
        <v>2</v>
      </c>
      <c r="L343" s="4">
        <v>18</v>
      </c>
      <c r="M343" s="3" t="str">
        <f t="shared" si="50"/>
        <v>Feb</v>
      </c>
      <c r="N343" s="2">
        <v>42037.447800925926</v>
      </c>
      <c r="O343" s="1">
        <f t="shared" si="47"/>
        <v>2</v>
      </c>
      <c r="P343" s="1">
        <f t="shared" si="48"/>
        <v>2</v>
      </c>
      <c r="Q343" s="1">
        <f t="shared" si="49"/>
        <v>10</v>
      </c>
      <c r="S343"/>
      <c r="T343"/>
      <c r="U343"/>
    </row>
    <row r="344" spans="1:21" s="1" customFormat="1" x14ac:dyDescent="0.25">
      <c r="A344" s="1">
        <v>359</v>
      </c>
      <c r="B344" s="1" t="s">
        <v>89</v>
      </c>
      <c r="C344" s="1" t="s">
        <v>409</v>
      </c>
      <c r="D344" s="2">
        <v>42246.946435185186</v>
      </c>
      <c r="E344" s="2">
        <v>42251.558217592596</v>
      </c>
      <c r="F344" s="1">
        <v>6</v>
      </c>
      <c r="G344" s="1">
        <v>5</v>
      </c>
      <c r="H344" s="1">
        <v>2</v>
      </c>
      <c r="I344" s="1">
        <v>3</v>
      </c>
      <c r="J344" s="1">
        <v>1</v>
      </c>
      <c r="K344" s="1">
        <v>1</v>
      </c>
      <c r="L344" s="3">
        <v>29.92</v>
      </c>
      <c r="M344" s="3" t="str">
        <f t="shared" si="50"/>
        <v>Aug</v>
      </c>
      <c r="N344" s="2">
        <v>42246.779780092591</v>
      </c>
      <c r="O344" s="1">
        <f t="shared" si="47"/>
        <v>30</v>
      </c>
      <c r="P344" s="1">
        <f t="shared" si="48"/>
        <v>1</v>
      </c>
      <c r="Q344" s="1">
        <f t="shared" si="49"/>
        <v>18</v>
      </c>
      <c r="S344"/>
      <c r="T344"/>
      <c r="U344"/>
    </row>
    <row r="345" spans="1:21" s="1" customFormat="1" x14ac:dyDescent="0.25">
      <c r="A345" s="1">
        <v>360</v>
      </c>
      <c r="B345" s="1" t="s">
        <v>182</v>
      </c>
      <c r="C345" s="1" t="s">
        <v>410</v>
      </c>
      <c r="D345" s="2">
        <v>42226.032384259262</v>
      </c>
      <c r="E345" s="2">
        <v>42226.032418981478</v>
      </c>
      <c r="F345" s="1">
        <v>1</v>
      </c>
      <c r="G345" s="1">
        <v>2</v>
      </c>
      <c r="H345" s="1">
        <v>2</v>
      </c>
      <c r="I345" s="1">
        <v>3</v>
      </c>
      <c r="J345" s="1">
        <v>1</v>
      </c>
      <c r="K345" s="1">
        <v>1</v>
      </c>
      <c r="L345" s="3">
        <v>29.92</v>
      </c>
      <c r="M345" s="3" t="str">
        <f t="shared" si="50"/>
        <v>Aug</v>
      </c>
      <c r="N345" s="2">
        <v>42226.032384259262</v>
      </c>
      <c r="O345" s="1">
        <f t="shared" si="47"/>
        <v>10</v>
      </c>
      <c r="P345" s="1">
        <f t="shared" si="48"/>
        <v>2</v>
      </c>
      <c r="Q345" s="1">
        <f t="shared" si="49"/>
        <v>0</v>
      </c>
      <c r="S345"/>
      <c r="T345"/>
      <c r="U345"/>
    </row>
    <row r="346" spans="1:21" s="1" customFormat="1" x14ac:dyDescent="0.25">
      <c r="A346" s="1">
        <v>362</v>
      </c>
      <c r="B346" s="1" t="s">
        <v>212</v>
      </c>
      <c r="C346" s="1" t="s">
        <v>411</v>
      </c>
      <c r="D346" s="2">
        <v>42021.616215277776</v>
      </c>
      <c r="E346" s="2">
        <v>42021.616249999999</v>
      </c>
      <c r="F346" s="1">
        <v>1</v>
      </c>
      <c r="G346" s="1">
        <v>2</v>
      </c>
      <c r="H346" s="1">
        <v>4</v>
      </c>
      <c r="I346" s="1">
        <v>2</v>
      </c>
      <c r="J346" s="1">
        <v>1</v>
      </c>
      <c r="K346" s="1">
        <v>2</v>
      </c>
      <c r="L346" s="4">
        <v>36</v>
      </c>
      <c r="M346" s="3" t="str">
        <f t="shared" si="50"/>
        <v>Jan</v>
      </c>
      <c r="N346" s="2">
        <v>42021.616226851853</v>
      </c>
      <c r="O346" s="1">
        <f t="shared" ref="O346:O379" si="51">DAY(N346)</f>
        <v>17</v>
      </c>
      <c r="P346" s="1">
        <f t="shared" ref="P346:P379" si="52">WEEKDAY(N346,1)</f>
        <v>7</v>
      </c>
      <c r="Q346" s="1">
        <f t="shared" ref="Q346:Q379" si="53">HOUR(N346)</f>
        <v>14</v>
      </c>
      <c r="S346"/>
      <c r="T346"/>
      <c r="U346"/>
    </row>
    <row r="347" spans="1:21" s="1" customFormat="1" x14ac:dyDescent="0.25">
      <c r="A347" s="1">
        <v>363</v>
      </c>
      <c r="B347" s="1" t="s">
        <v>109</v>
      </c>
      <c r="C347" s="1" t="s">
        <v>412</v>
      </c>
      <c r="D347" s="2">
        <v>42101.46199074074</v>
      </c>
      <c r="E347" s="2">
        <v>42101.462060185186</v>
      </c>
      <c r="F347" s="1">
        <v>1</v>
      </c>
      <c r="G347" s="1">
        <v>2</v>
      </c>
      <c r="H347" s="1">
        <v>8</v>
      </c>
      <c r="I347" s="1">
        <v>1</v>
      </c>
      <c r="J347" s="1">
        <v>1</v>
      </c>
      <c r="K347" s="1">
        <v>4</v>
      </c>
      <c r="L347" s="4">
        <v>28.8</v>
      </c>
      <c r="M347" s="3" t="str">
        <f t="shared" si="50"/>
        <v>Apr</v>
      </c>
      <c r="N347" s="2">
        <v>42101.462002314816</v>
      </c>
      <c r="O347" s="1">
        <f t="shared" si="51"/>
        <v>7</v>
      </c>
      <c r="P347" s="1">
        <f t="shared" si="52"/>
        <v>3</v>
      </c>
      <c r="Q347" s="1">
        <f t="shared" si="53"/>
        <v>11</v>
      </c>
      <c r="S347"/>
      <c r="T347"/>
      <c r="U347"/>
    </row>
    <row r="348" spans="1:21" s="1" customFormat="1" x14ac:dyDescent="0.25">
      <c r="A348" s="1">
        <v>364</v>
      </c>
      <c r="B348" s="1" t="s">
        <v>131</v>
      </c>
      <c r="C348" s="1" t="s">
        <v>413</v>
      </c>
      <c r="D348" s="2">
        <v>42173.022372685184</v>
      </c>
      <c r="E348" s="2">
        <v>42173.528668981482</v>
      </c>
      <c r="F348" s="1">
        <v>2</v>
      </c>
      <c r="G348" s="1">
        <v>6</v>
      </c>
      <c r="H348" s="1">
        <v>24</v>
      </c>
      <c r="I348" s="1">
        <v>6</v>
      </c>
      <c r="J348" s="1">
        <v>1</v>
      </c>
      <c r="K348" s="1">
        <v>12</v>
      </c>
      <c r="L348" s="3">
        <v>81</v>
      </c>
      <c r="M348" s="3" t="str">
        <f t="shared" si="50"/>
        <v>Jun</v>
      </c>
      <c r="N348" s="2">
        <v>42172.858078703706</v>
      </c>
      <c r="O348" s="1">
        <f t="shared" si="51"/>
        <v>17</v>
      </c>
      <c r="P348" s="1">
        <f t="shared" si="52"/>
        <v>4</v>
      </c>
      <c r="Q348" s="1">
        <f t="shared" si="53"/>
        <v>20</v>
      </c>
      <c r="S348"/>
      <c r="T348"/>
      <c r="U348"/>
    </row>
    <row r="349" spans="1:21" s="1" customFormat="1" x14ac:dyDescent="0.25">
      <c r="A349" s="1">
        <v>365</v>
      </c>
      <c r="B349" s="1" t="s">
        <v>100</v>
      </c>
      <c r="C349" s="1" t="s">
        <v>414</v>
      </c>
      <c r="D349" s="2">
        <v>42092.112280092595</v>
      </c>
      <c r="E349" s="2">
        <v>42092.11241898148</v>
      </c>
      <c r="F349" s="1">
        <v>1</v>
      </c>
      <c r="G349" s="1">
        <v>2</v>
      </c>
      <c r="H349" s="1">
        <v>4</v>
      </c>
      <c r="I349" s="1">
        <v>1</v>
      </c>
      <c r="J349" s="1">
        <v>1</v>
      </c>
      <c r="K349" s="1">
        <v>2</v>
      </c>
      <c r="L349" s="4">
        <v>14.4</v>
      </c>
      <c r="M349" s="3" t="str">
        <f t="shared" si="50"/>
        <v>Mar</v>
      </c>
      <c r="N349" s="2">
        <v>42092.112291666665</v>
      </c>
      <c r="O349" s="1">
        <f t="shared" si="51"/>
        <v>29</v>
      </c>
      <c r="P349" s="1">
        <f t="shared" si="52"/>
        <v>1</v>
      </c>
      <c r="Q349" s="1">
        <f t="shared" si="53"/>
        <v>2</v>
      </c>
      <c r="S349"/>
      <c r="T349"/>
      <c r="U349"/>
    </row>
    <row r="350" spans="1:21" s="1" customFormat="1" x14ac:dyDescent="0.25">
      <c r="A350" s="1">
        <v>366</v>
      </c>
      <c r="B350" s="1" t="s">
        <v>76</v>
      </c>
      <c r="C350" s="1" t="s">
        <v>415</v>
      </c>
      <c r="D350" s="2">
        <v>42073.726747685185</v>
      </c>
      <c r="E350" s="2">
        <v>42192.686898148146</v>
      </c>
      <c r="F350" s="1">
        <v>6</v>
      </c>
      <c r="G350" s="1">
        <v>5</v>
      </c>
      <c r="H350" s="1">
        <v>16</v>
      </c>
      <c r="I350" s="1">
        <v>5</v>
      </c>
      <c r="J350" s="1">
        <v>1</v>
      </c>
      <c r="K350" s="1">
        <v>6</v>
      </c>
      <c r="L350" s="3">
        <v>73.8</v>
      </c>
      <c r="M350" s="3" t="str">
        <f t="shared" si="50"/>
        <v>Jul</v>
      </c>
      <c r="N350" s="2">
        <v>42192.690347222226</v>
      </c>
      <c r="O350" s="1">
        <f t="shared" si="51"/>
        <v>7</v>
      </c>
      <c r="P350" s="1">
        <f t="shared" si="52"/>
        <v>3</v>
      </c>
      <c r="Q350" s="1">
        <f t="shared" si="53"/>
        <v>16</v>
      </c>
      <c r="S350"/>
      <c r="T350"/>
      <c r="U350"/>
    </row>
    <row r="351" spans="1:21" s="1" customFormat="1" x14ac:dyDescent="0.25">
      <c r="A351" s="1">
        <v>367</v>
      </c>
      <c r="B351" s="1" t="s">
        <v>96</v>
      </c>
      <c r="C351" s="1" t="s">
        <v>416</v>
      </c>
      <c r="D351" s="2">
        <v>42065.574224537035</v>
      </c>
      <c r="E351" s="2">
        <v>42065.574363425927</v>
      </c>
      <c r="F351" s="1">
        <v>1</v>
      </c>
      <c r="G351" s="1">
        <v>0</v>
      </c>
      <c r="H351" s="1">
        <v>4</v>
      </c>
      <c r="I351" s="1">
        <v>1</v>
      </c>
      <c r="J351" s="1">
        <v>1</v>
      </c>
      <c r="K351" s="1">
        <v>2</v>
      </c>
      <c r="L351" s="4">
        <v>18</v>
      </c>
      <c r="M351" s="3" t="str">
        <f t="shared" si="50"/>
        <v>Mar</v>
      </c>
      <c r="N351" s="2">
        <v>42065.574317129627</v>
      </c>
      <c r="O351" s="1">
        <f t="shared" si="51"/>
        <v>2</v>
      </c>
      <c r="P351" s="1">
        <f t="shared" si="52"/>
        <v>2</v>
      </c>
      <c r="Q351" s="1">
        <f t="shared" si="53"/>
        <v>13</v>
      </c>
      <c r="S351"/>
      <c r="T351"/>
      <c r="U351"/>
    </row>
    <row r="352" spans="1:21" s="1" customFormat="1" x14ac:dyDescent="0.25">
      <c r="A352" s="1">
        <v>368</v>
      </c>
      <c r="D352" s="2">
        <v>42238.060162037036</v>
      </c>
      <c r="E352" s="2">
        <v>42237.893506944441</v>
      </c>
      <c r="F352" s="1">
        <v>1</v>
      </c>
      <c r="G352" s="1">
        <v>1</v>
      </c>
      <c r="H352" s="1">
        <v>2</v>
      </c>
      <c r="I352" s="1">
        <v>1</v>
      </c>
      <c r="J352" s="1">
        <v>1</v>
      </c>
      <c r="K352" s="1">
        <v>2</v>
      </c>
      <c r="L352" s="3">
        <v>11</v>
      </c>
      <c r="M352" s="3" t="str">
        <f t="shared" si="50"/>
        <v>Aug</v>
      </c>
      <c r="N352" s="2">
        <v>42237.897314814814</v>
      </c>
      <c r="O352" s="1">
        <f t="shared" si="51"/>
        <v>21</v>
      </c>
      <c r="P352" s="1">
        <f t="shared" si="52"/>
        <v>6</v>
      </c>
      <c r="Q352" s="1">
        <f t="shared" si="53"/>
        <v>21</v>
      </c>
      <c r="S352"/>
      <c r="T352"/>
      <c r="U352"/>
    </row>
    <row r="353" spans="1:21" s="1" customFormat="1" x14ac:dyDescent="0.25">
      <c r="A353" s="1">
        <v>369</v>
      </c>
      <c r="B353" s="1" t="s">
        <v>80</v>
      </c>
      <c r="C353" s="1" t="s">
        <v>417</v>
      </c>
      <c r="D353" s="2">
        <v>42243.658402777779</v>
      </c>
      <c r="E353" s="2">
        <v>42243.658414351848</v>
      </c>
      <c r="F353" s="1">
        <v>1</v>
      </c>
      <c r="G353" s="1">
        <v>6</v>
      </c>
      <c r="H353" s="1">
        <v>4</v>
      </c>
      <c r="I353" s="1">
        <v>2</v>
      </c>
      <c r="J353" s="1">
        <v>1</v>
      </c>
      <c r="K353" s="1">
        <v>2</v>
      </c>
      <c r="L353" s="3">
        <v>22</v>
      </c>
      <c r="M353" s="3" t="str">
        <f t="shared" si="50"/>
        <v>Aug</v>
      </c>
      <c r="N353" s="2">
        <v>42243.660381944443</v>
      </c>
      <c r="O353" s="1">
        <f t="shared" si="51"/>
        <v>27</v>
      </c>
      <c r="P353" s="1">
        <f t="shared" si="52"/>
        <v>5</v>
      </c>
      <c r="Q353" s="1">
        <f t="shared" si="53"/>
        <v>15</v>
      </c>
      <c r="S353"/>
      <c r="T353"/>
      <c r="U353"/>
    </row>
    <row r="354" spans="1:21" s="1" customFormat="1" x14ac:dyDescent="0.25">
      <c r="A354" s="1">
        <v>370</v>
      </c>
      <c r="D354" s="2">
        <v>42027.820185185185</v>
      </c>
      <c r="E354" s="2">
        <v>42027.820393518516</v>
      </c>
      <c r="F354" s="1">
        <v>1</v>
      </c>
      <c r="G354" s="1">
        <v>0</v>
      </c>
      <c r="H354" s="1">
        <v>4</v>
      </c>
      <c r="I354" s="1">
        <v>5</v>
      </c>
      <c r="J354" s="1">
        <v>1</v>
      </c>
      <c r="K354" s="1">
        <v>2</v>
      </c>
      <c r="L354" s="4">
        <v>9</v>
      </c>
      <c r="M354" s="3" t="str">
        <f t="shared" si="50"/>
        <v>Jan</v>
      </c>
      <c r="N354" s="2">
        <v>42027.820347222223</v>
      </c>
      <c r="O354" s="1">
        <f t="shared" si="51"/>
        <v>23</v>
      </c>
      <c r="P354" s="1">
        <f t="shared" si="52"/>
        <v>6</v>
      </c>
      <c r="Q354" s="1">
        <f t="shared" si="53"/>
        <v>19</v>
      </c>
      <c r="S354"/>
      <c r="T354"/>
      <c r="U354"/>
    </row>
    <row r="355" spans="1:21" s="1" customFormat="1" x14ac:dyDescent="0.25">
      <c r="A355" s="1">
        <v>371</v>
      </c>
      <c r="B355" s="1" t="s">
        <v>134</v>
      </c>
      <c r="C355" s="1" t="s">
        <v>418</v>
      </c>
      <c r="D355" s="2">
        <v>42048.892916666664</v>
      </c>
      <c r="E355" s="2">
        <v>42054.530729166669</v>
      </c>
      <c r="F355" s="1">
        <v>3</v>
      </c>
      <c r="G355" s="1">
        <v>0</v>
      </c>
      <c r="H355" s="1">
        <v>2</v>
      </c>
      <c r="I355" s="1">
        <v>2</v>
      </c>
      <c r="J355" s="1">
        <v>1</v>
      </c>
      <c r="K355" s="1">
        <v>1</v>
      </c>
      <c r="L355" s="4">
        <v>30.6</v>
      </c>
      <c r="M355" s="3" t="str">
        <f t="shared" si="50"/>
        <v>Feb</v>
      </c>
      <c r="N355" s="2">
        <v>42048.892928240741</v>
      </c>
      <c r="O355" s="1">
        <f t="shared" si="51"/>
        <v>13</v>
      </c>
      <c r="P355" s="1">
        <f t="shared" si="52"/>
        <v>6</v>
      </c>
      <c r="Q355" s="1">
        <f t="shared" si="53"/>
        <v>21</v>
      </c>
      <c r="S355"/>
      <c r="T355"/>
      <c r="U355"/>
    </row>
    <row r="356" spans="1:21" s="1" customFormat="1" x14ac:dyDescent="0.25">
      <c r="A356" s="1">
        <v>372</v>
      </c>
      <c r="B356" s="1" t="s">
        <v>83</v>
      </c>
      <c r="C356" s="1" t="s">
        <v>419</v>
      </c>
      <c r="D356" s="2">
        <v>42226.682152777779</v>
      </c>
      <c r="E356" s="2">
        <v>42226.682187500002</v>
      </c>
      <c r="F356" s="1">
        <v>1</v>
      </c>
      <c r="G356" s="1">
        <v>8</v>
      </c>
      <c r="H356" s="1">
        <v>2</v>
      </c>
      <c r="I356" s="1">
        <v>6</v>
      </c>
      <c r="J356" s="1">
        <v>1</v>
      </c>
      <c r="K356" s="1">
        <v>1</v>
      </c>
      <c r="L356" s="3">
        <v>29.92</v>
      </c>
      <c r="M356" s="3" t="str">
        <f t="shared" si="50"/>
        <v>Aug</v>
      </c>
      <c r="N356" s="2">
        <v>42226.682152777779</v>
      </c>
      <c r="O356" s="1">
        <f t="shared" si="51"/>
        <v>10</v>
      </c>
      <c r="P356" s="1">
        <f t="shared" si="52"/>
        <v>2</v>
      </c>
      <c r="Q356" s="1">
        <f t="shared" si="53"/>
        <v>16</v>
      </c>
      <c r="S356"/>
      <c r="T356"/>
      <c r="U356"/>
    </row>
    <row r="357" spans="1:21" s="1" customFormat="1" x14ac:dyDescent="0.25">
      <c r="A357" s="1">
        <v>373</v>
      </c>
      <c r="B357" s="1" t="s">
        <v>234</v>
      </c>
      <c r="C357" s="1" t="s">
        <v>420</v>
      </c>
      <c r="D357" s="2">
        <v>42257.974548611113</v>
      </c>
      <c r="E357" s="2">
        <v>42257.97457175926</v>
      </c>
      <c r="F357" s="1">
        <v>1</v>
      </c>
      <c r="G357" s="1">
        <v>1</v>
      </c>
      <c r="H357" s="1">
        <v>4</v>
      </c>
      <c r="I357" s="1">
        <v>6</v>
      </c>
      <c r="J357" s="1">
        <v>1</v>
      </c>
      <c r="K357" s="1">
        <v>1</v>
      </c>
      <c r="L357" s="3">
        <v>56.32</v>
      </c>
      <c r="M357" s="3" t="str">
        <f t="shared" si="50"/>
        <v>Sep</v>
      </c>
      <c r="N357" s="2">
        <v>42257.974548611113</v>
      </c>
      <c r="O357" s="1">
        <f t="shared" si="51"/>
        <v>10</v>
      </c>
      <c r="P357" s="1">
        <f t="shared" si="52"/>
        <v>5</v>
      </c>
      <c r="Q357" s="1">
        <f t="shared" si="53"/>
        <v>23</v>
      </c>
      <c r="S357"/>
      <c r="T357"/>
      <c r="U357"/>
    </row>
    <row r="358" spans="1:21" s="1" customFormat="1" x14ac:dyDescent="0.25">
      <c r="A358" s="1">
        <v>374</v>
      </c>
      <c r="B358" s="1" t="s">
        <v>109</v>
      </c>
      <c r="C358" s="1" t="s">
        <v>421</v>
      </c>
      <c r="D358" s="2">
        <v>42184.555821759262</v>
      </c>
      <c r="E358" s="2">
        <v>42184.389363425929</v>
      </c>
      <c r="F358" s="1">
        <v>1</v>
      </c>
      <c r="G358" s="1">
        <v>4</v>
      </c>
      <c r="H358" s="1">
        <v>2</v>
      </c>
      <c r="I358" s="1">
        <v>2</v>
      </c>
      <c r="J358" s="1">
        <v>1</v>
      </c>
      <c r="K358" s="1">
        <v>1</v>
      </c>
      <c r="L358" s="3">
        <v>72</v>
      </c>
      <c r="M358" s="3" t="str">
        <f t="shared" si="50"/>
        <v>Jun</v>
      </c>
      <c r="N358" s="2">
        <v>42184.389178240737</v>
      </c>
      <c r="O358" s="1">
        <f t="shared" si="51"/>
        <v>29</v>
      </c>
      <c r="P358" s="1">
        <f t="shared" si="52"/>
        <v>2</v>
      </c>
      <c r="Q358" s="1">
        <f t="shared" si="53"/>
        <v>9</v>
      </c>
      <c r="S358"/>
      <c r="T358"/>
      <c r="U358"/>
    </row>
    <row r="359" spans="1:21" s="1" customFormat="1" x14ac:dyDescent="0.25">
      <c r="A359" s="1">
        <v>375</v>
      </c>
      <c r="D359" s="2">
        <v>42191.487592592595</v>
      </c>
      <c r="E359" s="2">
        <v>42191.320937500001</v>
      </c>
      <c r="F359" s="1">
        <v>1</v>
      </c>
      <c r="G359" s="1">
        <v>2</v>
      </c>
      <c r="H359" s="1">
        <v>10</v>
      </c>
      <c r="I359" s="1">
        <v>11</v>
      </c>
      <c r="J359" s="1">
        <v>1</v>
      </c>
      <c r="K359" s="1">
        <v>2</v>
      </c>
      <c r="L359" s="3">
        <v>18</v>
      </c>
      <c r="M359" s="3" t="str">
        <f t="shared" si="50"/>
        <v>Jul</v>
      </c>
      <c r="N359" s="2">
        <v>42191.32203703704</v>
      </c>
      <c r="O359" s="1">
        <f t="shared" si="51"/>
        <v>6</v>
      </c>
      <c r="P359" s="1">
        <f t="shared" si="52"/>
        <v>2</v>
      </c>
      <c r="Q359" s="1">
        <f t="shared" si="53"/>
        <v>7</v>
      </c>
      <c r="S359"/>
      <c r="T359"/>
      <c r="U359"/>
    </row>
    <row r="360" spans="1:21" s="1" customFormat="1" x14ac:dyDescent="0.25">
      <c r="A360" s="1">
        <v>376</v>
      </c>
      <c r="B360" s="1" t="s">
        <v>91</v>
      </c>
      <c r="C360" s="1" t="s">
        <v>422</v>
      </c>
      <c r="D360" s="2">
        <v>42201.472928240742</v>
      </c>
      <c r="E360" s="2">
        <v>42201.472962962966</v>
      </c>
      <c r="F360" s="1">
        <v>1</v>
      </c>
      <c r="G360" s="1">
        <v>4</v>
      </c>
      <c r="H360" s="1">
        <v>4</v>
      </c>
      <c r="I360" s="1">
        <v>2</v>
      </c>
      <c r="J360" s="1">
        <v>1</v>
      </c>
      <c r="K360" s="1">
        <v>2</v>
      </c>
      <c r="L360" s="3">
        <v>18.399999999999999</v>
      </c>
      <c r="M360" s="3" t="str">
        <f t="shared" si="50"/>
        <v>Jul</v>
      </c>
      <c r="N360" s="2">
        <v>42201.472928240742</v>
      </c>
      <c r="O360" s="1">
        <f t="shared" si="51"/>
        <v>16</v>
      </c>
      <c r="P360" s="1">
        <f t="shared" si="52"/>
        <v>5</v>
      </c>
      <c r="Q360" s="1">
        <f t="shared" si="53"/>
        <v>11</v>
      </c>
      <c r="S360"/>
      <c r="T360"/>
      <c r="U360"/>
    </row>
    <row r="361" spans="1:21" s="1" customFormat="1" x14ac:dyDescent="0.25">
      <c r="A361" s="1">
        <v>377</v>
      </c>
      <c r="B361" s="1" t="s">
        <v>91</v>
      </c>
      <c r="C361" s="1" t="s">
        <v>423</v>
      </c>
      <c r="D361" s="2">
        <v>42033.909814814811</v>
      </c>
      <c r="E361" s="2">
        <v>42033.909884259258</v>
      </c>
      <c r="F361" s="1">
        <v>1</v>
      </c>
      <c r="G361" s="1">
        <v>2</v>
      </c>
      <c r="H361" s="1">
        <v>12</v>
      </c>
      <c r="I361" s="1">
        <v>1</v>
      </c>
      <c r="J361" s="1">
        <v>1</v>
      </c>
      <c r="K361" s="1">
        <v>12</v>
      </c>
      <c r="L361" s="4">
        <v>91.8</v>
      </c>
      <c r="M361" s="3" t="str">
        <f t="shared" si="50"/>
        <v>Jan</v>
      </c>
      <c r="N361" s="2">
        <v>42033.909837962965</v>
      </c>
      <c r="O361" s="1">
        <f t="shared" si="51"/>
        <v>29</v>
      </c>
      <c r="P361" s="1">
        <f t="shared" si="52"/>
        <v>5</v>
      </c>
      <c r="Q361" s="1">
        <f t="shared" si="53"/>
        <v>21</v>
      </c>
      <c r="S361"/>
      <c r="T361"/>
      <c r="U361"/>
    </row>
    <row r="362" spans="1:21" s="1" customFormat="1" x14ac:dyDescent="0.25">
      <c r="A362" s="1">
        <v>378</v>
      </c>
      <c r="B362" s="1" t="s">
        <v>109</v>
      </c>
      <c r="C362" s="1" t="s">
        <v>424</v>
      </c>
      <c r="D362" s="2">
        <v>42192.35260416667</v>
      </c>
      <c r="E362" s="2">
        <v>42192.352638888886</v>
      </c>
      <c r="F362" s="1">
        <v>1</v>
      </c>
      <c r="G362" s="1">
        <v>0</v>
      </c>
      <c r="H362" s="1">
        <v>2</v>
      </c>
      <c r="I362" s="1">
        <v>2</v>
      </c>
      <c r="J362" s="1">
        <v>1</v>
      </c>
      <c r="K362" s="1">
        <v>4</v>
      </c>
      <c r="L362" s="3">
        <v>28.8</v>
      </c>
      <c r="M362" s="3" t="str">
        <f t="shared" si="50"/>
        <v>Jul</v>
      </c>
      <c r="N362" s="2">
        <v>42192.35260416667</v>
      </c>
      <c r="O362" s="1">
        <f t="shared" si="51"/>
        <v>7</v>
      </c>
      <c r="P362" s="1">
        <f t="shared" si="52"/>
        <v>3</v>
      </c>
      <c r="Q362" s="1">
        <f t="shared" si="53"/>
        <v>8</v>
      </c>
      <c r="S362"/>
      <c r="T362"/>
      <c r="U362"/>
    </row>
    <row r="363" spans="1:21" s="1" customFormat="1" x14ac:dyDescent="0.25">
      <c r="A363" s="1">
        <v>379</v>
      </c>
      <c r="B363" s="1" t="s">
        <v>245</v>
      </c>
      <c r="C363" s="1" t="s">
        <v>425</v>
      </c>
      <c r="D363" s="2">
        <v>42117.42765046296</v>
      </c>
      <c r="E363" s="2">
        <v>42118.386354166665</v>
      </c>
      <c r="F363" s="1">
        <v>2</v>
      </c>
      <c r="G363" s="1">
        <v>1</v>
      </c>
      <c r="H363" s="1">
        <v>6</v>
      </c>
      <c r="I363" s="1">
        <v>1</v>
      </c>
      <c r="J363" s="1">
        <v>1</v>
      </c>
      <c r="K363" s="1">
        <v>3</v>
      </c>
      <c r="L363" s="4">
        <v>27</v>
      </c>
      <c r="M363" s="3" t="str">
        <f t="shared" si="50"/>
        <v>Apr</v>
      </c>
      <c r="N363" s="2">
        <v>42117.427662037036</v>
      </c>
      <c r="O363" s="1">
        <f t="shared" si="51"/>
        <v>23</v>
      </c>
      <c r="P363" s="1">
        <f t="shared" si="52"/>
        <v>5</v>
      </c>
      <c r="Q363" s="1">
        <f t="shared" si="53"/>
        <v>10</v>
      </c>
      <c r="S363"/>
      <c r="T363"/>
      <c r="U363"/>
    </row>
    <row r="364" spans="1:21" s="1" customFormat="1" x14ac:dyDescent="0.25">
      <c r="A364" s="1">
        <v>380</v>
      </c>
      <c r="B364" s="1" t="s">
        <v>208</v>
      </c>
      <c r="C364" s="1" t="s">
        <v>426</v>
      </c>
      <c r="D364" s="2">
        <v>42194.510393518518</v>
      </c>
      <c r="E364" s="2">
        <v>42194.3437962963</v>
      </c>
      <c r="F364" s="1">
        <v>1</v>
      </c>
      <c r="G364" s="1">
        <v>4</v>
      </c>
      <c r="H364" s="1">
        <v>6</v>
      </c>
      <c r="I364" s="1">
        <v>2</v>
      </c>
      <c r="J364" s="1">
        <v>1</v>
      </c>
      <c r="K364" s="1">
        <v>3</v>
      </c>
      <c r="L364" s="3">
        <v>105.6</v>
      </c>
      <c r="M364" s="3" t="str">
        <f t="shared" si="50"/>
        <v>Jul</v>
      </c>
      <c r="N364" s="2">
        <v>42194.343738425923</v>
      </c>
      <c r="O364" s="1">
        <f t="shared" si="51"/>
        <v>9</v>
      </c>
      <c r="P364" s="1">
        <f t="shared" si="52"/>
        <v>5</v>
      </c>
      <c r="Q364" s="1">
        <f t="shared" si="53"/>
        <v>8</v>
      </c>
      <c r="S364"/>
      <c r="T364"/>
      <c r="U364"/>
    </row>
    <row r="365" spans="1:21" s="1" customFormat="1" x14ac:dyDescent="0.25">
      <c r="A365" s="1">
        <v>381</v>
      </c>
      <c r="B365" s="1" t="s">
        <v>103</v>
      </c>
      <c r="C365" s="1" t="s">
        <v>427</v>
      </c>
      <c r="D365" s="2">
        <v>42159.556921296295</v>
      </c>
      <c r="E365" s="2">
        <v>42159.556967592594</v>
      </c>
      <c r="F365" s="1">
        <v>1</v>
      </c>
      <c r="G365" s="1">
        <v>4</v>
      </c>
      <c r="H365" s="1">
        <v>10</v>
      </c>
      <c r="I365" s="1">
        <v>2</v>
      </c>
      <c r="J365" s="1">
        <v>1</v>
      </c>
      <c r="K365" s="1">
        <v>5</v>
      </c>
      <c r="L365" s="3">
        <v>36</v>
      </c>
      <c r="M365" s="3" t="str">
        <f t="shared" si="50"/>
        <v>Jun</v>
      </c>
      <c r="N365" s="2">
        <v>42159.556921296295</v>
      </c>
      <c r="O365" s="1">
        <f t="shared" si="51"/>
        <v>4</v>
      </c>
      <c r="P365" s="1">
        <f t="shared" si="52"/>
        <v>5</v>
      </c>
      <c r="Q365" s="1">
        <f t="shared" si="53"/>
        <v>13</v>
      </c>
      <c r="S365"/>
      <c r="T365"/>
      <c r="U365"/>
    </row>
    <row r="366" spans="1:21" s="1" customFormat="1" x14ac:dyDescent="0.25">
      <c r="A366" s="1">
        <v>382</v>
      </c>
      <c r="D366" s="2">
        <v>42063.880810185183</v>
      </c>
      <c r="E366" s="2">
        <v>42063.880868055552</v>
      </c>
      <c r="F366" s="1">
        <v>1</v>
      </c>
      <c r="G366" s="1">
        <v>2</v>
      </c>
      <c r="H366" s="1">
        <v>4</v>
      </c>
      <c r="I366" s="1">
        <v>4</v>
      </c>
      <c r="J366" s="1">
        <v>1</v>
      </c>
      <c r="K366" s="1">
        <v>2</v>
      </c>
      <c r="L366" s="4">
        <v>18</v>
      </c>
      <c r="M366" s="3" t="str">
        <f t="shared" si="50"/>
        <v>Feb</v>
      </c>
      <c r="N366" s="2">
        <v>42063.884305555555</v>
      </c>
      <c r="O366" s="1">
        <f t="shared" si="51"/>
        <v>28</v>
      </c>
      <c r="P366" s="1">
        <f t="shared" si="52"/>
        <v>7</v>
      </c>
      <c r="Q366" s="1">
        <f t="shared" si="53"/>
        <v>21</v>
      </c>
      <c r="S366"/>
      <c r="T366"/>
      <c r="U366"/>
    </row>
    <row r="367" spans="1:21" s="1" customFormat="1" x14ac:dyDescent="0.25">
      <c r="A367" s="1">
        <v>383</v>
      </c>
      <c r="B367" s="1" t="s">
        <v>94</v>
      </c>
      <c r="C367" s="1" t="s">
        <v>428</v>
      </c>
      <c r="D367" s="2">
        <v>42184.601307870369</v>
      </c>
      <c r="E367" s="2">
        <v>42185.333425925928</v>
      </c>
      <c r="F367" s="1">
        <v>3</v>
      </c>
      <c r="G367" s="1">
        <v>0</v>
      </c>
      <c r="H367" s="1">
        <v>2</v>
      </c>
      <c r="I367" s="1">
        <v>3</v>
      </c>
      <c r="J367" s="1">
        <v>1</v>
      </c>
      <c r="K367" s="1">
        <v>1</v>
      </c>
      <c r="L367" s="3">
        <v>28.8</v>
      </c>
      <c r="M367" s="3" t="str">
        <f t="shared" si="50"/>
        <v>Jun</v>
      </c>
      <c r="N367" s="2">
        <v>42184.601307870369</v>
      </c>
      <c r="O367" s="1">
        <f t="shared" si="51"/>
        <v>29</v>
      </c>
      <c r="P367" s="1">
        <f t="shared" si="52"/>
        <v>2</v>
      </c>
      <c r="Q367" s="1">
        <f t="shared" si="53"/>
        <v>14</v>
      </c>
      <c r="S367"/>
      <c r="T367"/>
      <c r="U367"/>
    </row>
    <row r="368" spans="1:21" s="1" customFormat="1" x14ac:dyDescent="0.25">
      <c r="A368" s="1">
        <v>384</v>
      </c>
      <c r="B368" s="1" t="s">
        <v>91</v>
      </c>
      <c r="C368" s="1" t="s">
        <v>429</v>
      </c>
      <c r="D368" s="2">
        <v>42197.453229166669</v>
      </c>
      <c r="E368" s="2">
        <v>42197.453587962962</v>
      </c>
      <c r="F368" s="1">
        <v>1</v>
      </c>
      <c r="G368" s="1">
        <v>2</v>
      </c>
      <c r="H368" s="1">
        <v>8</v>
      </c>
      <c r="I368" s="1">
        <v>2</v>
      </c>
      <c r="J368" s="1">
        <v>1</v>
      </c>
      <c r="K368" s="1">
        <v>4</v>
      </c>
      <c r="L368" s="3">
        <v>28.8</v>
      </c>
      <c r="M368" s="3" t="str">
        <f t="shared" si="50"/>
        <v>Jul</v>
      </c>
      <c r="N368" s="2">
        <v>42197.453229166669</v>
      </c>
      <c r="O368" s="1">
        <f t="shared" si="51"/>
        <v>12</v>
      </c>
      <c r="P368" s="1">
        <f t="shared" si="52"/>
        <v>1</v>
      </c>
      <c r="Q368" s="1">
        <f t="shared" si="53"/>
        <v>10</v>
      </c>
      <c r="S368"/>
      <c r="T368"/>
      <c r="U368"/>
    </row>
    <row r="369" spans="1:21" s="1" customFormat="1" x14ac:dyDescent="0.25">
      <c r="A369" s="1">
        <v>385</v>
      </c>
      <c r="B369" s="1" t="s">
        <v>119</v>
      </c>
      <c r="C369" s="1" t="s">
        <v>430</v>
      </c>
      <c r="D369" s="2">
        <v>42047.682569444441</v>
      </c>
      <c r="E369" s="2">
        <v>42047.682604166665</v>
      </c>
      <c r="F369" s="1">
        <v>1</v>
      </c>
      <c r="G369" s="1">
        <v>2</v>
      </c>
      <c r="H369" s="1">
        <v>2</v>
      </c>
      <c r="I369" s="1">
        <v>1</v>
      </c>
      <c r="J369" s="1">
        <v>1</v>
      </c>
      <c r="K369" s="1">
        <v>1</v>
      </c>
      <c r="L369" s="4">
        <v>28.8</v>
      </c>
      <c r="M369" s="3" t="str">
        <f t="shared" si="50"/>
        <v>Feb</v>
      </c>
      <c r="N369" s="2">
        <v>42047.682581018518</v>
      </c>
      <c r="O369" s="1">
        <f t="shared" si="51"/>
        <v>12</v>
      </c>
      <c r="P369" s="1">
        <f t="shared" si="52"/>
        <v>5</v>
      </c>
      <c r="Q369" s="1">
        <f t="shared" si="53"/>
        <v>16</v>
      </c>
      <c r="S369"/>
      <c r="T369"/>
      <c r="U369"/>
    </row>
    <row r="370" spans="1:21" s="1" customFormat="1" x14ac:dyDescent="0.25">
      <c r="A370" s="1">
        <v>386</v>
      </c>
      <c r="B370" s="1" t="s">
        <v>112</v>
      </c>
      <c r="C370" s="1" t="s">
        <v>431</v>
      </c>
      <c r="D370" s="2">
        <v>42025.3434375</v>
      </c>
      <c r="E370" s="2">
        <v>42046.346238425926</v>
      </c>
      <c r="F370" s="1">
        <v>3</v>
      </c>
      <c r="G370" s="1">
        <v>0</v>
      </c>
      <c r="H370" s="1">
        <v>4</v>
      </c>
      <c r="I370" s="1">
        <v>3</v>
      </c>
      <c r="J370" s="1">
        <v>1</v>
      </c>
      <c r="K370" s="1">
        <v>4</v>
      </c>
      <c r="L370" s="4">
        <v>28.8</v>
      </c>
      <c r="M370" s="3" t="str">
        <f t="shared" si="50"/>
        <v>Jan</v>
      </c>
      <c r="N370" s="2">
        <v>42025.343449074076</v>
      </c>
      <c r="O370" s="1">
        <f t="shared" si="51"/>
        <v>21</v>
      </c>
      <c r="P370" s="1">
        <f t="shared" si="52"/>
        <v>4</v>
      </c>
      <c r="Q370" s="1">
        <f t="shared" si="53"/>
        <v>8</v>
      </c>
      <c r="S370"/>
      <c r="T370"/>
      <c r="U370"/>
    </row>
    <row r="371" spans="1:21" s="1" customFormat="1" x14ac:dyDescent="0.25">
      <c r="A371" s="1">
        <v>387</v>
      </c>
      <c r="B371" s="1" t="s">
        <v>96</v>
      </c>
      <c r="C371" s="1" t="s">
        <v>432</v>
      </c>
      <c r="D371" s="2">
        <v>42186.546157407407</v>
      </c>
      <c r="E371" s="2">
        <v>42186.546203703707</v>
      </c>
      <c r="F371" s="1">
        <v>1</v>
      </c>
      <c r="G371" s="1">
        <v>2</v>
      </c>
      <c r="H371" s="1">
        <v>4</v>
      </c>
      <c r="I371" s="1">
        <v>2</v>
      </c>
      <c r="J371" s="1">
        <v>1</v>
      </c>
      <c r="K371" s="1">
        <v>2</v>
      </c>
      <c r="L371" s="3">
        <v>57.6</v>
      </c>
      <c r="M371" s="3" t="str">
        <f t="shared" si="50"/>
        <v>Jul</v>
      </c>
      <c r="N371" s="2">
        <v>42186.546157407407</v>
      </c>
      <c r="O371" s="1">
        <f t="shared" si="51"/>
        <v>1</v>
      </c>
      <c r="P371" s="1">
        <f t="shared" si="52"/>
        <v>4</v>
      </c>
      <c r="Q371" s="1">
        <f t="shared" si="53"/>
        <v>13</v>
      </c>
      <c r="S371"/>
      <c r="T371"/>
      <c r="U371"/>
    </row>
    <row r="372" spans="1:21" s="1" customFormat="1" x14ac:dyDescent="0.25">
      <c r="A372" s="1">
        <v>388</v>
      </c>
      <c r="B372" s="1" t="s">
        <v>76</v>
      </c>
      <c r="C372" s="1" t="s">
        <v>433</v>
      </c>
      <c r="D372" s="2">
        <v>42085.775034722225</v>
      </c>
      <c r="E372" s="2">
        <v>42085.775104166663</v>
      </c>
      <c r="F372" s="1">
        <v>1</v>
      </c>
      <c r="G372" s="1">
        <v>0</v>
      </c>
      <c r="H372" s="1">
        <v>6</v>
      </c>
      <c r="I372" s="1">
        <v>1</v>
      </c>
      <c r="J372" s="1">
        <v>1</v>
      </c>
      <c r="K372" s="1">
        <v>6</v>
      </c>
      <c r="L372" s="4">
        <v>43.2</v>
      </c>
      <c r="M372" s="3" t="str">
        <f t="shared" si="50"/>
        <v>Mar</v>
      </c>
      <c r="N372" s="2">
        <v>42085.775046296294</v>
      </c>
      <c r="O372" s="1">
        <f t="shared" si="51"/>
        <v>22</v>
      </c>
      <c r="P372" s="1">
        <f t="shared" si="52"/>
        <v>1</v>
      </c>
      <c r="Q372" s="1">
        <f t="shared" si="53"/>
        <v>18</v>
      </c>
      <c r="S372"/>
      <c r="T372"/>
      <c r="U372"/>
    </row>
    <row r="373" spans="1:21" s="1" customFormat="1" x14ac:dyDescent="0.25">
      <c r="A373" s="1">
        <v>389</v>
      </c>
      <c r="B373" s="1" t="s">
        <v>85</v>
      </c>
      <c r="C373" s="1" t="s">
        <v>434</v>
      </c>
      <c r="D373" s="2">
        <v>42027.307789351849</v>
      </c>
      <c r="E373" s="2">
        <v>42027.307847222219</v>
      </c>
      <c r="F373" s="1">
        <v>1</v>
      </c>
      <c r="G373" s="1">
        <v>10</v>
      </c>
      <c r="H373" s="1">
        <v>6</v>
      </c>
      <c r="I373" s="1">
        <v>2</v>
      </c>
      <c r="J373" s="1">
        <v>1</v>
      </c>
      <c r="K373" s="1">
        <v>2</v>
      </c>
      <c r="L373" s="4">
        <v>9</v>
      </c>
      <c r="M373" s="3" t="str">
        <f t="shared" si="50"/>
        <v>Jan</v>
      </c>
      <c r="N373" s="2">
        <v>42027.307812500003</v>
      </c>
      <c r="O373" s="1">
        <f t="shared" si="51"/>
        <v>23</v>
      </c>
      <c r="P373" s="1">
        <f t="shared" si="52"/>
        <v>6</v>
      </c>
      <c r="Q373" s="1">
        <f t="shared" si="53"/>
        <v>7</v>
      </c>
      <c r="S373"/>
      <c r="T373"/>
      <c r="U373"/>
    </row>
    <row r="374" spans="1:21" s="1" customFormat="1" x14ac:dyDescent="0.25">
      <c r="A374" s="1">
        <v>390</v>
      </c>
      <c r="B374" s="1" t="s">
        <v>100</v>
      </c>
      <c r="C374" s="1" t="s">
        <v>435</v>
      </c>
      <c r="D374" s="2">
        <v>42146.443252314813</v>
      </c>
      <c r="E374" s="2">
        <v>42146.443287037036</v>
      </c>
      <c r="F374" s="1">
        <v>1</v>
      </c>
      <c r="G374" s="1">
        <v>2</v>
      </c>
      <c r="H374" s="1">
        <v>2</v>
      </c>
      <c r="I374" s="1">
        <v>2</v>
      </c>
      <c r="J374" s="1">
        <v>1</v>
      </c>
      <c r="K374" s="1">
        <v>1</v>
      </c>
      <c r="L374" s="3">
        <v>28.8</v>
      </c>
      <c r="M374" s="3" t="str">
        <f t="shared" si="50"/>
        <v>May</v>
      </c>
      <c r="N374" s="2">
        <v>42146.44326388889</v>
      </c>
      <c r="O374" s="1">
        <f t="shared" si="51"/>
        <v>22</v>
      </c>
      <c r="P374" s="1">
        <f t="shared" si="52"/>
        <v>6</v>
      </c>
      <c r="Q374" s="1">
        <f t="shared" si="53"/>
        <v>10</v>
      </c>
      <c r="S374"/>
      <c r="T374"/>
      <c r="U374"/>
    </row>
    <row r="375" spans="1:21" s="1" customFormat="1" x14ac:dyDescent="0.25">
      <c r="A375" s="1">
        <v>391</v>
      </c>
      <c r="B375" s="1" t="s">
        <v>100</v>
      </c>
      <c r="C375" s="1" t="s">
        <v>436</v>
      </c>
      <c r="D375" s="2">
        <v>42073.886886574073</v>
      </c>
      <c r="E375" s="2">
        <v>42074.039618055554</v>
      </c>
      <c r="F375" s="1">
        <v>2</v>
      </c>
      <c r="G375" s="1">
        <v>2</v>
      </c>
      <c r="H375" s="1">
        <v>8</v>
      </c>
      <c r="I375" s="1">
        <v>1</v>
      </c>
      <c r="J375" s="1">
        <v>1</v>
      </c>
      <c r="K375" s="1">
        <v>4</v>
      </c>
      <c r="L375" s="4">
        <v>28.8</v>
      </c>
      <c r="M375" s="3" t="str">
        <f t="shared" si="50"/>
        <v>Mar</v>
      </c>
      <c r="N375" s="2">
        <v>42073.88690972222</v>
      </c>
      <c r="O375" s="1">
        <f t="shared" si="51"/>
        <v>10</v>
      </c>
      <c r="P375" s="1">
        <f t="shared" si="52"/>
        <v>3</v>
      </c>
      <c r="Q375" s="1">
        <f t="shared" si="53"/>
        <v>21</v>
      </c>
      <c r="S375"/>
      <c r="T375"/>
      <c r="U375"/>
    </row>
    <row r="376" spans="1:21" s="1" customFormat="1" x14ac:dyDescent="0.25">
      <c r="A376" s="1">
        <v>392</v>
      </c>
      <c r="B376" s="1" t="s">
        <v>85</v>
      </c>
      <c r="C376" s="1" t="s">
        <v>437</v>
      </c>
      <c r="D376" s="2">
        <v>42055.753275462965</v>
      </c>
      <c r="E376" s="2">
        <v>42055.753333333334</v>
      </c>
      <c r="F376" s="1">
        <v>1</v>
      </c>
      <c r="G376" s="1">
        <v>0</v>
      </c>
      <c r="H376" s="1">
        <v>6</v>
      </c>
      <c r="I376" s="1">
        <v>1</v>
      </c>
      <c r="J376" s="1">
        <v>1</v>
      </c>
      <c r="K376" s="1">
        <v>3</v>
      </c>
      <c r="L376" s="4">
        <v>18</v>
      </c>
      <c r="M376" s="3" t="str">
        <f t="shared" si="50"/>
        <v>Feb</v>
      </c>
      <c r="N376" s="2">
        <v>42055.753287037034</v>
      </c>
      <c r="O376" s="1">
        <f t="shared" si="51"/>
        <v>20</v>
      </c>
      <c r="P376" s="1">
        <f t="shared" si="52"/>
        <v>6</v>
      </c>
      <c r="Q376" s="1">
        <f t="shared" si="53"/>
        <v>18</v>
      </c>
      <c r="S376"/>
      <c r="T376"/>
      <c r="U376"/>
    </row>
    <row r="377" spans="1:21" s="1" customFormat="1" x14ac:dyDescent="0.25">
      <c r="A377" s="1">
        <v>393</v>
      </c>
      <c r="D377" s="2">
        <v>42026.518831018519</v>
      </c>
      <c r="E377" s="2">
        <v>42026.518900462965</v>
      </c>
      <c r="F377" s="1">
        <v>1</v>
      </c>
      <c r="G377" s="1">
        <v>0</v>
      </c>
      <c r="H377" s="1">
        <v>6</v>
      </c>
      <c r="I377" s="1">
        <v>12</v>
      </c>
      <c r="J377" s="1">
        <v>1</v>
      </c>
      <c r="K377" s="1">
        <v>2</v>
      </c>
      <c r="L377" s="4">
        <v>9</v>
      </c>
      <c r="M377" s="3" t="str">
        <f t="shared" si="50"/>
        <v>Jan</v>
      </c>
      <c r="N377" s="2">
        <v>42026.520520833335</v>
      </c>
      <c r="O377" s="1">
        <f t="shared" si="51"/>
        <v>22</v>
      </c>
      <c r="P377" s="1">
        <f t="shared" si="52"/>
        <v>5</v>
      </c>
      <c r="Q377" s="1">
        <f t="shared" si="53"/>
        <v>12</v>
      </c>
      <c r="S377"/>
      <c r="T377"/>
      <c r="U377"/>
    </row>
    <row r="378" spans="1:21" s="1" customFormat="1" x14ac:dyDescent="0.25">
      <c r="A378" s="1">
        <v>394</v>
      </c>
      <c r="B378" s="1" t="s">
        <v>239</v>
      </c>
      <c r="C378" s="1" t="s">
        <v>438</v>
      </c>
      <c r="D378" s="2">
        <v>42060.773148148146</v>
      </c>
      <c r="E378" s="2">
        <v>42060.773217592592</v>
      </c>
      <c r="F378" s="1">
        <v>1</v>
      </c>
      <c r="G378" s="1">
        <v>0</v>
      </c>
      <c r="H378" s="1">
        <v>2</v>
      </c>
      <c r="I378" s="1">
        <v>1</v>
      </c>
      <c r="J378" s="1">
        <v>1</v>
      </c>
      <c r="K378" s="1">
        <v>4</v>
      </c>
      <c r="L378" s="4">
        <v>28.8</v>
      </c>
      <c r="M378" s="3" t="str">
        <f t="shared" si="50"/>
        <v>Feb</v>
      </c>
      <c r="N378" s="2">
        <v>42060.773159722223</v>
      </c>
      <c r="O378" s="1">
        <f t="shared" si="51"/>
        <v>25</v>
      </c>
      <c r="P378" s="1">
        <f t="shared" si="52"/>
        <v>4</v>
      </c>
      <c r="Q378" s="1">
        <f t="shared" si="53"/>
        <v>18</v>
      </c>
      <c r="S378"/>
      <c r="T378"/>
      <c r="U378"/>
    </row>
    <row r="379" spans="1:21" s="1" customFormat="1" x14ac:dyDescent="0.25">
      <c r="A379" s="1">
        <v>395</v>
      </c>
      <c r="B379" s="1" t="s">
        <v>89</v>
      </c>
      <c r="C379" s="1" t="s">
        <v>439</v>
      </c>
      <c r="D379" s="2">
        <v>42228.951168981483</v>
      </c>
      <c r="E379" s="2">
        <v>42228.784548611111</v>
      </c>
      <c r="F379" s="1">
        <v>1</v>
      </c>
      <c r="G379" s="1">
        <v>8</v>
      </c>
      <c r="H379" s="1">
        <v>6</v>
      </c>
      <c r="I379" s="1">
        <v>4</v>
      </c>
      <c r="J379" s="1">
        <v>1</v>
      </c>
      <c r="K379" s="1">
        <v>3</v>
      </c>
      <c r="L379" s="3">
        <v>52</v>
      </c>
      <c r="M379" s="3" t="str">
        <f t="shared" si="50"/>
        <v>Aug</v>
      </c>
      <c r="N379" s="2">
        <v>42228.784502314818</v>
      </c>
      <c r="O379" s="1">
        <f t="shared" si="51"/>
        <v>12</v>
      </c>
      <c r="P379" s="1">
        <f t="shared" si="52"/>
        <v>4</v>
      </c>
      <c r="Q379" s="1">
        <f t="shared" si="53"/>
        <v>18</v>
      </c>
      <c r="S379"/>
      <c r="T379"/>
      <c r="U379"/>
    </row>
    <row r="380" spans="1:21" s="1" customFormat="1" x14ac:dyDescent="0.25">
      <c r="A380" s="1">
        <v>397</v>
      </c>
      <c r="B380" s="1" t="s">
        <v>253</v>
      </c>
      <c r="C380" s="1" t="s">
        <v>440</v>
      </c>
      <c r="D380" s="2">
        <v>42037.99726851852</v>
      </c>
      <c r="E380" s="2">
        <v>42037.997337962966</v>
      </c>
      <c r="F380" s="1">
        <v>1</v>
      </c>
      <c r="G380" s="1">
        <v>0</v>
      </c>
      <c r="H380" s="1">
        <v>4</v>
      </c>
      <c r="I380" s="1">
        <v>1</v>
      </c>
      <c r="J380" s="1">
        <v>1</v>
      </c>
      <c r="K380" s="1">
        <v>2</v>
      </c>
      <c r="L380" s="4">
        <v>9</v>
      </c>
      <c r="M380" s="3" t="str">
        <f t="shared" si="50"/>
        <v>Feb</v>
      </c>
      <c r="N380" s="2">
        <v>42037.997291666667</v>
      </c>
      <c r="O380" s="1">
        <f t="shared" ref="O380:O425" si="54">DAY(N380)</f>
        <v>2</v>
      </c>
      <c r="P380" s="1">
        <f t="shared" ref="P380:P425" si="55">WEEKDAY(N380,1)</f>
        <v>2</v>
      </c>
      <c r="Q380" s="1">
        <f t="shared" ref="Q380:Q425" si="56">HOUR(N380)</f>
        <v>23</v>
      </c>
      <c r="S380"/>
      <c r="T380"/>
      <c r="U380"/>
    </row>
    <row r="381" spans="1:21" s="1" customFormat="1" x14ac:dyDescent="0.25">
      <c r="A381" s="1">
        <v>398</v>
      </c>
      <c r="B381" s="1" t="s">
        <v>441</v>
      </c>
      <c r="C381" s="1" t="s">
        <v>442</v>
      </c>
      <c r="D381" s="2">
        <v>42164.254120370373</v>
      </c>
      <c r="E381" s="2">
        <v>42164.087511574071</v>
      </c>
      <c r="F381" s="1">
        <v>1</v>
      </c>
      <c r="G381" s="1">
        <v>2</v>
      </c>
      <c r="H381" s="1">
        <v>2</v>
      </c>
      <c r="I381" s="1">
        <v>2</v>
      </c>
      <c r="J381" s="1">
        <v>1</v>
      </c>
      <c r="K381" s="1">
        <v>4</v>
      </c>
      <c r="L381" s="3">
        <v>28.8</v>
      </c>
      <c r="M381" s="3" t="str">
        <f t="shared" si="50"/>
        <v>Jun</v>
      </c>
      <c r="N381" s="2">
        <v>42164.087476851855</v>
      </c>
      <c r="O381" s="1">
        <f t="shared" si="54"/>
        <v>9</v>
      </c>
      <c r="P381" s="1">
        <f t="shared" si="55"/>
        <v>3</v>
      </c>
      <c r="Q381" s="1">
        <f t="shared" si="56"/>
        <v>2</v>
      </c>
      <c r="S381"/>
      <c r="T381"/>
      <c r="U381"/>
    </row>
    <row r="382" spans="1:21" s="1" customFormat="1" x14ac:dyDescent="0.25">
      <c r="A382" s="1">
        <v>399</v>
      </c>
      <c r="D382" s="2">
        <v>42222.727962962963</v>
      </c>
      <c r="E382" s="2">
        <v>42236.956064814818</v>
      </c>
      <c r="F382" s="1">
        <v>2</v>
      </c>
      <c r="G382" s="1">
        <v>4</v>
      </c>
      <c r="H382" s="1">
        <v>4</v>
      </c>
      <c r="I382" s="1">
        <v>4</v>
      </c>
      <c r="J382" s="1">
        <v>1</v>
      </c>
      <c r="K382" s="1">
        <v>1</v>
      </c>
      <c r="L382" s="3">
        <v>28.05</v>
      </c>
      <c r="M382" s="3" t="str">
        <f t="shared" si="50"/>
        <v>Aug</v>
      </c>
      <c r="N382" s="2">
        <v>42236.957511574074</v>
      </c>
      <c r="O382" s="1">
        <f t="shared" si="54"/>
        <v>20</v>
      </c>
      <c r="P382" s="1">
        <f t="shared" si="55"/>
        <v>5</v>
      </c>
      <c r="Q382" s="1">
        <f t="shared" si="56"/>
        <v>22</v>
      </c>
      <c r="S382"/>
      <c r="T382"/>
      <c r="U382"/>
    </row>
    <row r="383" spans="1:21" s="1" customFormat="1" x14ac:dyDescent="0.25">
      <c r="A383" s="1">
        <v>400</v>
      </c>
      <c r="D383" s="2">
        <v>42050.116689814815</v>
      </c>
      <c r="E383" s="2">
        <v>42053.767881944441</v>
      </c>
      <c r="F383" s="1">
        <v>4</v>
      </c>
      <c r="G383" s="1">
        <v>4</v>
      </c>
      <c r="H383" s="1">
        <v>2</v>
      </c>
      <c r="I383" s="1">
        <v>3</v>
      </c>
      <c r="J383" s="1">
        <v>1</v>
      </c>
      <c r="K383" s="1">
        <v>1</v>
      </c>
      <c r="L383" s="4">
        <v>57.6</v>
      </c>
      <c r="M383" s="3" t="str">
        <f t="shared" si="50"/>
        <v>Feb</v>
      </c>
      <c r="N383" s="2">
        <v>42050.116701388892</v>
      </c>
      <c r="O383" s="1">
        <f t="shared" si="54"/>
        <v>15</v>
      </c>
      <c r="P383" s="1">
        <f t="shared" si="55"/>
        <v>1</v>
      </c>
      <c r="Q383" s="1">
        <f t="shared" si="56"/>
        <v>2</v>
      </c>
      <c r="S383"/>
      <c r="T383"/>
      <c r="U383"/>
    </row>
    <row r="384" spans="1:21" s="1" customFormat="1" x14ac:dyDescent="0.25">
      <c r="A384" s="1">
        <v>401</v>
      </c>
      <c r="B384" s="1" t="s">
        <v>76</v>
      </c>
      <c r="C384" s="1" t="s">
        <v>443</v>
      </c>
      <c r="D384" s="2">
        <v>42112.968391203707</v>
      </c>
      <c r="E384" s="2">
        <v>42112.968460648146</v>
      </c>
      <c r="F384" s="1">
        <v>1</v>
      </c>
      <c r="G384" s="1">
        <v>0</v>
      </c>
      <c r="H384" s="1">
        <v>10</v>
      </c>
      <c r="I384" s="1">
        <v>2</v>
      </c>
      <c r="J384" s="1">
        <v>1</v>
      </c>
      <c r="K384" s="1">
        <v>6</v>
      </c>
      <c r="L384" s="4">
        <v>54</v>
      </c>
      <c r="M384" s="3" t="str">
        <f t="shared" si="50"/>
        <v>Apr</v>
      </c>
      <c r="N384" s="2">
        <v>42112.968414351853</v>
      </c>
      <c r="O384" s="1">
        <f t="shared" si="54"/>
        <v>18</v>
      </c>
      <c r="P384" s="1">
        <f t="shared" si="55"/>
        <v>7</v>
      </c>
      <c r="Q384" s="1">
        <f t="shared" si="56"/>
        <v>23</v>
      </c>
      <c r="S384"/>
      <c r="T384"/>
      <c r="U384"/>
    </row>
    <row r="385" spans="1:21" s="1" customFormat="1" x14ac:dyDescent="0.25">
      <c r="A385" s="1">
        <v>402</v>
      </c>
      <c r="B385" s="1" t="s">
        <v>147</v>
      </c>
      <c r="C385" s="1" t="s">
        <v>444</v>
      </c>
      <c r="D385" s="2">
        <v>42079.379120370373</v>
      </c>
      <c r="E385" s="2">
        <v>42079.379212962966</v>
      </c>
      <c r="F385" s="1">
        <v>1</v>
      </c>
      <c r="G385" s="1">
        <v>2</v>
      </c>
      <c r="H385" s="1">
        <v>2</v>
      </c>
      <c r="I385" s="1">
        <v>1</v>
      </c>
      <c r="J385" s="1">
        <v>1</v>
      </c>
      <c r="K385" s="1">
        <v>1</v>
      </c>
      <c r="L385" s="4">
        <v>28.8</v>
      </c>
      <c r="M385" s="3" t="str">
        <f t="shared" si="50"/>
        <v>Mar</v>
      </c>
      <c r="N385" s="2">
        <v>42079.379131944443</v>
      </c>
      <c r="O385" s="1">
        <f t="shared" si="54"/>
        <v>16</v>
      </c>
      <c r="P385" s="1">
        <f t="shared" si="55"/>
        <v>2</v>
      </c>
      <c r="Q385" s="1">
        <f t="shared" si="56"/>
        <v>9</v>
      </c>
      <c r="S385"/>
      <c r="T385"/>
      <c r="U385"/>
    </row>
    <row r="386" spans="1:21" s="1" customFormat="1" x14ac:dyDescent="0.25">
      <c r="A386" s="1">
        <v>403</v>
      </c>
      <c r="B386" s="1" t="s">
        <v>147</v>
      </c>
      <c r="C386" s="1" t="s">
        <v>445</v>
      </c>
      <c r="D386" s="2">
        <v>42167.627303240741</v>
      </c>
      <c r="E386" s="2">
        <v>42167.62736111111</v>
      </c>
      <c r="F386" s="1">
        <v>1</v>
      </c>
      <c r="G386" s="1">
        <v>10</v>
      </c>
      <c r="H386" s="1">
        <v>16</v>
      </c>
      <c r="I386" s="1">
        <v>2</v>
      </c>
      <c r="J386" s="1">
        <v>1</v>
      </c>
      <c r="K386" s="1">
        <v>7</v>
      </c>
      <c r="L386" s="3">
        <v>72</v>
      </c>
      <c r="M386" s="3" t="str">
        <f t="shared" si="50"/>
        <v>Jun</v>
      </c>
      <c r="N386" s="2">
        <v>42167.627314814818</v>
      </c>
      <c r="O386" s="1">
        <f t="shared" si="54"/>
        <v>12</v>
      </c>
      <c r="P386" s="1">
        <f t="shared" si="55"/>
        <v>6</v>
      </c>
      <c r="Q386" s="1">
        <f t="shared" si="56"/>
        <v>15</v>
      </c>
      <c r="S386"/>
      <c r="T386"/>
      <c r="U386"/>
    </row>
    <row r="387" spans="1:21" s="1" customFormat="1" x14ac:dyDescent="0.25">
      <c r="A387" s="1">
        <v>404</v>
      </c>
      <c r="B387" s="1" t="s">
        <v>96</v>
      </c>
      <c r="C387" s="1" t="s">
        <v>446</v>
      </c>
      <c r="D387" s="2">
        <v>42080.044548611113</v>
      </c>
      <c r="E387" s="2">
        <v>42080.044618055559</v>
      </c>
      <c r="F387" s="1">
        <v>1</v>
      </c>
      <c r="G387" s="1">
        <v>2</v>
      </c>
      <c r="H387" s="1">
        <v>8</v>
      </c>
      <c r="I387" s="1">
        <v>1</v>
      </c>
      <c r="J387" s="1">
        <v>1</v>
      </c>
      <c r="K387" s="1">
        <v>4</v>
      </c>
      <c r="L387" s="4">
        <v>28.8</v>
      </c>
      <c r="M387" s="3" t="str">
        <f t="shared" ref="M387:M450" si="57">TEXT(N387,"mmm")</f>
        <v>Mar</v>
      </c>
      <c r="N387" s="2">
        <v>42080.044560185182</v>
      </c>
      <c r="O387" s="1">
        <f t="shared" si="54"/>
        <v>17</v>
      </c>
      <c r="P387" s="1">
        <f t="shared" si="55"/>
        <v>3</v>
      </c>
      <c r="Q387" s="1">
        <f t="shared" si="56"/>
        <v>1</v>
      </c>
      <c r="S387"/>
      <c r="T387"/>
      <c r="U387"/>
    </row>
    <row r="388" spans="1:21" s="1" customFormat="1" x14ac:dyDescent="0.25">
      <c r="A388" s="1">
        <v>405</v>
      </c>
      <c r="B388" s="1" t="s">
        <v>80</v>
      </c>
      <c r="C388" s="1" t="s">
        <v>447</v>
      </c>
      <c r="D388" s="2">
        <v>42142.927812499998</v>
      </c>
      <c r="E388" s="2">
        <v>42142.927847222221</v>
      </c>
      <c r="F388" s="1">
        <v>1</v>
      </c>
      <c r="G388" s="1">
        <v>0</v>
      </c>
      <c r="H388" s="1">
        <v>6</v>
      </c>
      <c r="I388" s="1">
        <v>2</v>
      </c>
      <c r="J388" s="1">
        <v>1</v>
      </c>
      <c r="K388" s="1">
        <v>3</v>
      </c>
      <c r="L388" s="4">
        <v>21.6</v>
      </c>
      <c r="M388" s="3" t="str">
        <f t="shared" si="57"/>
        <v>May</v>
      </c>
      <c r="N388" s="2">
        <v>42142.927824074075</v>
      </c>
      <c r="O388" s="1">
        <f t="shared" si="54"/>
        <v>18</v>
      </c>
      <c r="P388" s="1">
        <f t="shared" si="55"/>
        <v>2</v>
      </c>
      <c r="Q388" s="1">
        <f t="shared" si="56"/>
        <v>22</v>
      </c>
      <c r="S388"/>
      <c r="T388"/>
      <c r="U388"/>
    </row>
    <row r="389" spans="1:21" s="1" customFormat="1" x14ac:dyDescent="0.25">
      <c r="A389" s="1">
        <v>406</v>
      </c>
      <c r="B389" s="1" t="s">
        <v>210</v>
      </c>
      <c r="C389" s="1" t="s">
        <v>448</v>
      </c>
      <c r="D389" s="2">
        <v>42142.495763888888</v>
      </c>
      <c r="E389" s="2">
        <v>42143.401365740741</v>
      </c>
      <c r="F389" s="1">
        <v>3</v>
      </c>
      <c r="G389" s="1">
        <v>4</v>
      </c>
      <c r="H389" s="1">
        <v>4</v>
      </c>
      <c r="I389" s="1">
        <v>3</v>
      </c>
      <c r="J389" s="1">
        <v>1</v>
      </c>
      <c r="K389" s="1">
        <v>6</v>
      </c>
      <c r="L389" s="4">
        <v>43.2</v>
      </c>
      <c r="M389" s="3" t="str">
        <f t="shared" si="57"/>
        <v>May</v>
      </c>
      <c r="N389" s="2">
        <v>42142.495787037034</v>
      </c>
      <c r="O389" s="1">
        <f t="shared" si="54"/>
        <v>18</v>
      </c>
      <c r="P389" s="1">
        <f t="shared" si="55"/>
        <v>2</v>
      </c>
      <c r="Q389" s="1">
        <f t="shared" si="56"/>
        <v>11</v>
      </c>
      <c r="S389"/>
      <c r="T389"/>
      <c r="U389"/>
    </row>
    <row r="390" spans="1:21" s="1" customFormat="1" x14ac:dyDescent="0.25">
      <c r="A390" s="1">
        <v>407</v>
      </c>
      <c r="B390" s="1" t="s">
        <v>94</v>
      </c>
      <c r="C390" s="1" t="s">
        <v>449</v>
      </c>
      <c r="D390" s="2">
        <v>42033.539236111108</v>
      </c>
      <c r="E390" s="2">
        <v>42033.539293981485</v>
      </c>
      <c r="F390" s="1">
        <v>1</v>
      </c>
      <c r="G390" s="1">
        <v>4</v>
      </c>
      <c r="H390" s="1">
        <v>4</v>
      </c>
      <c r="I390" s="1">
        <v>1</v>
      </c>
      <c r="J390" s="1">
        <v>1</v>
      </c>
      <c r="K390" s="1">
        <v>2</v>
      </c>
      <c r="L390" s="4">
        <v>9</v>
      </c>
      <c r="M390" s="3" t="str">
        <f t="shared" si="57"/>
        <v>Jan</v>
      </c>
      <c r="N390" s="2">
        <v>42033.539247685185</v>
      </c>
      <c r="O390" s="1">
        <f t="shared" si="54"/>
        <v>29</v>
      </c>
      <c r="P390" s="1">
        <f t="shared" si="55"/>
        <v>5</v>
      </c>
      <c r="Q390" s="1">
        <f t="shared" si="56"/>
        <v>12</v>
      </c>
      <c r="S390"/>
      <c r="T390"/>
      <c r="U390"/>
    </row>
    <row r="391" spans="1:21" s="1" customFormat="1" x14ac:dyDescent="0.25">
      <c r="A391" s="1">
        <v>408</v>
      </c>
      <c r="B391" s="1" t="s">
        <v>100</v>
      </c>
      <c r="C391" s="1" t="s">
        <v>287</v>
      </c>
      <c r="D391" s="2">
        <v>42172.117627314816</v>
      </c>
      <c r="E391" s="2">
        <v>42172.117662037039</v>
      </c>
      <c r="F391" s="1">
        <v>1</v>
      </c>
      <c r="G391" s="1">
        <v>2</v>
      </c>
      <c r="H391" s="1">
        <v>2</v>
      </c>
      <c r="I391" s="1">
        <v>2</v>
      </c>
      <c r="J391" s="1">
        <v>1</v>
      </c>
      <c r="K391" s="1">
        <v>4</v>
      </c>
      <c r="L391" s="3">
        <v>28.8</v>
      </c>
      <c r="M391" s="3" t="str">
        <f t="shared" si="57"/>
        <v>Jun</v>
      </c>
      <c r="N391" s="2">
        <v>42172.117638888885</v>
      </c>
      <c r="O391" s="1">
        <f t="shared" si="54"/>
        <v>17</v>
      </c>
      <c r="P391" s="1">
        <f t="shared" si="55"/>
        <v>4</v>
      </c>
      <c r="Q391" s="1">
        <f t="shared" si="56"/>
        <v>2</v>
      </c>
      <c r="S391"/>
      <c r="T391"/>
      <c r="U391"/>
    </row>
    <row r="392" spans="1:21" s="1" customFormat="1" x14ac:dyDescent="0.25">
      <c r="A392" s="1">
        <v>409</v>
      </c>
      <c r="B392" s="1" t="s">
        <v>83</v>
      </c>
      <c r="C392" s="1" t="s">
        <v>450</v>
      </c>
      <c r="D392" s="2">
        <v>42266.613923611112</v>
      </c>
      <c r="E392" s="2">
        <v>42266.44730324074</v>
      </c>
      <c r="F392" s="1">
        <v>1</v>
      </c>
      <c r="G392" s="1">
        <v>4</v>
      </c>
      <c r="H392" s="1">
        <v>4</v>
      </c>
      <c r="I392" s="1">
        <v>2</v>
      </c>
      <c r="J392" s="1">
        <v>1</v>
      </c>
      <c r="K392" s="1">
        <v>2</v>
      </c>
      <c r="L392" s="3">
        <v>74.8</v>
      </c>
      <c r="M392" s="3" t="str">
        <f t="shared" si="57"/>
        <v>Sep</v>
      </c>
      <c r="N392" s="2">
        <v>42266.447268518517</v>
      </c>
      <c r="O392" s="1">
        <f t="shared" si="54"/>
        <v>19</v>
      </c>
      <c r="P392" s="1">
        <f t="shared" si="55"/>
        <v>7</v>
      </c>
      <c r="Q392" s="1">
        <f t="shared" si="56"/>
        <v>10</v>
      </c>
      <c r="S392"/>
      <c r="T392"/>
      <c r="U392"/>
    </row>
    <row r="393" spans="1:21" s="1" customFormat="1" x14ac:dyDescent="0.25">
      <c r="A393" s="1">
        <v>410</v>
      </c>
      <c r="B393" s="1" t="s">
        <v>100</v>
      </c>
      <c r="C393" s="1" t="s">
        <v>451</v>
      </c>
      <c r="D393" s="2">
        <v>42050.827835648146</v>
      </c>
      <c r="E393" s="2">
        <v>42050.827905092592</v>
      </c>
      <c r="F393" s="1">
        <v>1</v>
      </c>
      <c r="G393" s="1">
        <v>2</v>
      </c>
      <c r="H393" s="1">
        <v>4</v>
      </c>
      <c r="I393" s="1">
        <v>1</v>
      </c>
      <c r="J393" s="1">
        <v>1</v>
      </c>
      <c r="K393" s="1">
        <v>2</v>
      </c>
      <c r="L393" s="4">
        <v>57.6</v>
      </c>
      <c r="M393" s="3" t="str">
        <f t="shared" si="57"/>
        <v>Feb</v>
      </c>
      <c r="N393" s="2">
        <v>42050.827847222223</v>
      </c>
      <c r="O393" s="1">
        <f t="shared" si="54"/>
        <v>15</v>
      </c>
      <c r="P393" s="1">
        <f t="shared" si="55"/>
        <v>1</v>
      </c>
      <c r="Q393" s="1">
        <f t="shared" si="56"/>
        <v>19</v>
      </c>
      <c r="S393"/>
      <c r="T393"/>
      <c r="U393"/>
    </row>
    <row r="394" spans="1:21" s="1" customFormat="1" x14ac:dyDescent="0.25">
      <c r="A394" s="1">
        <v>411</v>
      </c>
      <c r="B394" s="1" t="s">
        <v>109</v>
      </c>
      <c r="C394" s="1" t="s">
        <v>452</v>
      </c>
      <c r="D394" s="2">
        <v>42248.317974537036</v>
      </c>
      <c r="E394" s="2">
        <v>42248.624513888892</v>
      </c>
      <c r="F394" s="1">
        <v>5</v>
      </c>
      <c r="G394" s="1">
        <v>9</v>
      </c>
      <c r="H394" s="1">
        <v>8</v>
      </c>
      <c r="I394" s="1">
        <v>10</v>
      </c>
      <c r="J394" s="1">
        <v>1</v>
      </c>
      <c r="K394" s="1">
        <v>3</v>
      </c>
      <c r="L394" s="3">
        <v>86.8</v>
      </c>
      <c r="M394" s="3" t="str">
        <f t="shared" si="57"/>
        <v>Sep</v>
      </c>
      <c r="N394" s="2">
        <v>42248.530497685184</v>
      </c>
      <c r="O394" s="1">
        <f t="shared" si="54"/>
        <v>1</v>
      </c>
      <c r="P394" s="1">
        <f t="shared" si="55"/>
        <v>3</v>
      </c>
      <c r="Q394" s="1">
        <f t="shared" si="56"/>
        <v>12</v>
      </c>
      <c r="S394"/>
      <c r="T394"/>
      <c r="U394"/>
    </row>
    <row r="395" spans="1:21" s="1" customFormat="1" x14ac:dyDescent="0.25">
      <c r="A395" s="1">
        <v>412</v>
      </c>
      <c r="D395" s="2">
        <v>42240.669004629628</v>
      </c>
      <c r="E395" s="2">
        <v>42240.50236111111</v>
      </c>
      <c r="F395" s="1">
        <v>1</v>
      </c>
      <c r="G395" s="1">
        <v>6</v>
      </c>
      <c r="H395" s="1">
        <v>4</v>
      </c>
      <c r="I395" s="1">
        <v>5</v>
      </c>
      <c r="J395" s="1">
        <v>1</v>
      </c>
      <c r="K395" s="1">
        <v>1</v>
      </c>
      <c r="L395" s="3">
        <v>29.92</v>
      </c>
      <c r="M395" s="3" t="str">
        <f t="shared" si="57"/>
        <v>Aug</v>
      </c>
      <c r="N395" s="2">
        <v>42240.503842592596</v>
      </c>
      <c r="O395" s="1">
        <f t="shared" si="54"/>
        <v>24</v>
      </c>
      <c r="P395" s="1">
        <f t="shared" si="55"/>
        <v>2</v>
      </c>
      <c r="Q395" s="1">
        <f t="shared" si="56"/>
        <v>12</v>
      </c>
      <c r="S395"/>
      <c r="T395"/>
      <c r="U395"/>
    </row>
    <row r="396" spans="1:21" s="1" customFormat="1" x14ac:dyDescent="0.25">
      <c r="A396" s="1">
        <v>413</v>
      </c>
      <c r="B396" s="1" t="s">
        <v>100</v>
      </c>
      <c r="C396" s="1" t="s">
        <v>453</v>
      </c>
      <c r="D396" s="2">
        <v>42233.896458333336</v>
      </c>
      <c r="E396" s="2">
        <v>42233.896527777775</v>
      </c>
      <c r="F396" s="1">
        <v>1</v>
      </c>
      <c r="G396" s="1">
        <v>6</v>
      </c>
      <c r="H396" s="1">
        <v>8</v>
      </c>
      <c r="I396" s="1">
        <v>2</v>
      </c>
      <c r="J396" s="1">
        <v>1</v>
      </c>
      <c r="K396" s="1">
        <v>4</v>
      </c>
      <c r="L396" s="3">
        <v>77.55</v>
      </c>
      <c r="M396" s="3" t="str">
        <f t="shared" si="57"/>
        <v>Aug</v>
      </c>
      <c r="N396" s="2">
        <v>42233.896469907406</v>
      </c>
      <c r="O396" s="1">
        <f t="shared" si="54"/>
        <v>17</v>
      </c>
      <c r="P396" s="1">
        <f t="shared" si="55"/>
        <v>2</v>
      </c>
      <c r="Q396" s="1">
        <f t="shared" si="56"/>
        <v>21</v>
      </c>
      <c r="S396"/>
      <c r="T396"/>
      <c r="U396"/>
    </row>
    <row r="397" spans="1:21" s="1" customFormat="1" x14ac:dyDescent="0.25">
      <c r="A397" s="1">
        <v>414</v>
      </c>
      <c r="B397" s="1" t="s">
        <v>91</v>
      </c>
      <c r="C397" s="1" t="s">
        <v>454</v>
      </c>
      <c r="D397" s="2">
        <v>42183.799618055556</v>
      </c>
      <c r="E397" s="2">
        <v>42183.892696759256</v>
      </c>
      <c r="F397" s="1">
        <v>3</v>
      </c>
      <c r="G397" s="1">
        <v>6</v>
      </c>
      <c r="H397" s="1">
        <v>4</v>
      </c>
      <c r="I397" s="1">
        <v>2</v>
      </c>
      <c r="J397" s="1">
        <v>1</v>
      </c>
      <c r="K397" s="1">
        <v>2</v>
      </c>
      <c r="L397" s="3">
        <v>144</v>
      </c>
      <c r="M397" s="3" t="str">
        <f t="shared" si="57"/>
        <v>Jun</v>
      </c>
      <c r="N397" s="2">
        <v>42183.799618055556</v>
      </c>
      <c r="O397" s="1">
        <f t="shared" si="54"/>
        <v>28</v>
      </c>
      <c r="P397" s="1">
        <f t="shared" si="55"/>
        <v>1</v>
      </c>
      <c r="Q397" s="1">
        <f t="shared" si="56"/>
        <v>19</v>
      </c>
      <c r="S397"/>
      <c r="T397"/>
      <c r="U397"/>
    </row>
    <row r="398" spans="1:21" s="1" customFormat="1" x14ac:dyDescent="0.25">
      <c r="A398" s="1">
        <v>415</v>
      </c>
      <c r="D398" s="2">
        <v>42020.801064814812</v>
      </c>
      <c r="E398" s="2">
        <v>42020.801122685189</v>
      </c>
      <c r="F398" s="1">
        <v>1</v>
      </c>
      <c r="G398" s="1">
        <v>0</v>
      </c>
      <c r="H398" s="1">
        <v>8</v>
      </c>
      <c r="I398" s="1">
        <v>10</v>
      </c>
      <c r="J398" s="1">
        <v>1</v>
      </c>
      <c r="K398" s="1">
        <v>2</v>
      </c>
      <c r="L398" s="4">
        <v>57.6</v>
      </c>
      <c r="M398" s="3" t="str">
        <f t="shared" si="57"/>
        <v>Jan</v>
      </c>
      <c r="N398" s="2">
        <v>42020.803368055553</v>
      </c>
      <c r="O398" s="1">
        <f t="shared" si="54"/>
        <v>16</v>
      </c>
      <c r="P398" s="1">
        <f t="shared" si="55"/>
        <v>6</v>
      </c>
      <c r="Q398" s="1">
        <f t="shared" si="56"/>
        <v>19</v>
      </c>
      <c r="S398"/>
      <c r="T398"/>
      <c r="U398"/>
    </row>
    <row r="399" spans="1:21" s="1" customFormat="1" x14ac:dyDescent="0.25">
      <c r="A399" s="1">
        <v>416</v>
      </c>
      <c r="D399" s="2">
        <v>42068.749467592592</v>
      </c>
      <c r="E399" s="2">
        <v>42068.749525462961</v>
      </c>
      <c r="F399" s="1">
        <v>1</v>
      </c>
      <c r="G399" s="1">
        <v>0</v>
      </c>
      <c r="H399" s="1">
        <v>4</v>
      </c>
      <c r="I399" s="1">
        <v>7</v>
      </c>
      <c r="J399" s="1">
        <v>1</v>
      </c>
      <c r="K399" s="1">
        <v>2</v>
      </c>
      <c r="L399" s="4">
        <v>14.4</v>
      </c>
      <c r="M399" s="3" t="str">
        <f t="shared" si="57"/>
        <v>Mar</v>
      </c>
      <c r="N399" s="2">
        <v>42068.749479166669</v>
      </c>
      <c r="O399" s="1">
        <f t="shared" si="54"/>
        <v>5</v>
      </c>
      <c r="P399" s="1">
        <f t="shared" si="55"/>
        <v>5</v>
      </c>
      <c r="Q399" s="1">
        <f t="shared" si="56"/>
        <v>17</v>
      </c>
      <c r="S399"/>
      <c r="T399"/>
      <c r="U399"/>
    </row>
    <row r="400" spans="1:21" s="1" customFormat="1" x14ac:dyDescent="0.25">
      <c r="A400" s="1">
        <v>417</v>
      </c>
      <c r="B400" s="1" t="s">
        <v>109</v>
      </c>
      <c r="C400" s="1" t="s">
        <v>455</v>
      </c>
      <c r="D400" s="2">
        <v>42201.45453703704</v>
      </c>
      <c r="E400" s="2">
        <v>42201.454583333332</v>
      </c>
      <c r="F400" s="1">
        <v>1</v>
      </c>
      <c r="G400" s="1">
        <v>0</v>
      </c>
      <c r="H400" s="1">
        <v>2</v>
      </c>
      <c r="I400" s="1">
        <v>2</v>
      </c>
      <c r="J400" s="1">
        <v>1</v>
      </c>
      <c r="K400" s="1">
        <v>1</v>
      </c>
      <c r="L400" s="3">
        <v>37.4</v>
      </c>
      <c r="M400" s="3" t="str">
        <f t="shared" si="57"/>
        <v>Jul</v>
      </c>
      <c r="N400" s="2">
        <v>42201.454548611109</v>
      </c>
      <c r="O400" s="1">
        <f t="shared" si="54"/>
        <v>16</v>
      </c>
      <c r="P400" s="1">
        <f t="shared" si="55"/>
        <v>5</v>
      </c>
      <c r="Q400" s="1">
        <f t="shared" si="56"/>
        <v>10</v>
      </c>
      <c r="S400"/>
      <c r="T400"/>
      <c r="U400"/>
    </row>
    <row r="401" spans="1:21" s="1" customFormat="1" x14ac:dyDescent="0.25">
      <c r="A401" s="1">
        <v>418</v>
      </c>
      <c r="B401" s="1" t="s">
        <v>76</v>
      </c>
      <c r="C401" s="1" t="s">
        <v>456</v>
      </c>
      <c r="D401" s="2">
        <v>42059.064062500001</v>
      </c>
      <c r="E401" s="2">
        <v>42065.091215277775</v>
      </c>
      <c r="F401" s="1">
        <v>2</v>
      </c>
      <c r="G401" s="1">
        <v>0</v>
      </c>
      <c r="H401" s="1">
        <v>4</v>
      </c>
      <c r="I401" s="1">
        <v>2</v>
      </c>
      <c r="J401" s="1">
        <v>1</v>
      </c>
      <c r="K401" s="1">
        <v>2</v>
      </c>
      <c r="L401" s="4">
        <v>9</v>
      </c>
      <c r="M401" s="3" t="str">
        <f t="shared" si="57"/>
        <v>Feb</v>
      </c>
      <c r="N401" s="2">
        <v>42059.064074074071</v>
      </c>
      <c r="O401" s="1">
        <f t="shared" si="54"/>
        <v>24</v>
      </c>
      <c r="P401" s="1">
        <f t="shared" si="55"/>
        <v>3</v>
      </c>
      <c r="Q401" s="1">
        <f t="shared" si="56"/>
        <v>1</v>
      </c>
      <c r="S401"/>
      <c r="T401"/>
      <c r="U401"/>
    </row>
    <row r="402" spans="1:21" s="1" customFormat="1" x14ac:dyDescent="0.25">
      <c r="A402" s="1">
        <v>419</v>
      </c>
      <c r="D402" s="2">
        <v>42166.903287037036</v>
      </c>
      <c r="E402" s="2">
        <v>42166.736666666664</v>
      </c>
      <c r="F402" s="1">
        <v>1</v>
      </c>
      <c r="G402" s="1">
        <v>0</v>
      </c>
      <c r="H402" s="1">
        <v>4</v>
      </c>
      <c r="I402" s="1">
        <v>4</v>
      </c>
      <c r="J402" s="1">
        <v>1</v>
      </c>
      <c r="K402" s="1">
        <v>2</v>
      </c>
      <c r="L402" s="3">
        <v>12</v>
      </c>
      <c r="M402" s="3" t="str">
        <f t="shared" si="57"/>
        <v>Jun</v>
      </c>
      <c r="N402" s="2">
        <v>42166.737407407411</v>
      </c>
      <c r="O402" s="1">
        <f t="shared" si="54"/>
        <v>11</v>
      </c>
      <c r="P402" s="1">
        <f t="shared" si="55"/>
        <v>5</v>
      </c>
      <c r="Q402" s="1">
        <f t="shared" si="56"/>
        <v>17</v>
      </c>
      <c r="S402"/>
      <c r="T402"/>
      <c r="U402"/>
    </row>
    <row r="403" spans="1:21" s="1" customFormat="1" x14ac:dyDescent="0.25">
      <c r="A403" s="1">
        <v>420</v>
      </c>
      <c r="B403" s="1" t="s">
        <v>76</v>
      </c>
      <c r="C403" s="1" t="s">
        <v>457</v>
      </c>
      <c r="D403" s="2">
        <v>42237.474212962959</v>
      </c>
      <c r="E403" s="2">
        <v>42237.474259259259</v>
      </c>
      <c r="F403" s="1">
        <v>1</v>
      </c>
      <c r="G403" s="1">
        <v>6</v>
      </c>
      <c r="H403" s="1">
        <v>6</v>
      </c>
      <c r="I403" s="1">
        <v>4</v>
      </c>
      <c r="J403" s="1">
        <v>1</v>
      </c>
      <c r="K403" s="1">
        <v>2</v>
      </c>
      <c r="L403" s="3">
        <v>80.849999999999994</v>
      </c>
      <c r="M403" s="3" t="str">
        <f t="shared" si="57"/>
        <v>Aug</v>
      </c>
      <c r="N403" s="2">
        <v>42237.474212962959</v>
      </c>
      <c r="O403" s="1">
        <f t="shared" si="54"/>
        <v>21</v>
      </c>
      <c r="P403" s="1">
        <f t="shared" si="55"/>
        <v>6</v>
      </c>
      <c r="Q403" s="1">
        <f t="shared" si="56"/>
        <v>11</v>
      </c>
      <c r="S403"/>
      <c r="T403"/>
      <c r="U403"/>
    </row>
    <row r="404" spans="1:21" s="1" customFormat="1" x14ac:dyDescent="0.25">
      <c r="A404" s="1">
        <v>421</v>
      </c>
      <c r="B404" s="1" t="s">
        <v>112</v>
      </c>
      <c r="C404" s="1" t="s">
        <v>458</v>
      </c>
      <c r="D404" s="2">
        <v>42161.676828703705</v>
      </c>
      <c r="E404" s="2">
        <v>42161.510231481479</v>
      </c>
      <c r="F404" s="1">
        <v>1</v>
      </c>
      <c r="G404" s="1">
        <v>4</v>
      </c>
      <c r="H404" s="1">
        <v>6</v>
      </c>
      <c r="I404" s="1">
        <v>2</v>
      </c>
      <c r="J404" s="1">
        <v>1</v>
      </c>
      <c r="K404" s="1">
        <v>3</v>
      </c>
      <c r="L404" s="3">
        <v>81.599999999999994</v>
      </c>
      <c r="M404" s="3" t="str">
        <f t="shared" si="57"/>
        <v>Jun</v>
      </c>
      <c r="N404" s="2">
        <v>42161.510196759256</v>
      </c>
      <c r="O404" s="1">
        <f t="shared" si="54"/>
        <v>6</v>
      </c>
      <c r="P404" s="1">
        <f t="shared" si="55"/>
        <v>7</v>
      </c>
      <c r="Q404" s="1">
        <f t="shared" si="56"/>
        <v>12</v>
      </c>
      <c r="S404"/>
      <c r="T404"/>
      <c r="U404"/>
    </row>
    <row r="405" spans="1:21" s="1" customFormat="1" x14ac:dyDescent="0.25">
      <c r="A405" s="1">
        <v>422</v>
      </c>
      <c r="B405" s="1" t="s">
        <v>112</v>
      </c>
      <c r="C405" s="1" t="s">
        <v>459</v>
      </c>
      <c r="D405" s="2">
        <v>42198.433831018519</v>
      </c>
      <c r="E405" s="2">
        <v>42198.527129629627</v>
      </c>
      <c r="F405" s="1">
        <v>6</v>
      </c>
      <c r="G405" s="1">
        <v>0</v>
      </c>
      <c r="H405" s="1">
        <v>2</v>
      </c>
      <c r="I405" s="1">
        <v>2</v>
      </c>
      <c r="J405" s="1">
        <v>1</v>
      </c>
      <c r="K405" s="1">
        <v>1</v>
      </c>
      <c r="L405" s="3">
        <v>36</v>
      </c>
      <c r="M405" s="3" t="str">
        <f t="shared" si="57"/>
        <v>Jul</v>
      </c>
      <c r="N405" s="2">
        <v>42198.433831018519</v>
      </c>
      <c r="O405" s="1">
        <f t="shared" si="54"/>
        <v>13</v>
      </c>
      <c r="P405" s="1">
        <f t="shared" si="55"/>
        <v>2</v>
      </c>
      <c r="Q405" s="1">
        <f t="shared" si="56"/>
        <v>10</v>
      </c>
      <c r="S405"/>
      <c r="T405"/>
      <c r="U405"/>
    </row>
    <row r="406" spans="1:21" s="1" customFormat="1" x14ac:dyDescent="0.25">
      <c r="A406" s="1">
        <v>423</v>
      </c>
      <c r="B406" s="1" t="s">
        <v>119</v>
      </c>
      <c r="C406" s="1" t="s">
        <v>460</v>
      </c>
      <c r="D406" s="2">
        <v>42219.530092592591</v>
      </c>
      <c r="E406" s="2">
        <v>42219.530127314814</v>
      </c>
      <c r="F406" s="1">
        <v>1</v>
      </c>
      <c r="G406" s="1">
        <v>2</v>
      </c>
      <c r="H406" s="1">
        <v>2</v>
      </c>
      <c r="I406" s="1">
        <v>2</v>
      </c>
      <c r="J406" s="1">
        <v>1</v>
      </c>
      <c r="K406" s="1">
        <v>1</v>
      </c>
      <c r="L406" s="3">
        <v>56.32</v>
      </c>
      <c r="M406" s="3" t="str">
        <f t="shared" si="57"/>
        <v>Aug</v>
      </c>
      <c r="N406" s="2">
        <v>42219.530092592591</v>
      </c>
      <c r="O406" s="1">
        <f t="shared" si="54"/>
        <v>3</v>
      </c>
      <c r="P406" s="1">
        <f t="shared" si="55"/>
        <v>2</v>
      </c>
      <c r="Q406" s="1">
        <f t="shared" si="56"/>
        <v>12</v>
      </c>
      <c r="S406"/>
      <c r="T406"/>
      <c r="U406"/>
    </row>
    <row r="407" spans="1:21" s="1" customFormat="1" x14ac:dyDescent="0.25">
      <c r="A407" s="1">
        <v>424</v>
      </c>
      <c r="B407" s="1" t="s">
        <v>85</v>
      </c>
      <c r="C407" s="1" t="s">
        <v>461</v>
      </c>
      <c r="D407" s="2">
        <v>42029.672222222223</v>
      </c>
      <c r="E407" s="2">
        <v>42029.672268518516</v>
      </c>
      <c r="F407" s="1">
        <v>1</v>
      </c>
      <c r="G407" s="1">
        <v>0</v>
      </c>
      <c r="H407" s="1">
        <v>6</v>
      </c>
      <c r="I407" s="1">
        <v>4</v>
      </c>
      <c r="J407" s="1">
        <v>1</v>
      </c>
      <c r="K407" s="1">
        <v>2</v>
      </c>
      <c r="L407" s="4">
        <v>9</v>
      </c>
      <c r="M407" s="3" t="str">
        <f t="shared" si="57"/>
        <v>Jan</v>
      </c>
      <c r="N407" s="2">
        <v>42029.672233796293</v>
      </c>
      <c r="O407" s="1">
        <f t="shared" si="54"/>
        <v>25</v>
      </c>
      <c r="P407" s="1">
        <f t="shared" si="55"/>
        <v>1</v>
      </c>
      <c r="Q407" s="1">
        <f t="shared" si="56"/>
        <v>16</v>
      </c>
      <c r="S407"/>
      <c r="T407"/>
      <c r="U407"/>
    </row>
    <row r="408" spans="1:21" s="1" customFormat="1" x14ac:dyDescent="0.25">
      <c r="A408" s="1">
        <v>425</v>
      </c>
      <c r="D408" s="2">
        <v>42214.582870370374</v>
      </c>
      <c r="E408" s="2">
        <v>42214.416215277779</v>
      </c>
      <c r="F408" s="1">
        <v>1</v>
      </c>
      <c r="G408" s="1">
        <v>2</v>
      </c>
      <c r="H408" s="1">
        <v>3</v>
      </c>
      <c r="I408" s="1">
        <v>4</v>
      </c>
      <c r="J408" s="1">
        <v>1</v>
      </c>
      <c r="K408" s="1">
        <v>2</v>
      </c>
      <c r="L408" s="3">
        <v>11</v>
      </c>
      <c r="M408" s="3" t="str">
        <f t="shared" si="57"/>
        <v>Jul</v>
      </c>
      <c r="N408" s="2">
        <v>42214.421678240738</v>
      </c>
      <c r="O408" s="1">
        <f t="shared" si="54"/>
        <v>29</v>
      </c>
      <c r="P408" s="1">
        <f t="shared" si="55"/>
        <v>4</v>
      </c>
      <c r="Q408" s="1">
        <f t="shared" si="56"/>
        <v>10</v>
      </c>
      <c r="S408"/>
      <c r="T408"/>
      <c r="U408"/>
    </row>
    <row r="409" spans="1:21" s="1" customFormat="1" x14ac:dyDescent="0.25">
      <c r="A409" s="1">
        <v>426</v>
      </c>
      <c r="B409" s="1" t="s">
        <v>212</v>
      </c>
      <c r="C409" s="1" t="s">
        <v>462</v>
      </c>
      <c r="D409" s="2">
        <v>42146.472916666666</v>
      </c>
      <c r="E409" s="2">
        <v>42146.472951388889</v>
      </c>
      <c r="F409" s="1">
        <v>1</v>
      </c>
      <c r="G409" s="1">
        <v>2</v>
      </c>
      <c r="H409" s="1">
        <v>2</v>
      </c>
      <c r="I409" s="1">
        <v>2</v>
      </c>
      <c r="J409" s="1">
        <v>1</v>
      </c>
      <c r="K409" s="1">
        <v>1</v>
      </c>
      <c r="L409" s="3">
        <v>28.8</v>
      </c>
      <c r="M409" s="3" t="str">
        <f t="shared" si="57"/>
        <v>May</v>
      </c>
      <c r="N409" s="2">
        <v>42146.472916666666</v>
      </c>
      <c r="O409" s="1">
        <f t="shared" si="54"/>
        <v>22</v>
      </c>
      <c r="P409" s="1">
        <f t="shared" si="55"/>
        <v>6</v>
      </c>
      <c r="Q409" s="1">
        <f t="shared" si="56"/>
        <v>11</v>
      </c>
      <c r="S409"/>
      <c r="T409"/>
      <c r="U409"/>
    </row>
    <row r="410" spans="1:21" s="1" customFormat="1" x14ac:dyDescent="0.25">
      <c r="A410" s="1">
        <v>427</v>
      </c>
      <c r="B410" s="1" t="s">
        <v>210</v>
      </c>
      <c r="C410" s="1" t="s">
        <v>463</v>
      </c>
      <c r="D410" s="2">
        <v>42167.727766203701</v>
      </c>
      <c r="E410" s="2">
        <v>42167.561157407406</v>
      </c>
      <c r="F410" s="1">
        <v>1</v>
      </c>
      <c r="G410" s="1">
        <v>8</v>
      </c>
      <c r="H410" s="1">
        <v>8</v>
      </c>
      <c r="I410" s="1">
        <v>2</v>
      </c>
      <c r="J410" s="1">
        <v>1</v>
      </c>
      <c r="K410" s="1">
        <v>4</v>
      </c>
      <c r="L410" s="3">
        <v>28.8</v>
      </c>
      <c r="M410" s="3" t="str">
        <f t="shared" si="57"/>
        <v>Jun</v>
      </c>
      <c r="N410" s="2">
        <v>42167.561122685183</v>
      </c>
      <c r="O410" s="1">
        <f t="shared" si="54"/>
        <v>12</v>
      </c>
      <c r="P410" s="1">
        <f t="shared" si="55"/>
        <v>6</v>
      </c>
      <c r="Q410" s="1">
        <f t="shared" si="56"/>
        <v>13</v>
      </c>
      <c r="S410"/>
      <c r="T410"/>
      <c r="U410"/>
    </row>
    <row r="411" spans="1:21" s="1" customFormat="1" x14ac:dyDescent="0.25">
      <c r="A411" s="1">
        <v>428</v>
      </c>
      <c r="B411" s="1" t="s">
        <v>354</v>
      </c>
      <c r="C411" s="1" t="s">
        <v>464</v>
      </c>
      <c r="D411" s="2">
        <v>42231.582569444443</v>
      </c>
      <c r="E411" s="2">
        <v>42231.582604166666</v>
      </c>
      <c r="F411" s="1">
        <v>1</v>
      </c>
      <c r="G411" s="1">
        <v>2</v>
      </c>
      <c r="H411" s="1">
        <v>2</v>
      </c>
      <c r="I411" s="1">
        <v>2</v>
      </c>
      <c r="J411" s="1">
        <v>1</v>
      </c>
      <c r="K411" s="1">
        <v>1</v>
      </c>
      <c r="L411" s="3">
        <v>29.92</v>
      </c>
      <c r="M411" s="3" t="str">
        <f t="shared" si="57"/>
        <v>Aug</v>
      </c>
      <c r="N411" s="2">
        <v>42231.58258101852</v>
      </c>
      <c r="O411" s="1">
        <f t="shared" si="54"/>
        <v>15</v>
      </c>
      <c r="P411" s="1">
        <f t="shared" si="55"/>
        <v>7</v>
      </c>
      <c r="Q411" s="1">
        <f t="shared" si="56"/>
        <v>13</v>
      </c>
      <c r="S411"/>
      <c r="T411"/>
      <c r="U411"/>
    </row>
    <row r="412" spans="1:21" s="1" customFormat="1" x14ac:dyDescent="0.25">
      <c r="A412" s="1">
        <v>429</v>
      </c>
      <c r="B412" s="1" t="s">
        <v>131</v>
      </c>
      <c r="C412" s="1" t="s">
        <v>465</v>
      </c>
      <c r="D412" s="2">
        <v>42077.320451388892</v>
      </c>
      <c r="E412" s="2">
        <v>42077.320590277777</v>
      </c>
      <c r="F412" s="1">
        <v>1</v>
      </c>
      <c r="G412" s="1">
        <v>2</v>
      </c>
      <c r="H412" s="1">
        <v>4</v>
      </c>
      <c r="I412" s="1">
        <v>2</v>
      </c>
      <c r="J412" s="1">
        <v>1</v>
      </c>
      <c r="K412" s="1">
        <v>2</v>
      </c>
      <c r="L412" s="4">
        <v>18</v>
      </c>
      <c r="M412" s="3" t="str">
        <f t="shared" si="57"/>
        <v>Mar</v>
      </c>
      <c r="N412" s="2">
        <v>42077.320462962962</v>
      </c>
      <c r="O412" s="1">
        <f t="shared" si="54"/>
        <v>14</v>
      </c>
      <c r="P412" s="1">
        <f t="shared" si="55"/>
        <v>7</v>
      </c>
      <c r="Q412" s="1">
        <f t="shared" si="56"/>
        <v>7</v>
      </c>
      <c r="S412"/>
      <c r="T412"/>
      <c r="U412"/>
    </row>
    <row r="413" spans="1:21" s="1" customFormat="1" x14ac:dyDescent="0.25">
      <c r="A413" s="1">
        <v>430</v>
      </c>
      <c r="B413" s="1" t="s">
        <v>83</v>
      </c>
      <c r="C413" s="1" t="s">
        <v>466</v>
      </c>
      <c r="D413" s="2">
        <v>42167.048796296294</v>
      </c>
      <c r="E413" s="2">
        <v>42166.882199074076</v>
      </c>
      <c r="F413" s="1">
        <v>1</v>
      </c>
      <c r="G413" s="1">
        <v>2</v>
      </c>
      <c r="H413" s="1">
        <v>4</v>
      </c>
      <c r="I413" s="1">
        <v>2</v>
      </c>
      <c r="J413" s="1">
        <v>1</v>
      </c>
      <c r="K413" s="1">
        <v>2</v>
      </c>
      <c r="L413" s="3">
        <v>57.6</v>
      </c>
      <c r="M413" s="3" t="str">
        <f t="shared" si="57"/>
        <v>Jun</v>
      </c>
      <c r="N413" s="2">
        <v>42166.882152777776</v>
      </c>
      <c r="O413" s="1">
        <f t="shared" si="54"/>
        <v>11</v>
      </c>
      <c r="P413" s="1">
        <f t="shared" si="55"/>
        <v>5</v>
      </c>
      <c r="Q413" s="1">
        <f t="shared" si="56"/>
        <v>21</v>
      </c>
      <c r="S413"/>
      <c r="T413"/>
      <c r="U413"/>
    </row>
    <row r="414" spans="1:21" s="1" customFormat="1" x14ac:dyDescent="0.25">
      <c r="A414" s="1">
        <v>431</v>
      </c>
      <c r="B414" s="1" t="s">
        <v>341</v>
      </c>
      <c r="C414" s="1" t="s">
        <v>467</v>
      </c>
      <c r="D414" s="2">
        <v>42181.783333333333</v>
      </c>
      <c r="E414" s="2">
        <v>42181.616724537038</v>
      </c>
      <c r="F414" s="1">
        <v>1</v>
      </c>
      <c r="G414" s="1">
        <v>4</v>
      </c>
      <c r="H414" s="1">
        <v>8</v>
      </c>
      <c r="I414" s="1">
        <v>2</v>
      </c>
      <c r="J414" s="1">
        <v>1</v>
      </c>
      <c r="K414" s="1">
        <v>4</v>
      </c>
      <c r="L414" s="3">
        <v>28.8</v>
      </c>
      <c r="M414" s="3" t="str">
        <f t="shared" si="57"/>
        <v>Jun</v>
      </c>
      <c r="N414" s="2">
        <v>42181.616678240738</v>
      </c>
      <c r="O414" s="1">
        <f t="shared" si="54"/>
        <v>26</v>
      </c>
      <c r="P414" s="1">
        <f t="shared" si="55"/>
        <v>6</v>
      </c>
      <c r="Q414" s="1">
        <f t="shared" si="56"/>
        <v>14</v>
      </c>
      <c r="S414"/>
      <c r="T414"/>
      <c r="U414"/>
    </row>
    <row r="415" spans="1:21" s="1" customFormat="1" x14ac:dyDescent="0.25">
      <c r="A415" s="1">
        <v>432</v>
      </c>
      <c r="B415" s="1" t="s">
        <v>100</v>
      </c>
      <c r="C415" s="1" t="s">
        <v>468</v>
      </c>
      <c r="D415" s="2">
        <v>42265.719097222223</v>
      </c>
      <c r="E415" s="2">
        <v>42265.719143518516</v>
      </c>
      <c r="F415" s="1">
        <v>1</v>
      </c>
      <c r="G415" s="1">
        <v>2</v>
      </c>
      <c r="H415" s="1">
        <v>2</v>
      </c>
      <c r="I415" s="1">
        <v>2</v>
      </c>
      <c r="J415" s="1">
        <v>1</v>
      </c>
      <c r="K415" s="1">
        <v>1</v>
      </c>
      <c r="L415" s="3">
        <v>29.92</v>
      </c>
      <c r="M415" s="3" t="str">
        <f t="shared" si="57"/>
        <v>Sep</v>
      </c>
      <c r="N415" s="2">
        <v>42265.719097222223</v>
      </c>
      <c r="O415" s="1">
        <f t="shared" si="54"/>
        <v>18</v>
      </c>
      <c r="P415" s="1">
        <f t="shared" si="55"/>
        <v>6</v>
      </c>
      <c r="Q415" s="1">
        <f t="shared" si="56"/>
        <v>17</v>
      </c>
      <c r="S415"/>
      <c r="T415"/>
      <c r="U415"/>
    </row>
    <row r="416" spans="1:21" s="1" customFormat="1" x14ac:dyDescent="0.25">
      <c r="A416" s="1">
        <v>433</v>
      </c>
      <c r="B416" s="1" t="s">
        <v>123</v>
      </c>
      <c r="C416" s="1" t="s">
        <v>469</v>
      </c>
      <c r="D416" s="2">
        <v>42209.599687499998</v>
      </c>
      <c r="E416" s="2">
        <v>42209.599733796298</v>
      </c>
      <c r="F416" s="1">
        <v>1</v>
      </c>
      <c r="G416" s="1">
        <v>2</v>
      </c>
      <c r="H416" s="1">
        <v>6</v>
      </c>
      <c r="I416" s="1">
        <v>2</v>
      </c>
      <c r="J416" s="1">
        <v>1</v>
      </c>
      <c r="K416" s="1">
        <v>2</v>
      </c>
      <c r="L416" s="3">
        <v>22</v>
      </c>
      <c r="M416" s="3" t="str">
        <f t="shared" si="57"/>
        <v>Jul</v>
      </c>
      <c r="N416" s="2">
        <v>42209.599687499998</v>
      </c>
      <c r="O416" s="1">
        <f t="shared" si="54"/>
        <v>24</v>
      </c>
      <c r="P416" s="1">
        <f t="shared" si="55"/>
        <v>6</v>
      </c>
      <c r="Q416" s="1">
        <f t="shared" si="56"/>
        <v>14</v>
      </c>
      <c r="S416"/>
      <c r="T416"/>
      <c r="U416"/>
    </row>
    <row r="417" spans="1:21" s="1" customFormat="1" x14ac:dyDescent="0.25">
      <c r="A417" s="1">
        <v>434</v>
      </c>
      <c r="B417" s="1" t="s">
        <v>112</v>
      </c>
      <c r="C417" s="1" t="s">
        <v>470</v>
      </c>
      <c r="D417" s="2">
        <v>42188.009479166663</v>
      </c>
      <c r="E417" s="2">
        <v>42187.842835648145</v>
      </c>
      <c r="F417" s="1">
        <v>1</v>
      </c>
      <c r="G417" s="1">
        <v>2</v>
      </c>
      <c r="H417" s="1">
        <v>16</v>
      </c>
      <c r="I417" s="1">
        <v>4</v>
      </c>
      <c r="J417" s="1">
        <v>1</v>
      </c>
      <c r="K417" s="1">
        <v>4</v>
      </c>
      <c r="L417" s="3">
        <v>28.8</v>
      </c>
      <c r="M417" s="3" t="str">
        <f t="shared" si="57"/>
        <v>Jul</v>
      </c>
      <c r="N417" s="2">
        <v>42187.8440162037</v>
      </c>
      <c r="O417" s="1">
        <f t="shared" si="54"/>
        <v>2</v>
      </c>
      <c r="P417" s="1">
        <f t="shared" si="55"/>
        <v>5</v>
      </c>
      <c r="Q417" s="1">
        <f t="shared" si="56"/>
        <v>20</v>
      </c>
      <c r="S417"/>
      <c r="T417"/>
      <c r="U417"/>
    </row>
    <row r="418" spans="1:21" s="1" customFormat="1" x14ac:dyDescent="0.25">
      <c r="A418" s="1">
        <v>435</v>
      </c>
      <c r="D418" s="2">
        <v>42023.560659722221</v>
      </c>
      <c r="E418" s="2">
        <v>42060.893391203703</v>
      </c>
      <c r="F418" s="1">
        <v>3</v>
      </c>
      <c r="G418" s="1">
        <v>0</v>
      </c>
      <c r="H418" s="1">
        <v>1</v>
      </c>
      <c r="I418" s="1">
        <v>2</v>
      </c>
      <c r="J418" s="1">
        <v>1</v>
      </c>
      <c r="K418" s="1">
        <v>4</v>
      </c>
      <c r="L418" s="4">
        <v>28.8</v>
      </c>
      <c r="M418" s="3" t="str">
        <f t="shared" si="57"/>
        <v>Feb</v>
      </c>
      <c r="N418" s="2">
        <v>42060.895162037035</v>
      </c>
      <c r="O418" s="1">
        <f t="shared" si="54"/>
        <v>25</v>
      </c>
      <c r="P418" s="1">
        <f t="shared" si="55"/>
        <v>4</v>
      </c>
      <c r="Q418" s="1">
        <f t="shared" si="56"/>
        <v>21</v>
      </c>
      <c r="S418"/>
      <c r="T418"/>
      <c r="U418"/>
    </row>
    <row r="419" spans="1:21" s="1" customFormat="1" x14ac:dyDescent="0.25">
      <c r="A419" s="1">
        <v>436</v>
      </c>
      <c r="B419" s="1" t="s">
        <v>147</v>
      </c>
      <c r="C419" s="1" t="s">
        <v>471</v>
      </c>
      <c r="D419" s="2">
        <v>42025.918368055558</v>
      </c>
      <c r="E419" s="2">
        <v>42025.918402777781</v>
      </c>
      <c r="F419" s="1">
        <v>1</v>
      </c>
      <c r="G419" s="1">
        <v>0</v>
      </c>
      <c r="H419" s="1">
        <v>2</v>
      </c>
      <c r="I419" s="1">
        <v>2</v>
      </c>
      <c r="J419" s="1">
        <v>1</v>
      </c>
      <c r="K419" s="1">
        <v>1</v>
      </c>
      <c r="L419" s="4">
        <v>57.6</v>
      </c>
      <c r="M419" s="3" t="str">
        <f t="shared" si="57"/>
        <v>Jan</v>
      </c>
      <c r="N419" s="2">
        <v>42025.918379629627</v>
      </c>
      <c r="O419" s="1">
        <f t="shared" si="54"/>
        <v>21</v>
      </c>
      <c r="P419" s="1">
        <f t="shared" si="55"/>
        <v>4</v>
      </c>
      <c r="Q419" s="1">
        <f t="shared" si="56"/>
        <v>22</v>
      </c>
      <c r="S419"/>
      <c r="T419"/>
      <c r="U419"/>
    </row>
    <row r="420" spans="1:21" s="1" customFormat="1" x14ac:dyDescent="0.25">
      <c r="A420" s="1">
        <v>437</v>
      </c>
      <c r="D420" s="2">
        <v>42144.553368055553</v>
      </c>
      <c r="E420" s="2">
        <v>42144.386736111112</v>
      </c>
      <c r="F420" s="1">
        <v>1</v>
      </c>
      <c r="G420" s="1">
        <v>0</v>
      </c>
      <c r="H420" s="1">
        <v>10</v>
      </c>
      <c r="I420" s="1">
        <v>10</v>
      </c>
      <c r="J420" s="1">
        <v>1</v>
      </c>
      <c r="K420" s="1">
        <v>1</v>
      </c>
      <c r="L420" s="4">
        <v>28.8</v>
      </c>
      <c r="M420" s="3" t="str">
        <f t="shared" si="57"/>
        <v>May</v>
      </c>
      <c r="N420" s="2">
        <v>42144.388182870367</v>
      </c>
      <c r="O420" s="1">
        <f t="shared" si="54"/>
        <v>20</v>
      </c>
      <c r="P420" s="1">
        <f t="shared" si="55"/>
        <v>4</v>
      </c>
      <c r="Q420" s="1">
        <f t="shared" si="56"/>
        <v>9</v>
      </c>
      <c r="S420"/>
      <c r="T420"/>
      <c r="U420"/>
    </row>
    <row r="421" spans="1:21" s="1" customFormat="1" x14ac:dyDescent="0.25">
      <c r="A421" s="1">
        <v>438</v>
      </c>
      <c r="B421" s="1" t="s">
        <v>274</v>
      </c>
      <c r="C421" s="1" t="s">
        <v>472</v>
      </c>
      <c r="D421" s="2">
        <v>42067.441921296297</v>
      </c>
      <c r="E421" s="2">
        <v>42067.441990740743</v>
      </c>
      <c r="F421" s="1">
        <v>1</v>
      </c>
      <c r="G421" s="1">
        <v>0</v>
      </c>
      <c r="H421" s="1">
        <v>14</v>
      </c>
      <c r="I421" s="1">
        <v>1</v>
      </c>
      <c r="J421" s="1">
        <v>1</v>
      </c>
      <c r="K421" s="1">
        <v>7</v>
      </c>
      <c r="L421" s="4">
        <v>50.4</v>
      </c>
      <c r="M421" s="3" t="str">
        <f t="shared" si="57"/>
        <v>Mar</v>
      </c>
      <c r="N421" s="2">
        <v>42067.441944444443</v>
      </c>
      <c r="O421" s="1">
        <f t="shared" si="54"/>
        <v>4</v>
      </c>
      <c r="P421" s="1">
        <f t="shared" si="55"/>
        <v>4</v>
      </c>
      <c r="Q421" s="1">
        <f t="shared" si="56"/>
        <v>10</v>
      </c>
      <c r="S421"/>
      <c r="T421"/>
      <c r="U421"/>
    </row>
    <row r="422" spans="1:21" s="1" customFormat="1" x14ac:dyDescent="0.25">
      <c r="A422" s="1">
        <v>439</v>
      </c>
      <c r="B422" s="1" t="s">
        <v>103</v>
      </c>
      <c r="C422" s="1" t="s">
        <v>473</v>
      </c>
      <c r="D422" s="2">
        <v>42030.481712962966</v>
      </c>
      <c r="E422" s="2">
        <v>42058.70921296296</v>
      </c>
      <c r="F422" s="1">
        <v>16</v>
      </c>
      <c r="G422" s="1">
        <v>12</v>
      </c>
      <c r="H422" s="1">
        <v>10</v>
      </c>
      <c r="I422" s="1">
        <v>12</v>
      </c>
      <c r="J422" s="1">
        <v>1</v>
      </c>
      <c r="K422" s="1">
        <v>7</v>
      </c>
      <c r="L422" s="4">
        <v>50.4</v>
      </c>
      <c r="M422" s="3" t="str">
        <f t="shared" si="57"/>
        <v>Jan</v>
      </c>
      <c r="N422" s="2">
        <v>42030.50136574074</v>
      </c>
      <c r="O422" s="1">
        <f t="shared" si="54"/>
        <v>26</v>
      </c>
      <c r="P422" s="1">
        <f t="shared" si="55"/>
        <v>2</v>
      </c>
      <c r="Q422" s="1">
        <f t="shared" si="56"/>
        <v>12</v>
      </c>
      <c r="S422"/>
      <c r="T422"/>
      <c r="U422"/>
    </row>
    <row r="423" spans="1:21" s="1" customFormat="1" x14ac:dyDescent="0.25">
      <c r="A423" s="1">
        <v>440</v>
      </c>
      <c r="B423" s="1" t="s">
        <v>107</v>
      </c>
      <c r="C423" s="1" t="s">
        <v>474</v>
      </c>
      <c r="D423" s="2">
        <v>42075.400405092594</v>
      </c>
      <c r="E423" s="2">
        <v>42075.400462962964</v>
      </c>
      <c r="F423" s="1">
        <v>1</v>
      </c>
      <c r="G423" s="1">
        <v>0</v>
      </c>
      <c r="H423" s="1">
        <v>8</v>
      </c>
      <c r="I423" s="1">
        <v>1</v>
      </c>
      <c r="J423" s="1">
        <v>1</v>
      </c>
      <c r="K423" s="1">
        <v>4</v>
      </c>
      <c r="L423" s="4">
        <v>28.8</v>
      </c>
      <c r="M423" s="3" t="str">
        <f t="shared" si="57"/>
        <v>Mar</v>
      </c>
      <c r="N423" s="2">
        <v>42075.400416666664</v>
      </c>
      <c r="O423" s="1">
        <f t="shared" si="54"/>
        <v>12</v>
      </c>
      <c r="P423" s="1">
        <f t="shared" si="55"/>
        <v>5</v>
      </c>
      <c r="Q423" s="1">
        <f t="shared" si="56"/>
        <v>9</v>
      </c>
      <c r="S423"/>
      <c r="T423"/>
      <c r="U423"/>
    </row>
    <row r="424" spans="1:21" s="1" customFormat="1" x14ac:dyDescent="0.25">
      <c r="A424" s="1">
        <v>441</v>
      </c>
      <c r="B424" s="1" t="s">
        <v>85</v>
      </c>
      <c r="C424" s="1" t="s">
        <v>475</v>
      </c>
      <c r="D424" s="2">
        <v>42162.863113425927</v>
      </c>
      <c r="E424" s="2">
        <v>42162.696527777778</v>
      </c>
      <c r="F424" s="1">
        <v>1</v>
      </c>
      <c r="G424" s="1">
        <v>0</v>
      </c>
      <c r="H424" s="1">
        <v>4</v>
      </c>
      <c r="I424" s="1">
        <v>2</v>
      </c>
      <c r="J424" s="1">
        <v>1</v>
      </c>
      <c r="K424" s="1">
        <v>2</v>
      </c>
      <c r="L424" s="3">
        <v>36</v>
      </c>
      <c r="M424" s="3" t="str">
        <f t="shared" si="57"/>
        <v>Jun</v>
      </c>
      <c r="N424" s="2">
        <v>42162.696469907409</v>
      </c>
      <c r="O424" s="1">
        <f t="shared" si="54"/>
        <v>7</v>
      </c>
      <c r="P424" s="1">
        <f t="shared" si="55"/>
        <v>1</v>
      </c>
      <c r="Q424" s="1">
        <f t="shared" si="56"/>
        <v>16</v>
      </c>
      <c r="S424"/>
      <c r="T424"/>
      <c r="U424"/>
    </row>
    <row r="425" spans="1:21" s="1" customFormat="1" x14ac:dyDescent="0.25">
      <c r="A425" s="1">
        <v>442</v>
      </c>
      <c r="B425" s="1" t="s">
        <v>476</v>
      </c>
      <c r="C425" s="1" t="s">
        <v>477</v>
      </c>
      <c r="D425" s="2">
        <v>42140.213090277779</v>
      </c>
      <c r="E425" s="2">
        <v>42140.213125000002</v>
      </c>
      <c r="F425" s="1">
        <v>1</v>
      </c>
      <c r="G425" s="1">
        <v>2</v>
      </c>
      <c r="H425" s="1">
        <v>2</v>
      </c>
      <c r="I425" s="1">
        <v>5</v>
      </c>
      <c r="J425" s="1">
        <v>1</v>
      </c>
      <c r="K425" s="1">
        <v>4</v>
      </c>
      <c r="L425" s="4">
        <v>28.8</v>
      </c>
      <c r="M425" s="3" t="str">
        <f t="shared" si="57"/>
        <v>May</v>
      </c>
      <c r="N425" s="2">
        <v>42140.213090277779</v>
      </c>
      <c r="O425" s="1">
        <f t="shared" si="54"/>
        <v>16</v>
      </c>
      <c r="P425" s="1">
        <f t="shared" si="55"/>
        <v>7</v>
      </c>
      <c r="Q425" s="1">
        <f t="shared" si="56"/>
        <v>5</v>
      </c>
      <c r="S425"/>
      <c r="T425"/>
      <c r="U425"/>
    </row>
    <row r="426" spans="1:21" s="1" customFormat="1" x14ac:dyDescent="0.25">
      <c r="A426" s="1">
        <v>444</v>
      </c>
      <c r="B426" s="1" t="s">
        <v>147</v>
      </c>
      <c r="C426" s="1" t="s">
        <v>471</v>
      </c>
      <c r="D426" s="2">
        <v>41537.80909722222</v>
      </c>
      <c r="E426" s="2">
        <v>42191.971377314818</v>
      </c>
      <c r="F426" s="1">
        <v>2</v>
      </c>
      <c r="G426" s="1">
        <v>0</v>
      </c>
      <c r="H426" s="1">
        <v>2</v>
      </c>
      <c r="I426" s="1">
        <v>3</v>
      </c>
      <c r="J426" s="1">
        <v>1</v>
      </c>
      <c r="K426" s="1">
        <v>1</v>
      </c>
      <c r="L426" s="3">
        <v>28.8</v>
      </c>
      <c r="M426" s="3" t="str">
        <f t="shared" si="57"/>
        <v>Jul</v>
      </c>
      <c r="N426" s="2">
        <v>42191.97252314815</v>
      </c>
      <c r="O426" s="1">
        <f t="shared" ref="O426:O460" si="58">DAY(N426)</f>
        <v>6</v>
      </c>
      <c r="P426" s="1">
        <f t="shared" ref="P426:P460" si="59">WEEKDAY(N426,1)</f>
        <v>2</v>
      </c>
      <c r="Q426" s="1">
        <f t="shared" ref="Q426:Q460" si="60">HOUR(N426)</f>
        <v>23</v>
      </c>
      <c r="S426"/>
      <c r="T426"/>
      <c r="U426"/>
    </row>
    <row r="427" spans="1:21" s="1" customFormat="1" x14ac:dyDescent="0.25">
      <c r="A427" s="1">
        <v>445</v>
      </c>
      <c r="D427" s="2">
        <v>42047.623900462961</v>
      </c>
      <c r="E427" s="2">
        <v>42047.733240740738</v>
      </c>
      <c r="F427" s="1">
        <v>3</v>
      </c>
      <c r="G427" s="1">
        <v>0</v>
      </c>
      <c r="H427" s="1">
        <v>2</v>
      </c>
      <c r="I427" s="1">
        <v>3</v>
      </c>
      <c r="J427" s="1">
        <v>1</v>
      </c>
      <c r="K427" s="1">
        <v>1</v>
      </c>
      <c r="L427" s="4">
        <v>27</v>
      </c>
      <c r="M427" s="3" t="str">
        <f t="shared" si="57"/>
        <v>Feb</v>
      </c>
      <c r="N427" s="2">
        <v>42047.624872685185</v>
      </c>
      <c r="O427" s="1">
        <f t="shared" si="58"/>
        <v>12</v>
      </c>
      <c r="P427" s="1">
        <f t="shared" si="59"/>
        <v>5</v>
      </c>
      <c r="Q427" s="1">
        <f t="shared" si="60"/>
        <v>14</v>
      </c>
      <c r="S427"/>
      <c r="T427"/>
      <c r="U427"/>
    </row>
    <row r="428" spans="1:21" s="1" customFormat="1" x14ac:dyDescent="0.25">
      <c r="A428" s="1">
        <v>446</v>
      </c>
      <c r="B428" s="1" t="s">
        <v>100</v>
      </c>
      <c r="C428" s="1" t="s">
        <v>478</v>
      </c>
      <c r="D428" s="2">
        <v>42088.702569444446</v>
      </c>
      <c r="E428" s="2">
        <v>42088.702604166669</v>
      </c>
      <c r="F428" s="1">
        <v>1</v>
      </c>
      <c r="G428" s="1">
        <v>1</v>
      </c>
      <c r="H428" s="1">
        <v>8</v>
      </c>
      <c r="I428" s="1">
        <v>3</v>
      </c>
      <c r="J428" s="1">
        <v>1</v>
      </c>
      <c r="K428" s="1">
        <v>2</v>
      </c>
      <c r="L428" s="4">
        <v>52.8</v>
      </c>
      <c r="M428" s="3" t="str">
        <f t="shared" si="57"/>
        <v>Mar</v>
      </c>
      <c r="N428" s="2">
        <v>42088.707268518519</v>
      </c>
      <c r="O428" s="1">
        <f t="shared" si="58"/>
        <v>25</v>
      </c>
      <c r="P428" s="1">
        <f t="shared" si="59"/>
        <v>4</v>
      </c>
      <c r="Q428" s="1">
        <f t="shared" si="60"/>
        <v>16</v>
      </c>
      <c r="S428"/>
      <c r="T428"/>
      <c r="U428"/>
    </row>
    <row r="429" spans="1:21" s="1" customFormat="1" x14ac:dyDescent="0.25">
      <c r="A429" s="1">
        <v>447</v>
      </c>
      <c r="B429" s="1" t="s">
        <v>96</v>
      </c>
      <c r="C429" s="1" t="s">
        <v>479</v>
      </c>
      <c r="D429" s="2">
        <v>42031.648738425924</v>
      </c>
      <c r="E429" s="2">
        <v>42076.763715277775</v>
      </c>
      <c r="F429" s="1">
        <v>6</v>
      </c>
      <c r="G429" s="1">
        <v>1</v>
      </c>
      <c r="H429" s="1">
        <v>11</v>
      </c>
      <c r="I429" s="1">
        <v>9</v>
      </c>
      <c r="J429" s="1">
        <v>3</v>
      </c>
      <c r="K429" s="1">
        <v>9</v>
      </c>
      <c r="L429" s="4">
        <v>18</v>
      </c>
      <c r="M429" s="3" t="str">
        <f t="shared" si="57"/>
        <v>Jan</v>
      </c>
      <c r="N429" s="2">
        <v>42031.648761574077</v>
      </c>
      <c r="O429" s="1">
        <f t="shared" si="58"/>
        <v>27</v>
      </c>
      <c r="P429" s="1">
        <f t="shared" si="59"/>
        <v>3</v>
      </c>
      <c r="Q429" s="1">
        <f t="shared" si="60"/>
        <v>15</v>
      </c>
      <c r="S429"/>
      <c r="T429"/>
      <c r="U429"/>
    </row>
    <row r="430" spans="1:21" s="1" customFormat="1" x14ac:dyDescent="0.25">
      <c r="A430" s="1">
        <v>448</v>
      </c>
      <c r="B430" s="1" t="s">
        <v>103</v>
      </c>
      <c r="C430" s="1" t="s">
        <v>480</v>
      </c>
      <c r="D430" s="2">
        <v>42259.861608796295</v>
      </c>
      <c r="E430" s="2">
        <v>42260.641261574077</v>
      </c>
      <c r="F430" s="1">
        <v>2</v>
      </c>
      <c r="G430" s="1">
        <v>0</v>
      </c>
      <c r="H430" s="1">
        <v>2</v>
      </c>
      <c r="I430" s="1">
        <v>23</v>
      </c>
      <c r="J430" s="1">
        <v>1</v>
      </c>
      <c r="K430" s="1">
        <v>1</v>
      </c>
      <c r="L430" s="3">
        <v>29.92</v>
      </c>
      <c r="M430" s="3" t="str">
        <f t="shared" si="57"/>
        <v>Sep</v>
      </c>
      <c r="N430" s="2">
        <v>42259.862453703703</v>
      </c>
      <c r="O430" s="1">
        <f t="shared" si="58"/>
        <v>12</v>
      </c>
      <c r="P430" s="1">
        <f t="shared" si="59"/>
        <v>7</v>
      </c>
      <c r="Q430" s="1">
        <f t="shared" si="60"/>
        <v>20</v>
      </c>
      <c r="S430"/>
      <c r="T430"/>
      <c r="U430"/>
    </row>
    <row r="431" spans="1:21" s="1" customFormat="1" x14ac:dyDescent="0.25">
      <c r="A431" s="1">
        <v>449</v>
      </c>
      <c r="B431" s="1" t="s">
        <v>131</v>
      </c>
      <c r="C431" s="1" t="s">
        <v>481</v>
      </c>
      <c r="D431" s="2">
        <v>42039.334293981483</v>
      </c>
      <c r="E431" s="2">
        <v>42039.334363425929</v>
      </c>
      <c r="F431" s="1">
        <v>1</v>
      </c>
      <c r="G431" s="1">
        <v>2</v>
      </c>
      <c r="H431" s="1">
        <v>4</v>
      </c>
      <c r="I431" s="1">
        <v>1</v>
      </c>
      <c r="J431" s="1">
        <v>1</v>
      </c>
      <c r="K431" s="1">
        <v>2</v>
      </c>
      <c r="L431" s="4">
        <v>18</v>
      </c>
      <c r="M431" s="3" t="str">
        <f t="shared" si="57"/>
        <v>Feb</v>
      </c>
      <c r="N431" s="2">
        <v>42039.334317129629</v>
      </c>
      <c r="O431" s="1">
        <f t="shared" si="58"/>
        <v>4</v>
      </c>
      <c r="P431" s="1">
        <f t="shared" si="59"/>
        <v>4</v>
      </c>
      <c r="Q431" s="1">
        <f t="shared" si="60"/>
        <v>8</v>
      </c>
      <c r="S431"/>
      <c r="T431"/>
      <c r="U431"/>
    </row>
    <row r="432" spans="1:21" s="1" customFormat="1" x14ac:dyDescent="0.25">
      <c r="A432" s="1">
        <v>450</v>
      </c>
      <c r="B432" s="1" t="s">
        <v>274</v>
      </c>
      <c r="C432" s="1" t="s">
        <v>482</v>
      </c>
      <c r="D432" s="2">
        <v>42212.67396990741</v>
      </c>
      <c r="E432" s="2">
        <v>42212.674016203702</v>
      </c>
      <c r="F432" s="1">
        <v>1</v>
      </c>
      <c r="G432" s="1">
        <v>0</v>
      </c>
      <c r="H432" s="1">
        <v>2</v>
      </c>
      <c r="I432" s="1">
        <v>2</v>
      </c>
      <c r="J432" s="1">
        <v>1</v>
      </c>
      <c r="K432" s="1">
        <v>1</v>
      </c>
      <c r="L432" s="3">
        <v>29.92</v>
      </c>
      <c r="M432" s="3" t="str">
        <f t="shared" si="57"/>
        <v>Jul</v>
      </c>
      <c r="N432" s="2">
        <v>42212.673981481479</v>
      </c>
      <c r="O432" s="1">
        <f t="shared" si="58"/>
        <v>27</v>
      </c>
      <c r="P432" s="1">
        <f t="shared" si="59"/>
        <v>2</v>
      </c>
      <c r="Q432" s="1">
        <f t="shared" si="60"/>
        <v>16</v>
      </c>
      <c r="S432"/>
      <c r="T432"/>
      <c r="U432"/>
    </row>
    <row r="433" spans="1:21" s="1" customFormat="1" x14ac:dyDescent="0.25">
      <c r="A433" s="1">
        <v>451</v>
      </c>
      <c r="B433" s="1" t="s">
        <v>245</v>
      </c>
      <c r="C433" s="1" t="s">
        <v>483</v>
      </c>
      <c r="D433" s="2">
        <v>42121.47383101852</v>
      </c>
      <c r="E433" s="2">
        <v>42124.885775462964</v>
      </c>
      <c r="F433" s="1">
        <v>4</v>
      </c>
      <c r="G433" s="1">
        <v>1</v>
      </c>
      <c r="H433" s="1">
        <v>7</v>
      </c>
      <c r="I433" s="1">
        <v>8</v>
      </c>
      <c r="J433" s="1">
        <v>1</v>
      </c>
      <c r="K433" s="1">
        <v>2</v>
      </c>
      <c r="L433" s="4">
        <v>18</v>
      </c>
      <c r="M433" s="3" t="str">
        <f t="shared" si="57"/>
        <v>Apr</v>
      </c>
      <c r="N433" s="2">
        <v>42122.370208333334</v>
      </c>
      <c r="O433" s="1">
        <f t="shared" si="58"/>
        <v>28</v>
      </c>
      <c r="P433" s="1">
        <f t="shared" si="59"/>
        <v>3</v>
      </c>
      <c r="Q433" s="1">
        <f t="shared" si="60"/>
        <v>8</v>
      </c>
      <c r="S433"/>
      <c r="T433"/>
      <c r="U433"/>
    </row>
    <row r="434" spans="1:21" s="1" customFormat="1" x14ac:dyDescent="0.25">
      <c r="A434" s="1">
        <v>452</v>
      </c>
      <c r="B434" s="1" t="s">
        <v>119</v>
      </c>
      <c r="C434" s="1" t="s">
        <v>484</v>
      </c>
      <c r="D434" s="2">
        <v>42070.932280092595</v>
      </c>
      <c r="E434" s="2">
        <v>42070.932349537034</v>
      </c>
      <c r="F434" s="1">
        <v>1</v>
      </c>
      <c r="G434" s="1">
        <v>0</v>
      </c>
      <c r="H434" s="1">
        <v>10</v>
      </c>
      <c r="I434" s="1">
        <v>2</v>
      </c>
      <c r="J434" s="1">
        <v>1</v>
      </c>
      <c r="K434" s="1">
        <v>4</v>
      </c>
      <c r="L434" s="4">
        <v>28.8</v>
      </c>
      <c r="M434" s="3" t="str">
        <f t="shared" si="57"/>
        <v>Mar</v>
      </c>
      <c r="N434" s="2">
        <v>42070.932291666664</v>
      </c>
      <c r="O434" s="1">
        <f t="shared" si="58"/>
        <v>7</v>
      </c>
      <c r="P434" s="1">
        <f t="shared" si="59"/>
        <v>7</v>
      </c>
      <c r="Q434" s="1">
        <f t="shared" si="60"/>
        <v>22</v>
      </c>
      <c r="S434"/>
      <c r="T434"/>
      <c r="U434"/>
    </row>
    <row r="435" spans="1:21" s="1" customFormat="1" x14ac:dyDescent="0.25">
      <c r="A435" s="1">
        <v>453</v>
      </c>
      <c r="D435" s="2">
        <v>42211.104513888888</v>
      </c>
      <c r="E435" s="2">
        <v>42210.937858796293</v>
      </c>
      <c r="F435" s="1">
        <v>1</v>
      </c>
      <c r="G435" s="1">
        <v>5</v>
      </c>
      <c r="H435" s="1">
        <v>7</v>
      </c>
      <c r="I435" s="1">
        <v>1</v>
      </c>
      <c r="J435" s="1">
        <v>1</v>
      </c>
      <c r="K435" s="1">
        <v>2</v>
      </c>
      <c r="L435" s="3">
        <v>59.84</v>
      </c>
      <c r="M435" s="3" t="str">
        <f t="shared" si="57"/>
        <v>Jul</v>
      </c>
      <c r="N435" s="2">
        <v>42210.945231481484</v>
      </c>
      <c r="O435" s="1">
        <f t="shared" si="58"/>
        <v>25</v>
      </c>
      <c r="P435" s="1">
        <f t="shared" si="59"/>
        <v>7</v>
      </c>
      <c r="Q435" s="1">
        <f t="shared" si="60"/>
        <v>22</v>
      </c>
      <c r="S435"/>
      <c r="T435"/>
      <c r="U435"/>
    </row>
    <row r="436" spans="1:21" s="1" customFormat="1" x14ac:dyDescent="0.25">
      <c r="A436" s="1">
        <v>454</v>
      </c>
      <c r="B436" s="1" t="s">
        <v>100</v>
      </c>
      <c r="C436" s="1" t="s">
        <v>485</v>
      </c>
      <c r="D436" s="2">
        <v>42155.489942129629</v>
      </c>
      <c r="E436" s="2">
        <v>42155.490046296298</v>
      </c>
      <c r="F436" s="1">
        <v>1</v>
      </c>
      <c r="G436" s="1">
        <v>2</v>
      </c>
      <c r="H436" s="1">
        <v>4</v>
      </c>
      <c r="I436" s="1">
        <v>2</v>
      </c>
      <c r="J436" s="1">
        <v>1</v>
      </c>
      <c r="K436" s="1">
        <v>2</v>
      </c>
      <c r="L436" s="3">
        <v>14.4</v>
      </c>
      <c r="M436" s="3" t="str">
        <f t="shared" si="57"/>
        <v>May</v>
      </c>
      <c r="N436" s="2">
        <v>42155.489953703705</v>
      </c>
      <c r="O436" s="1">
        <f t="shared" si="58"/>
        <v>31</v>
      </c>
      <c r="P436" s="1">
        <f t="shared" si="59"/>
        <v>1</v>
      </c>
      <c r="Q436" s="1">
        <f t="shared" si="60"/>
        <v>11</v>
      </c>
      <c r="S436"/>
      <c r="T436"/>
      <c r="U436"/>
    </row>
    <row r="437" spans="1:21" s="1" customFormat="1" x14ac:dyDescent="0.25">
      <c r="A437" s="1">
        <v>455</v>
      </c>
      <c r="D437" s="2">
        <v>42018.554027777776</v>
      </c>
      <c r="E437" s="2">
        <v>42031.68990740741</v>
      </c>
      <c r="F437" s="1">
        <v>16</v>
      </c>
      <c r="G437" s="1">
        <v>0</v>
      </c>
      <c r="H437" s="1">
        <v>2</v>
      </c>
      <c r="I437" s="1">
        <v>13</v>
      </c>
      <c r="J437" s="1">
        <v>1</v>
      </c>
      <c r="K437" s="1">
        <v>2</v>
      </c>
      <c r="L437" s="4">
        <v>115.2</v>
      </c>
      <c r="M437" s="3" t="str">
        <f t="shared" si="57"/>
        <v>Jan</v>
      </c>
      <c r="N437" s="2">
        <v>42021.433865740742</v>
      </c>
      <c r="O437" s="1">
        <f t="shared" si="58"/>
        <v>17</v>
      </c>
      <c r="P437" s="1">
        <f t="shared" si="59"/>
        <v>7</v>
      </c>
      <c r="Q437" s="1">
        <f t="shared" si="60"/>
        <v>10</v>
      </c>
      <c r="S437"/>
      <c r="T437"/>
      <c r="U437"/>
    </row>
    <row r="438" spans="1:21" s="1" customFormat="1" x14ac:dyDescent="0.25">
      <c r="A438" s="1">
        <v>456</v>
      </c>
      <c r="B438" s="1" t="s">
        <v>107</v>
      </c>
      <c r="C438" s="1" t="s">
        <v>486</v>
      </c>
      <c r="D438" s="2">
        <v>42259.312835648147</v>
      </c>
      <c r="E438" s="2">
        <v>42259.312881944446</v>
      </c>
      <c r="F438" s="1">
        <v>1</v>
      </c>
      <c r="G438" s="1">
        <v>0</v>
      </c>
      <c r="H438" s="1">
        <v>4</v>
      </c>
      <c r="I438" s="1">
        <v>2</v>
      </c>
      <c r="J438" s="1">
        <v>1</v>
      </c>
      <c r="K438" s="1">
        <v>1</v>
      </c>
      <c r="L438" s="3">
        <v>29.92</v>
      </c>
      <c r="M438" s="3" t="str">
        <f t="shared" si="57"/>
        <v>Sep</v>
      </c>
      <c r="N438" s="2">
        <v>42259.312835648147</v>
      </c>
      <c r="O438" s="1">
        <f t="shared" si="58"/>
        <v>12</v>
      </c>
      <c r="P438" s="1">
        <f t="shared" si="59"/>
        <v>7</v>
      </c>
      <c r="Q438" s="1">
        <f t="shared" si="60"/>
        <v>7</v>
      </c>
      <c r="S438"/>
      <c r="T438"/>
      <c r="U438"/>
    </row>
    <row r="439" spans="1:21" s="1" customFormat="1" x14ac:dyDescent="0.25">
      <c r="A439" s="1">
        <v>457</v>
      </c>
      <c r="B439" s="1" t="s">
        <v>274</v>
      </c>
      <c r="C439" s="1" t="s">
        <v>487</v>
      </c>
      <c r="D439" s="2">
        <v>42081.316307870373</v>
      </c>
      <c r="E439" s="2">
        <v>42081.316365740742</v>
      </c>
      <c r="F439" s="1">
        <v>1</v>
      </c>
      <c r="G439" s="1">
        <v>0</v>
      </c>
      <c r="H439" s="1">
        <v>2</v>
      </c>
      <c r="I439" s="1">
        <v>2</v>
      </c>
      <c r="J439" s="1">
        <v>1</v>
      </c>
      <c r="K439" s="1">
        <v>1</v>
      </c>
      <c r="L439" s="4">
        <v>57.6</v>
      </c>
      <c r="M439" s="3" t="str">
        <f t="shared" si="57"/>
        <v>Mar</v>
      </c>
      <c r="N439" s="2">
        <v>42081.316319444442</v>
      </c>
      <c r="O439" s="1">
        <f t="shared" si="58"/>
        <v>18</v>
      </c>
      <c r="P439" s="1">
        <f t="shared" si="59"/>
        <v>4</v>
      </c>
      <c r="Q439" s="1">
        <f t="shared" si="60"/>
        <v>7</v>
      </c>
      <c r="S439"/>
      <c r="T439"/>
      <c r="U439"/>
    </row>
    <row r="440" spans="1:21" s="1" customFormat="1" x14ac:dyDescent="0.25">
      <c r="A440" s="1">
        <v>458</v>
      </c>
      <c r="B440" s="1" t="s">
        <v>116</v>
      </c>
      <c r="C440" s="1" t="s">
        <v>488</v>
      </c>
      <c r="D440" s="2">
        <v>42191.759375000001</v>
      </c>
      <c r="E440" s="2">
        <v>42191.759409722225</v>
      </c>
      <c r="F440" s="1">
        <v>1</v>
      </c>
      <c r="G440" s="1">
        <v>2</v>
      </c>
      <c r="H440" s="1">
        <v>6</v>
      </c>
      <c r="I440" s="1">
        <v>3</v>
      </c>
      <c r="J440" s="1">
        <v>1</v>
      </c>
      <c r="K440" s="1">
        <v>1</v>
      </c>
      <c r="L440" s="3">
        <v>28.8</v>
      </c>
      <c r="M440" s="3" t="str">
        <f t="shared" si="57"/>
        <v>Jul</v>
      </c>
      <c r="N440" s="2">
        <v>42191.759375000001</v>
      </c>
      <c r="O440" s="1">
        <f t="shared" si="58"/>
        <v>6</v>
      </c>
      <c r="P440" s="1">
        <f t="shared" si="59"/>
        <v>2</v>
      </c>
      <c r="Q440" s="1">
        <f t="shared" si="60"/>
        <v>18</v>
      </c>
      <c r="S440"/>
      <c r="T440"/>
      <c r="U440"/>
    </row>
    <row r="441" spans="1:21" s="1" customFormat="1" x14ac:dyDescent="0.25">
      <c r="A441" s="1">
        <v>459</v>
      </c>
      <c r="B441" s="1" t="s">
        <v>76</v>
      </c>
      <c r="C441" s="1" t="s">
        <v>489</v>
      </c>
      <c r="D441" s="2">
        <v>42069.518090277779</v>
      </c>
      <c r="E441" s="2">
        <v>42069.518194444441</v>
      </c>
      <c r="F441" s="1">
        <v>1</v>
      </c>
      <c r="G441" s="1">
        <v>0</v>
      </c>
      <c r="H441" s="1">
        <v>10</v>
      </c>
      <c r="I441" s="1">
        <v>11</v>
      </c>
      <c r="J441" s="1">
        <v>1</v>
      </c>
      <c r="K441" s="1">
        <v>1</v>
      </c>
      <c r="L441" s="4">
        <v>28.8</v>
      </c>
      <c r="M441" s="3" t="str">
        <f t="shared" si="57"/>
        <v>Mar</v>
      </c>
      <c r="N441" s="2">
        <v>42069.518090277779</v>
      </c>
      <c r="O441" s="1">
        <f t="shared" si="58"/>
        <v>6</v>
      </c>
      <c r="P441" s="1">
        <f t="shared" si="59"/>
        <v>6</v>
      </c>
      <c r="Q441" s="1">
        <f t="shared" si="60"/>
        <v>12</v>
      </c>
      <c r="S441"/>
      <c r="T441"/>
      <c r="U441"/>
    </row>
    <row r="442" spans="1:21" s="1" customFormat="1" x14ac:dyDescent="0.25">
      <c r="A442" s="1">
        <v>460</v>
      </c>
      <c r="B442" s="1" t="s">
        <v>85</v>
      </c>
      <c r="C442" s="1" t="s">
        <v>490</v>
      </c>
      <c r="D442" s="2">
        <v>42206.135833333334</v>
      </c>
      <c r="E442" s="2">
        <v>42205.969178240739</v>
      </c>
      <c r="F442" s="1">
        <v>2</v>
      </c>
      <c r="G442" s="1">
        <v>0</v>
      </c>
      <c r="H442" s="1">
        <v>1</v>
      </c>
      <c r="I442" s="1">
        <v>2</v>
      </c>
      <c r="J442" s="1">
        <v>1</v>
      </c>
      <c r="K442" s="1">
        <v>1</v>
      </c>
      <c r="L442" s="3">
        <v>30.6</v>
      </c>
      <c r="M442" s="3" t="str">
        <f t="shared" si="57"/>
        <v>Jul</v>
      </c>
      <c r="N442" s="2">
        <v>42205.970763888887</v>
      </c>
      <c r="O442" s="1">
        <f t="shared" si="58"/>
        <v>20</v>
      </c>
      <c r="P442" s="1">
        <f t="shared" si="59"/>
        <v>2</v>
      </c>
      <c r="Q442" s="1">
        <f t="shared" si="60"/>
        <v>23</v>
      </c>
      <c r="S442"/>
      <c r="T442"/>
      <c r="U442"/>
    </row>
    <row r="443" spans="1:21" s="1" customFormat="1" x14ac:dyDescent="0.25">
      <c r="A443" s="1">
        <v>461</v>
      </c>
      <c r="B443" s="1" t="s">
        <v>119</v>
      </c>
      <c r="C443" s="1" t="s">
        <v>491</v>
      </c>
      <c r="D443" s="2">
        <v>42230.426342592589</v>
      </c>
      <c r="E443" s="2">
        <v>42230.914409722223</v>
      </c>
      <c r="F443" s="1">
        <v>6</v>
      </c>
      <c r="G443" s="1">
        <v>4</v>
      </c>
      <c r="H443" s="1">
        <v>4</v>
      </c>
      <c r="I443" s="1">
        <v>2</v>
      </c>
      <c r="J443" s="1">
        <v>1</v>
      </c>
      <c r="K443" s="1">
        <v>1</v>
      </c>
      <c r="L443" s="3">
        <v>37.4</v>
      </c>
      <c r="M443" s="3" t="str">
        <f t="shared" si="57"/>
        <v>Aug</v>
      </c>
      <c r="N443" s="2">
        <v>42230.426342592589</v>
      </c>
      <c r="O443" s="1">
        <f t="shared" si="58"/>
        <v>14</v>
      </c>
      <c r="P443" s="1">
        <f t="shared" si="59"/>
        <v>6</v>
      </c>
      <c r="Q443" s="1">
        <f t="shared" si="60"/>
        <v>10</v>
      </c>
      <c r="S443"/>
      <c r="T443"/>
      <c r="U443"/>
    </row>
    <row r="444" spans="1:21" s="1" customFormat="1" x14ac:dyDescent="0.25">
      <c r="A444" s="1">
        <v>462</v>
      </c>
      <c r="B444" s="1" t="s">
        <v>441</v>
      </c>
      <c r="C444" s="1" t="s">
        <v>492</v>
      </c>
      <c r="D444" s="2">
        <v>42166.958587962959</v>
      </c>
      <c r="E444" s="2">
        <v>42166.958680555559</v>
      </c>
      <c r="F444" s="1">
        <v>1</v>
      </c>
      <c r="G444" s="1">
        <v>10</v>
      </c>
      <c r="H444" s="1">
        <v>13</v>
      </c>
      <c r="I444" s="1">
        <v>3</v>
      </c>
      <c r="J444" s="1">
        <v>1</v>
      </c>
      <c r="K444" s="1">
        <v>8</v>
      </c>
      <c r="L444" s="3">
        <v>54</v>
      </c>
      <c r="M444" s="3" t="str">
        <f t="shared" si="57"/>
        <v>Jun</v>
      </c>
      <c r="N444" s="2">
        <v>42166.958599537036</v>
      </c>
      <c r="O444" s="1">
        <f t="shared" si="58"/>
        <v>11</v>
      </c>
      <c r="P444" s="1">
        <f t="shared" si="59"/>
        <v>5</v>
      </c>
      <c r="Q444" s="1">
        <f t="shared" si="60"/>
        <v>23</v>
      </c>
      <c r="S444"/>
      <c r="T444"/>
      <c r="U444"/>
    </row>
    <row r="445" spans="1:21" s="1" customFormat="1" x14ac:dyDescent="0.25">
      <c r="A445" s="1">
        <v>463</v>
      </c>
      <c r="B445" s="1" t="s">
        <v>109</v>
      </c>
      <c r="C445" s="1" t="s">
        <v>493</v>
      </c>
      <c r="D445" s="2">
        <v>42022.494756944441</v>
      </c>
      <c r="E445" s="2">
        <v>42027.316111111111</v>
      </c>
      <c r="F445" s="1">
        <v>2</v>
      </c>
      <c r="G445" s="1">
        <v>0</v>
      </c>
      <c r="H445" s="1">
        <v>4</v>
      </c>
      <c r="I445" s="1">
        <v>4</v>
      </c>
      <c r="J445" s="1">
        <v>1</v>
      </c>
      <c r="K445" s="1">
        <v>2</v>
      </c>
      <c r="L445" s="4">
        <v>9</v>
      </c>
      <c r="M445" s="3" t="str">
        <f t="shared" si="57"/>
        <v>Jan</v>
      </c>
      <c r="N445" s="2">
        <v>42022.494780092595</v>
      </c>
      <c r="O445" s="1">
        <f t="shared" si="58"/>
        <v>18</v>
      </c>
      <c r="P445" s="1">
        <f t="shared" si="59"/>
        <v>1</v>
      </c>
      <c r="Q445" s="1">
        <f t="shared" si="60"/>
        <v>11</v>
      </c>
      <c r="S445"/>
      <c r="T445"/>
      <c r="U445"/>
    </row>
    <row r="446" spans="1:21" s="1" customFormat="1" x14ac:dyDescent="0.25">
      <c r="A446" s="1">
        <v>464</v>
      </c>
      <c r="B446" s="1" t="s">
        <v>147</v>
      </c>
      <c r="C446" s="1" t="s">
        <v>292</v>
      </c>
      <c r="D446" s="2">
        <v>42227.808113425926</v>
      </c>
      <c r="E446" s="2">
        <v>42227.641504629632</v>
      </c>
      <c r="F446" s="1">
        <v>1</v>
      </c>
      <c r="G446" s="1">
        <v>0</v>
      </c>
      <c r="H446" s="1">
        <v>2</v>
      </c>
      <c r="I446" s="1">
        <v>2</v>
      </c>
      <c r="J446" s="1">
        <v>1</v>
      </c>
      <c r="K446" s="1">
        <v>1</v>
      </c>
      <c r="L446" s="3">
        <v>32.64</v>
      </c>
      <c r="M446" s="3" t="str">
        <f t="shared" si="57"/>
        <v>Aug</v>
      </c>
      <c r="N446" s="2">
        <v>42227.641446759262</v>
      </c>
      <c r="O446" s="1">
        <f t="shared" si="58"/>
        <v>11</v>
      </c>
      <c r="P446" s="1">
        <f t="shared" si="59"/>
        <v>3</v>
      </c>
      <c r="Q446" s="1">
        <f t="shared" si="60"/>
        <v>15</v>
      </c>
      <c r="S446"/>
      <c r="T446"/>
      <c r="U446"/>
    </row>
    <row r="447" spans="1:21" s="1" customFormat="1" x14ac:dyDescent="0.25">
      <c r="A447" s="1">
        <v>465</v>
      </c>
      <c r="B447" s="1" t="s">
        <v>91</v>
      </c>
      <c r="C447" s="1" t="s">
        <v>494</v>
      </c>
      <c r="D447" s="2">
        <v>42033.86922453704</v>
      </c>
      <c r="E447" s="2">
        <v>42034.839918981481</v>
      </c>
      <c r="F447" s="1">
        <v>2</v>
      </c>
      <c r="G447" s="1">
        <v>0</v>
      </c>
      <c r="H447" s="1">
        <v>5</v>
      </c>
      <c r="I447" s="1">
        <v>5</v>
      </c>
      <c r="J447" s="1">
        <v>1</v>
      </c>
      <c r="K447" s="1">
        <v>2</v>
      </c>
      <c r="L447" s="4">
        <v>14.4</v>
      </c>
      <c r="M447" s="3" t="str">
        <f t="shared" si="57"/>
        <v>Jan</v>
      </c>
      <c r="N447" s="2">
        <v>42033.871550925927</v>
      </c>
      <c r="O447" s="1">
        <f t="shared" si="58"/>
        <v>29</v>
      </c>
      <c r="P447" s="1">
        <f t="shared" si="59"/>
        <v>5</v>
      </c>
      <c r="Q447" s="1">
        <f t="shared" si="60"/>
        <v>20</v>
      </c>
      <c r="S447"/>
      <c r="T447"/>
      <c r="U447"/>
    </row>
    <row r="448" spans="1:21" s="1" customFormat="1" x14ac:dyDescent="0.25">
      <c r="A448" s="1">
        <v>466</v>
      </c>
      <c r="B448" s="1" t="s">
        <v>76</v>
      </c>
      <c r="C448" s="1" t="s">
        <v>495</v>
      </c>
      <c r="D448" s="2">
        <v>42163.573344907411</v>
      </c>
      <c r="E448" s="2">
        <v>42163.573391203703</v>
      </c>
      <c r="F448" s="1">
        <v>1</v>
      </c>
      <c r="G448" s="1">
        <v>2</v>
      </c>
      <c r="H448" s="1">
        <v>4</v>
      </c>
      <c r="I448" s="1">
        <v>6</v>
      </c>
      <c r="J448" s="1">
        <v>1</v>
      </c>
      <c r="K448" s="1">
        <v>1</v>
      </c>
      <c r="L448" s="3">
        <v>28.8</v>
      </c>
      <c r="M448" s="3" t="str">
        <f t="shared" si="57"/>
        <v>Jun</v>
      </c>
      <c r="N448" s="2">
        <v>42163.57335648148</v>
      </c>
      <c r="O448" s="1">
        <f t="shared" si="58"/>
        <v>8</v>
      </c>
      <c r="P448" s="1">
        <f t="shared" si="59"/>
        <v>2</v>
      </c>
      <c r="Q448" s="1">
        <f t="shared" si="60"/>
        <v>13</v>
      </c>
      <c r="S448"/>
      <c r="T448"/>
      <c r="U448"/>
    </row>
    <row r="449" spans="1:21" s="1" customFormat="1" x14ac:dyDescent="0.25">
      <c r="A449" s="1">
        <v>467</v>
      </c>
      <c r="B449" s="1" t="s">
        <v>96</v>
      </c>
      <c r="C449" s="1" t="s">
        <v>496</v>
      </c>
      <c r="D449" s="2">
        <v>42171.46675925926</v>
      </c>
      <c r="E449" s="2">
        <v>42171.466805555552</v>
      </c>
      <c r="F449" s="1">
        <v>1</v>
      </c>
      <c r="G449" s="1">
        <v>2</v>
      </c>
      <c r="H449" s="1">
        <v>2</v>
      </c>
      <c r="I449" s="1">
        <v>2</v>
      </c>
      <c r="J449" s="1">
        <v>1</v>
      </c>
      <c r="K449" s="1">
        <v>1</v>
      </c>
      <c r="L449" s="3">
        <v>28.8</v>
      </c>
      <c r="M449" s="3" t="str">
        <f t="shared" si="57"/>
        <v>Jun</v>
      </c>
      <c r="N449" s="2">
        <v>42171.466770833336</v>
      </c>
      <c r="O449" s="1">
        <f t="shared" si="58"/>
        <v>16</v>
      </c>
      <c r="P449" s="1">
        <f t="shared" si="59"/>
        <v>3</v>
      </c>
      <c r="Q449" s="1">
        <f t="shared" si="60"/>
        <v>11</v>
      </c>
      <c r="S449"/>
      <c r="T449"/>
      <c r="U449"/>
    </row>
    <row r="450" spans="1:21" s="1" customFormat="1" x14ac:dyDescent="0.25">
      <c r="A450" s="1">
        <v>468</v>
      </c>
      <c r="B450" s="1" t="s">
        <v>85</v>
      </c>
      <c r="C450" s="1" t="s">
        <v>497</v>
      </c>
      <c r="D450" s="2">
        <v>42159.260196759256</v>
      </c>
      <c r="E450" s="2">
        <v>42159.260231481479</v>
      </c>
      <c r="F450" s="1">
        <v>1</v>
      </c>
      <c r="G450" s="1">
        <v>2</v>
      </c>
      <c r="H450" s="1">
        <v>2</v>
      </c>
      <c r="I450" s="1">
        <v>2</v>
      </c>
      <c r="J450" s="1">
        <v>1</v>
      </c>
      <c r="K450" s="1">
        <v>1</v>
      </c>
      <c r="L450" s="3">
        <v>28.8</v>
      </c>
      <c r="M450" s="3" t="str">
        <f t="shared" si="57"/>
        <v>Jun</v>
      </c>
      <c r="N450" s="2">
        <v>42159.260208333333</v>
      </c>
      <c r="O450" s="1">
        <f t="shared" si="58"/>
        <v>4</v>
      </c>
      <c r="P450" s="1">
        <f t="shared" si="59"/>
        <v>5</v>
      </c>
      <c r="Q450" s="1">
        <f t="shared" si="60"/>
        <v>6</v>
      </c>
      <c r="S450"/>
      <c r="T450"/>
      <c r="U450"/>
    </row>
    <row r="451" spans="1:21" s="1" customFormat="1" x14ac:dyDescent="0.25">
      <c r="A451" s="1">
        <v>469</v>
      </c>
      <c r="B451" s="1" t="s">
        <v>96</v>
      </c>
      <c r="C451" s="1" t="s">
        <v>498</v>
      </c>
      <c r="D451" s="2">
        <v>42172.518877314818</v>
      </c>
      <c r="E451" s="2">
        <v>42172.352280092593</v>
      </c>
      <c r="F451" s="1">
        <v>1</v>
      </c>
      <c r="G451" s="1">
        <v>4</v>
      </c>
      <c r="H451" s="1">
        <v>6</v>
      </c>
      <c r="I451" s="1">
        <v>2</v>
      </c>
      <c r="J451" s="1">
        <v>1</v>
      </c>
      <c r="K451" s="1">
        <v>3</v>
      </c>
      <c r="L451" s="3">
        <v>21.6</v>
      </c>
      <c r="M451" s="3" t="str">
        <f t="shared" ref="M451:M514" si="61">TEXT(N451,"mmm")</f>
        <v>Jun</v>
      </c>
      <c r="N451" s="2">
        <v>42172.352233796293</v>
      </c>
      <c r="O451" s="1">
        <f t="shared" si="58"/>
        <v>17</v>
      </c>
      <c r="P451" s="1">
        <f t="shared" si="59"/>
        <v>4</v>
      </c>
      <c r="Q451" s="1">
        <f t="shared" si="60"/>
        <v>8</v>
      </c>
      <c r="S451"/>
      <c r="T451"/>
      <c r="U451"/>
    </row>
    <row r="452" spans="1:21" s="1" customFormat="1" x14ac:dyDescent="0.25">
      <c r="A452" s="1">
        <v>470</v>
      </c>
      <c r="B452" s="1" t="s">
        <v>131</v>
      </c>
      <c r="C452" s="1" t="s">
        <v>499</v>
      </c>
      <c r="D452" s="2">
        <v>42032.440011574072</v>
      </c>
      <c r="E452" s="2">
        <v>42049.582743055558</v>
      </c>
      <c r="F452" s="1">
        <v>2</v>
      </c>
      <c r="G452" s="1">
        <v>4</v>
      </c>
      <c r="H452" s="1">
        <v>12</v>
      </c>
      <c r="I452" s="1">
        <v>5</v>
      </c>
      <c r="J452" s="1">
        <v>2</v>
      </c>
      <c r="K452" s="1">
        <v>5</v>
      </c>
      <c r="L452" s="4">
        <v>21.6</v>
      </c>
      <c r="M452" s="3" t="str">
        <f t="shared" si="61"/>
        <v>Jan</v>
      </c>
      <c r="N452" s="2">
        <v>42032.440034722225</v>
      </c>
      <c r="O452" s="1">
        <f t="shared" si="58"/>
        <v>28</v>
      </c>
      <c r="P452" s="1">
        <f t="shared" si="59"/>
        <v>4</v>
      </c>
      <c r="Q452" s="1">
        <f t="shared" si="60"/>
        <v>10</v>
      </c>
      <c r="S452"/>
      <c r="T452"/>
      <c r="U452"/>
    </row>
    <row r="453" spans="1:21" s="1" customFormat="1" x14ac:dyDescent="0.25">
      <c r="A453" s="1">
        <v>471</v>
      </c>
      <c r="B453" s="1" t="s">
        <v>100</v>
      </c>
      <c r="C453" s="1" t="s">
        <v>500</v>
      </c>
      <c r="D453" s="2">
        <v>42145.817337962966</v>
      </c>
      <c r="E453" s="2">
        <v>42145.817395833335</v>
      </c>
      <c r="F453" s="1">
        <v>1</v>
      </c>
      <c r="G453" s="1">
        <v>2</v>
      </c>
      <c r="H453" s="1">
        <v>2</v>
      </c>
      <c r="I453" s="1">
        <v>2</v>
      </c>
      <c r="J453" s="1">
        <v>1</v>
      </c>
      <c r="K453" s="1">
        <v>1</v>
      </c>
      <c r="L453" s="4">
        <v>28.8</v>
      </c>
      <c r="M453" s="3" t="str">
        <f t="shared" si="61"/>
        <v>May</v>
      </c>
      <c r="N453" s="2">
        <v>42145.817361111112</v>
      </c>
      <c r="O453" s="1">
        <f t="shared" si="58"/>
        <v>21</v>
      </c>
      <c r="P453" s="1">
        <f t="shared" si="59"/>
        <v>5</v>
      </c>
      <c r="Q453" s="1">
        <f t="shared" si="60"/>
        <v>19</v>
      </c>
      <c r="S453"/>
      <c r="T453"/>
      <c r="U453"/>
    </row>
    <row r="454" spans="1:21" s="1" customFormat="1" x14ac:dyDescent="0.25">
      <c r="A454" s="1">
        <v>472</v>
      </c>
      <c r="B454" s="1" t="s">
        <v>103</v>
      </c>
      <c r="C454" s="1" t="s">
        <v>501</v>
      </c>
      <c r="D454" s="2">
        <v>42265.508703703701</v>
      </c>
      <c r="E454" s="2">
        <v>42265.508761574078</v>
      </c>
      <c r="F454" s="1">
        <v>1</v>
      </c>
      <c r="G454" s="1">
        <v>6</v>
      </c>
      <c r="H454" s="1">
        <v>2</v>
      </c>
      <c r="I454" s="1">
        <v>2</v>
      </c>
      <c r="J454" s="1">
        <v>1</v>
      </c>
      <c r="K454" s="1">
        <v>1</v>
      </c>
      <c r="L454" s="3">
        <v>29.92</v>
      </c>
      <c r="M454" s="3" t="str">
        <f t="shared" si="61"/>
        <v>Sep</v>
      </c>
      <c r="N454" s="2">
        <v>42265.508715277778</v>
      </c>
      <c r="O454" s="1">
        <f t="shared" si="58"/>
        <v>18</v>
      </c>
      <c r="P454" s="1">
        <f t="shared" si="59"/>
        <v>6</v>
      </c>
      <c r="Q454" s="1">
        <f t="shared" si="60"/>
        <v>12</v>
      </c>
      <c r="S454"/>
      <c r="T454"/>
      <c r="U454"/>
    </row>
    <row r="455" spans="1:21" s="1" customFormat="1" x14ac:dyDescent="0.25">
      <c r="A455" s="1">
        <v>473</v>
      </c>
      <c r="B455" s="1" t="s">
        <v>210</v>
      </c>
      <c r="C455" s="1" t="s">
        <v>502</v>
      </c>
      <c r="D455" s="2">
        <v>42017.696840277778</v>
      </c>
      <c r="E455" s="2">
        <v>42024.670405092591</v>
      </c>
      <c r="F455" s="1">
        <v>3</v>
      </c>
      <c r="G455" s="1">
        <v>0</v>
      </c>
      <c r="H455" s="1">
        <v>2</v>
      </c>
      <c r="I455" s="1">
        <v>3</v>
      </c>
      <c r="J455" s="1">
        <v>1</v>
      </c>
      <c r="K455" s="1">
        <v>1</v>
      </c>
      <c r="L455" s="4">
        <v>28.8</v>
      </c>
      <c r="M455" s="3" t="str">
        <f t="shared" si="61"/>
        <v>Jan</v>
      </c>
      <c r="N455" s="2">
        <v>42017.696851851855</v>
      </c>
      <c r="O455" s="1">
        <f t="shared" si="58"/>
        <v>13</v>
      </c>
      <c r="P455" s="1">
        <f t="shared" si="59"/>
        <v>3</v>
      </c>
      <c r="Q455" s="1">
        <f t="shared" si="60"/>
        <v>16</v>
      </c>
      <c r="S455"/>
      <c r="T455"/>
      <c r="U455"/>
    </row>
    <row r="456" spans="1:21" s="1" customFormat="1" x14ac:dyDescent="0.25">
      <c r="A456" s="1">
        <v>474</v>
      </c>
      <c r="B456" s="1" t="s">
        <v>131</v>
      </c>
      <c r="C456" s="1" t="s">
        <v>503</v>
      </c>
      <c r="D456" s="2">
        <v>42171.809201388889</v>
      </c>
      <c r="E456" s="2">
        <v>42171.64261574074</v>
      </c>
      <c r="F456" s="1">
        <v>1</v>
      </c>
      <c r="G456" s="1">
        <v>0</v>
      </c>
      <c r="H456" s="1">
        <v>4</v>
      </c>
      <c r="I456" s="1">
        <v>2</v>
      </c>
      <c r="J456" s="1">
        <v>1</v>
      </c>
      <c r="K456" s="1">
        <v>2</v>
      </c>
      <c r="L456" s="3">
        <v>18</v>
      </c>
      <c r="M456" s="3" t="str">
        <f t="shared" si="61"/>
        <v>Jun</v>
      </c>
      <c r="N456" s="2">
        <v>42171.642569444448</v>
      </c>
      <c r="O456" s="1">
        <f t="shared" si="58"/>
        <v>16</v>
      </c>
      <c r="P456" s="1">
        <f t="shared" si="59"/>
        <v>3</v>
      </c>
      <c r="Q456" s="1">
        <f t="shared" si="60"/>
        <v>15</v>
      </c>
      <c r="S456"/>
      <c r="T456"/>
      <c r="U456"/>
    </row>
    <row r="457" spans="1:21" s="1" customFormat="1" x14ac:dyDescent="0.25">
      <c r="A457" s="1">
        <v>475</v>
      </c>
      <c r="B457" s="1" t="s">
        <v>212</v>
      </c>
      <c r="C457" s="1" t="s">
        <v>504</v>
      </c>
      <c r="D457" s="2">
        <v>42234.461863425924</v>
      </c>
      <c r="E457" s="2">
        <v>42234.461898148147</v>
      </c>
      <c r="F457" s="1">
        <v>1</v>
      </c>
      <c r="G457" s="1">
        <v>0</v>
      </c>
      <c r="H457" s="1">
        <v>2</v>
      </c>
      <c r="I457" s="1">
        <v>4</v>
      </c>
      <c r="J457" s="1">
        <v>1</v>
      </c>
      <c r="K457" s="1">
        <v>1</v>
      </c>
      <c r="L457" s="3">
        <v>56.32</v>
      </c>
      <c r="M457" s="3" t="str">
        <f t="shared" si="61"/>
        <v>Aug</v>
      </c>
      <c r="N457" s="2">
        <v>42234.461863425924</v>
      </c>
      <c r="O457" s="1">
        <f t="shared" si="58"/>
        <v>18</v>
      </c>
      <c r="P457" s="1">
        <f t="shared" si="59"/>
        <v>3</v>
      </c>
      <c r="Q457" s="1">
        <f t="shared" si="60"/>
        <v>11</v>
      </c>
      <c r="S457"/>
      <c r="T457"/>
      <c r="U457"/>
    </row>
    <row r="458" spans="1:21" s="1" customFormat="1" x14ac:dyDescent="0.25">
      <c r="A458" s="1">
        <v>476</v>
      </c>
      <c r="B458" s="1" t="s">
        <v>89</v>
      </c>
      <c r="C458" s="1" t="s">
        <v>505</v>
      </c>
      <c r="D458" s="2">
        <v>42243.375648148147</v>
      </c>
      <c r="E458" s="2">
        <v>42243.375694444447</v>
      </c>
      <c r="F458" s="1">
        <v>1</v>
      </c>
      <c r="G458" s="1">
        <v>2</v>
      </c>
      <c r="H458" s="1">
        <v>2</v>
      </c>
      <c r="I458" s="1">
        <v>2</v>
      </c>
      <c r="J458" s="1">
        <v>1</v>
      </c>
      <c r="K458" s="1">
        <v>1</v>
      </c>
      <c r="L458" s="3">
        <v>56.32</v>
      </c>
      <c r="M458" s="3" t="str">
        <f t="shared" si="61"/>
        <v>Aug</v>
      </c>
      <c r="N458" s="2">
        <v>42243.375648148147</v>
      </c>
      <c r="O458" s="1">
        <f t="shared" si="58"/>
        <v>27</v>
      </c>
      <c r="P458" s="1">
        <f t="shared" si="59"/>
        <v>5</v>
      </c>
      <c r="Q458" s="1">
        <f t="shared" si="60"/>
        <v>9</v>
      </c>
      <c r="S458"/>
      <c r="T458"/>
      <c r="U458"/>
    </row>
    <row r="459" spans="1:21" s="1" customFormat="1" x14ac:dyDescent="0.25">
      <c r="A459" s="1">
        <v>477</v>
      </c>
      <c r="B459" s="1" t="s">
        <v>137</v>
      </c>
      <c r="C459" s="1" t="s">
        <v>506</v>
      </c>
      <c r="D459" s="2">
        <v>42175.630416666667</v>
      </c>
      <c r="E459" s="2">
        <v>42175.463761574072</v>
      </c>
      <c r="F459" s="1">
        <v>1</v>
      </c>
      <c r="G459" s="1">
        <v>1</v>
      </c>
      <c r="H459" s="1">
        <v>6</v>
      </c>
      <c r="I459" s="1">
        <v>1</v>
      </c>
      <c r="J459" s="1">
        <v>1</v>
      </c>
      <c r="K459" s="1">
        <v>4</v>
      </c>
      <c r="L459" s="3">
        <v>39</v>
      </c>
      <c r="M459" s="3" t="str">
        <f t="shared" si="61"/>
        <v>Jun</v>
      </c>
      <c r="N459" s="2">
        <v>42175.474699074075</v>
      </c>
      <c r="O459" s="1">
        <f t="shared" si="58"/>
        <v>20</v>
      </c>
      <c r="P459" s="1">
        <f t="shared" si="59"/>
        <v>7</v>
      </c>
      <c r="Q459" s="1">
        <f t="shared" si="60"/>
        <v>11</v>
      </c>
      <c r="S459"/>
      <c r="T459"/>
      <c r="U459"/>
    </row>
    <row r="460" spans="1:21" s="1" customFormat="1" x14ac:dyDescent="0.25">
      <c r="A460" s="1">
        <v>478</v>
      </c>
      <c r="B460" s="1" t="s">
        <v>134</v>
      </c>
      <c r="C460" s="1" t="s">
        <v>507</v>
      </c>
      <c r="D460" s="2">
        <v>42233.341689814813</v>
      </c>
      <c r="E460" s="2">
        <v>42233.341724537036</v>
      </c>
      <c r="F460" s="1">
        <v>1</v>
      </c>
      <c r="G460" s="1">
        <v>2</v>
      </c>
      <c r="H460" s="1">
        <v>2</v>
      </c>
      <c r="I460" s="1">
        <v>2</v>
      </c>
      <c r="J460" s="1">
        <v>1</v>
      </c>
      <c r="K460" s="1">
        <v>4</v>
      </c>
      <c r="L460" s="3">
        <v>35.200000000000003</v>
      </c>
      <c r="M460" s="3" t="str">
        <f t="shared" si="61"/>
        <v>Aug</v>
      </c>
      <c r="N460" s="2">
        <v>42233.34170138889</v>
      </c>
      <c r="O460" s="1">
        <f t="shared" si="58"/>
        <v>17</v>
      </c>
      <c r="P460" s="1">
        <f t="shared" si="59"/>
        <v>2</v>
      </c>
      <c r="Q460" s="1">
        <f t="shared" si="60"/>
        <v>8</v>
      </c>
      <c r="S460"/>
      <c r="T460"/>
      <c r="U460"/>
    </row>
    <row r="461" spans="1:21" s="1" customFormat="1" x14ac:dyDescent="0.25">
      <c r="A461" s="1">
        <v>480</v>
      </c>
      <c r="B461" s="1" t="s">
        <v>96</v>
      </c>
      <c r="C461" s="1" t="s">
        <v>508</v>
      </c>
      <c r="D461" s="2">
        <v>42099.493611111109</v>
      </c>
      <c r="E461" s="2">
        <v>42099.493668981479</v>
      </c>
      <c r="F461" s="1">
        <v>1</v>
      </c>
      <c r="G461" s="1">
        <v>0</v>
      </c>
      <c r="H461" s="1">
        <v>4</v>
      </c>
      <c r="I461" s="1">
        <v>1</v>
      </c>
      <c r="J461" s="1">
        <v>1</v>
      </c>
      <c r="K461" s="1">
        <v>2</v>
      </c>
      <c r="L461" s="4">
        <v>18</v>
      </c>
      <c r="M461" s="3" t="str">
        <f t="shared" si="61"/>
        <v>Apr</v>
      </c>
      <c r="N461" s="2">
        <v>42099.493622685186</v>
      </c>
      <c r="O461" s="1">
        <f t="shared" ref="O461:O462" si="62">DAY(N461)</f>
        <v>5</v>
      </c>
      <c r="P461" s="1">
        <f t="shared" ref="P461:P462" si="63">WEEKDAY(N461,1)</f>
        <v>1</v>
      </c>
      <c r="Q461" s="1">
        <f t="shared" ref="Q461:Q462" si="64">HOUR(N461)</f>
        <v>11</v>
      </c>
      <c r="S461"/>
      <c r="T461"/>
      <c r="U461"/>
    </row>
    <row r="462" spans="1:21" s="1" customFormat="1" x14ac:dyDescent="0.25">
      <c r="A462" s="1">
        <v>481</v>
      </c>
      <c r="B462" s="1" t="s">
        <v>341</v>
      </c>
      <c r="C462" s="1" t="s">
        <v>509</v>
      </c>
      <c r="D462" s="2">
        <v>42138.530509259261</v>
      </c>
      <c r="E462" s="2">
        <v>42138.530555555553</v>
      </c>
      <c r="F462" s="1">
        <v>1</v>
      </c>
      <c r="G462" s="1">
        <v>4</v>
      </c>
      <c r="H462" s="1">
        <v>12</v>
      </c>
      <c r="I462" s="1">
        <v>2</v>
      </c>
      <c r="J462" s="1">
        <v>1</v>
      </c>
      <c r="K462" s="1">
        <v>6</v>
      </c>
      <c r="L462" s="4">
        <v>43.2</v>
      </c>
      <c r="M462" s="3" t="str">
        <f t="shared" si="61"/>
        <v>May</v>
      </c>
      <c r="N462" s="2">
        <v>42138.53052083333</v>
      </c>
      <c r="O462" s="1">
        <f t="shared" si="62"/>
        <v>14</v>
      </c>
      <c r="P462" s="1">
        <f t="shared" si="63"/>
        <v>5</v>
      </c>
      <c r="Q462" s="1">
        <f t="shared" si="64"/>
        <v>12</v>
      </c>
      <c r="S462"/>
      <c r="T462"/>
      <c r="U462"/>
    </row>
    <row r="463" spans="1:21" s="1" customFormat="1" x14ac:dyDescent="0.25">
      <c r="A463" s="1">
        <v>483</v>
      </c>
      <c r="B463" s="1" t="s">
        <v>100</v>
      </c>
      <c r="C463" s="1" t="s">
        <v>510</v>
      </c>
      <c r="D463" s="2">
        <v>42157.673703703702</v>
      </c>
      <c r="E463" s="2">
        <v>42157.673773148148</v>
      </c>
      <c r="F463" s="1">
        <v>1</v>
      </c>
      <c r="G463" s="1">
        <v>6</v>
      </c>
      <c r="H463" s="1">
        <v>2</v>
      </c>
      <c r="I463" s="1">
        <v>2</v>
      </c>
      <c r="J463" s="1">
        <v>1</v>
      </c>
      <c r="K463" s="1">
        <v>1</v>
      </c>
      <c r="L463" s="3">
        <v>57.6</v>
      </c>
      <c r="M463" s="3" t="str">
        <f t="shared" si="61"/>
        <v>Jun</v>
      </c>
      <c r="N463" s="2">
        <v>42157.673715277779</v>
      </c>
      <c r="O463" s="1">
        <f t="shared" ref="O463:O471" si="65">DAY(N463)</f>
        <v>2</v>
      </c>
      <c r="P463" s="1">
        <f t="shared" ref="P463:P471" si="66">WEEKDAY(N463,1)</f>
        <v>3</v>
      </c>
      <c r="Q463" s="1">
        <f t="shared" ref="Q463:Q471" si="67">HOUR(N463)</f>
        <v>16</v>
      </c>
      <c r="S463"/>
      <c r="T463"/>
      <c r="U463"/>
    </row>
    <row r="464" spans="1:21" s="1" customFormat="1" x14ac:dyDescent="0.25">
      <c r="A464" s="1">
        <v>484</v>
      </c>
      <c r="B464" s="1" t="s">
        <v>107</v>
      </c>
      <c r="C464" s="1" t="s">
        <v>511</v>
      </c>
      <c r="D464" s="2">
        <v>42085.410798611112</v>
      </c>
      <c r="E464" s="2">
        <v>42085.410868055558</v>
      </c>
      <c r="F464" s="1">
        <v>1</v>
      </c>
      <c r="G464" s="1">
        <v>0</v>
      </c>
      <c r="H464" s="1">
        <v>8</v>
      </c>
      <c r="I464" s="1">
        <v>1</v>
      </c>
      <c r="J464" s="1">
        <v>1</v>
      </c>
      <c r="K464" s="1">
        <v>4</v>
      </c>
      <c r="L464" s="4">
        <v>27</v>
      </c>
      <c r="M464" s="3" t="str">
        <f t="shared" si="61"/>
        <v>Mar</v>
      </c>
      <c r="N464" s="2">
        <v>42085.410810185182</v>
      </c>
      <c r="O464" s="1">
        <f t="shared" si="65"/>
        <v>22</v>
      </c>
      <c r="P464" s="1">
        <f t="shared" si="66"/>
        <v>1</v>
      </c>
      <c r="Q464" s="1">
        <f t="shared" si="67"/>
        <v>9</v>
      </c>
      <c r="S464"/>
      <c r="T464"/>
      <c r="U464"/>
    </row>
    <row r="465" spans="1:21" s="1" customFormat="1" x14ac:dyDescent="0.25">
      <c r="A465" s="1">
        <v>485</v>
      </c>
      <c r="D465" s="2">
        <v>42061.580833333333</v>
      </c>
      <c r="E465" s="2">
        <v>42062.69630787037</v>
      </c>
      <c r="F465" s="1">
        <v>3</v>
      </c>
      <c r="G465" s="1">
        <v>4</v>
      </c>
      <c r="H465" s="1">
        <v>8</v>
      </c>
      <c r="I465" s="1">
        <v>3</v>
      </c>
      <c r="J465" s="1">
        <v>1</v>
      </c>
      <c r="K465" s="1">
        <v>4</v>
      </c>
      <c r="L465" s="4">
        <v>144</v>
      </c>
      <c r="M465" s="3" t="str">
        <f t="shared" si="61"/>
        <v>Feb</v>
      </c>
      <c r="N465" s="2">
        <v>42061.58084490741</v>
      </c>
      <c r="O465" s="1">
        <f t="shared" si="65"/>
        <v>26</v>
      </c>
      <c r="P465" s="1">
        <f t="shared" si="66"/>
        <v>5</v>
      </c>
      <c r="Q465" s="1">
        <f t="shared" si="67"/>
        <v>13</v>
      </c>
      <c r="S465"/>
      <c r="T465"/>
      <c r="U465"/>
    </row>
    <row r="466" spans="1:21" s="1" customFormat="1" x14ac:dyDescent="0.25">
      <c r="A466" s="1">
        <v>486</v>
      </c>
      <c r="B466" s="1" t="s">
        <v>512</v>
      </c>
      <c r="C466" s="1" t="s">
        <v>513</v>
      </c>
      <c r="D466" s="2">
        <v>42024.655706018515</v>
      </c>
      <c r="E466" s="2">
        <v>42025.587766203702</v>
      </c>
      <c r="F466" s="1">
        <v>2</v>
      </c>
      <c r="G466" s="1">
        <v>0</v>
      </c>
      <c r="H466" s="1">
        <v>2</v>
      </c>
      <c r="I466" s="1">
        <v>4</v>
      </c>
      <c r="J466" s="1">
        <v>1</v>
      </c>
      <c r="K466" s="1">
        <v>1</v>
      </c>
      <c r="L466" s="4">
        <v>28.8</v>
      </c>
      <c r="M466" s="3" t="str">
        <f t="shared" si="61"/>
        <v>Jan</v>
      </c>
      <c r="N466" s="2">
        <v>42024.655752314815</v>
      </c>
      <c r="O466" s="1">
        <f t="shared" si="65"/>
        <v>20</v>
      </c>
      <c r="P466" s="1">
        <f t="shared" si="66"/>
        <v>3</v>
      </c>
      <c r="Q466" s="1">
        <f t="shared" si="67"/>
        <v>15</v>
      </c>
      <c r="S466"/>
      <c r="T466"/>
      <c r="U466"/>
    </row>
    <row r="467" spans="1:21" s="1" customFormat="1" x14ac:dyDescent="0.25">
      <c r="A467" s="1">
        <v>487</v>
      </c>
      <c r="B467" s="1" t="s">
        <v>134</v>
      </c>
      <c r="C467" s="1" t="s">
        <v>514</v>
      </c>
      <c r="D467" s="2">
        <v>42256.494803240741</v>
      </c>
      <c r="E467" s="2">
        <v>42258.566990740743</v>
      </c>
      <c r="F467" s="1">
        <v>4</v>
      </c>
      <c r="G467" s="1">
        <v>8</v>
      </c>
      <c r="H467" s="1">
        <v>10</v>
      </c>
      <c r="I467" s="1">
        <v>5</v>
      </c>
      <c r="J467" s="1">
        <v>1</v>
      </c>
      <c r="K467" s="1">
        <v>4</v>
      </c>
      <c r="L467" s="3">
        <v>36</v>
      </c>
      <c r="M467" s="3" t="str">
        <f t="shared" si="61"/>
        <v>Sep</v>
      </c>
      <c r="N467" s="2">
        <v>42258.567986111113</v>
      </c>
      <c r="O467" s="1">
        <f t="shared" si="65"/>
        <v>11</v>
      </c>
      <c r="P467" s="1">
        <f t="shared" si="66"/>
        <v>6</v>
      </c>
      <c r="Q467" s="1">
        <f t="shared" si="67"/>
        <v>13</v>
      </c>
      <c r="S467"/>
      <c r="T467"/>
      <c r="U467"/>
    </row>
    <row r="468" spans="1:21" s="1" customFormat="1" x14ac:dyDescent="0.25">
      <c r="A468" s="1">
        <v>488</v>
      </c>
      <c r="B468" s="1" t="s">
        <v>103</v>
      </c>
      <c r="C468" s="1" t="s">
        <v>515</v>
      </c>
      <c r="D468" s="2">
        <v>42067.795474537037</v>
      </c>
      <c r="E468" s="2">
        <v>42068.430347222224</v>
      </c>
      <c r="F468" s="1">
        <v>3</v>
      </c>
      <c r="G468" s="1">
        <v>2</v>
      </c>
      <c r="H468" s="1">
        <v>4</v>
      </c>
      <c r="I468" s="1">
        <v>1</v>
      </c>
      <c r="J468" s="1">
        <v>1</v>
      </c>
      <c r="K468" s="1">
        <v>2</v>
      </c>
      <c r="L468" s="4">
        <v>9</v>
      </c>
      <c r="M468" s="3" t="str">
        <f t="shared" si="61"/>
        <v>Mar</v>
      </c>
      <c r="N468" s="2">
        <v>42067.795486111114</v>
      </c>
      <c r="O468" s="1">
        <f t="shared" si="65"/>
        <v>4</v>
      </c>
      <c r="P468" s="1">
        <f t="shared" si="66"/>
        <v>4</v>
      </c>
      <c r="Q468" s="1">
        <f t="shared" si="67"/>
        <v>19</v>
      </c>
      <c r="S468"/>
      <c r="T468"/>
      <c r="U468"/>
    </row>
    <row r="469" spans="1:21" s="1" customFormat="1" x14ac:dyDescent="0.25">
      <c r="A469" s="1">
        <v>489</v>
      </c>
      <c r="B469" s="1" t="s">
        <v>109</v>
      </c>
      <c r="C469" s="1" t="s">
        <v>516</v>
      </c>
      <c r="D469" s="2">
        <v>42063.548657407409</v>
      </c>
      <c r="E469" s="2">
        <v>42075.59915509259</v>
      </c>
      <c r="F469" s="1">
        <v>2</v>
      </c>
      <c r="G469" s="1">
        <v>0</v>
      </c>
      <c r="H469" s="1">
        <v>2</v>
      </c>
      <c r="I469" s="1">
        <v>3</v>
      </c>
      <c r="J469" s="1">
        <v>1</v>
      </c>
      <c r="K469" s="1">
        <v>1</v>
      </c>
      <c r="L469" s="4">
        <v>27</v>
      </c>
      <c r="M469" s="3" t="str">
        <f t="shared" si="61"/>
        <v>Feb</v>
      </c>
      <c r="N469" s="2">
        <v>42063.548668981479</v>
      </c>
      <c r="O469" s="1">
        <f t="shared" si="65"/>
        <v>28</v>
      </c>
      <c r="P469" s="1">
        <f t="shared" si="66"/>
        <v>7</v>
      </c>
      <c r="Q469" s="1">
        <f t="shared" si="67"/>
        <v>13</v>
      </c>
      <c r="S469"/>
      <c r="T469"/>
      <c r="U469"/>
    </row>
    <row r="470" spans="1:21" s="1" customFormat="1" x14ac:dyDescent="0.25">
      <c r="A470" s="1">
        <v>490</v>
      </c>
      <c r="B470" s="1" t="s">
        <v>134</v>
      </c>
      <c r="C470" s="1" t="s">
        <v>517</v>
      </c>
      <c r="D470" s="2">
        <v>42057.965231481481</v>
      </c>
      <c r="E470" s="2">
        <v>42057.965312499997</v>
      </c>
      <c r="F470" s="1">
        <v>1</v>
      </c>
      <c r="G470" s="1">
        <v>2</v>
      </c>
      <c r="H470" s="1">
        <v>8</v>
      </c>
      <c r="I470" s="1">
        <v>1</v>
      </c>
      <c r="J470" s="1">
        <v>1</v>
      </c>
      <c r="K470" s="1">
        <v>4</v>
      </c>
      <c r="L470" s="4">
        <v>28.8</v>
      </c>
      <c r="M470" s="3" t="str">
        <f t="shared" si="61"/>
        <v>Feb</v>
      </c>
      <c r="N470" s="2">
        <v>42057.965266203704</v>
      </c>
      <c r="O470" s="1">
        <f t="shared" si="65"/>
        <v>22</v>
      </c>
      <c r="P470" s="1">
        <f t="shared" si="66"/>
        <v>1</v>
      </c>
      <c r="Q470" s="1">
        <f t="shared" si="67"/>
        <v>23</v>
      </c>
      <c r="S470"/>
      <c r="T470"/>
      <c r="U470"/>
    </row>
    <row r="471" spans="1:21" s="1" customFormat="1" x14ac:dyDescent="0.25">
      <c r="A471" s="1">
        <v>491</v>
      </c>
      <c r="B471" s="1" t="s">
        <v>100</v>
      </c>
      <c r="C471" s="1" t="s">
        <v>518</v>
      </c>
      <c r="D471" s="2">
        <v>42068.610983796294</v>
      </c>
      <c r="E471" s="2">
        <v>42068.611041666663</v>
      </c>
      <c r="F471" s="1">
        <v>1</v>
      </c>
      <c r="G471" s="1">
        <v>0</v>
      </c>
      <c r="H471" s="1">
        <v>4</v>
      </c>
      <c r="I471" s="1">
        <v>1</v>
      </c>
      <c r="J471" s="1">
        <v>1</v>
      </c>
      <c r="K471" s="1">
        <v>2</v>
      </c>
      <c r="L471" s="4">
        <v>14.4</v>
      </c>
      <c r="M471" s="3" t="str">
        <f t="shared" si="61"/>
        <v>Mar</v>
      </c>
      <c r="N471" s="2">
        <v>42068.610995370371</v>
      </c>
      <c r="O471" s="1">
        <f t="shared" si="65"/>
        <v>5</v>
      </c>
      <c r="P471" s="1">
        <f t="shared" si="66"/>
        <v>5</v>
      </c>
      <c r="Q471" s="1">
        <f t="shared" si="67"/>
        <v>14</v>
      </c>
      <c r="S471"/>
      <c r="T471"/>
      <c r="U471"/>
    </row>
    <row r="472" spans="1:21" s="1" customFormat="1" x14ac:dyDescent="0.25">
      <c r="A472" s="1">
        <v>493</v>
      </c>
      <c r="B472" s="1" t="s">
        <v>123</v>
      </c>
      <c r="C472" s="1" t="s">
        <v>519</v>
      </c>
      <c r="D472" s="2">
        <v>42026.586898148147</v>
      </c>
      <c r="E472" s="2">
        <v>42026.586944444447</v>
      </c>
      <c r="F472" s="1">
        <v>1</v>
      </c>
      <c r="G472" s="1">
        <v>0</v>
      </c>
      <c r="H472" s="1">
        <v>6</v>
      </c>
      <c r="I472" s="1">
        <v>2</v>
      </c>
      <c r="J472" s="1">
        <v>1</v>
      </c>
      <c r="K472" s="1">
        <v>6</v>
      </c>
      <c r="L472" s="4">
        <v>41.6</v>
      </c>
      <c r="M472" s="3" t="str">
        <f t="shared" si="61"/>
        <v>Jan</v>
      </c>
      <c r="N472" s="2">
        <v>42026.586909722224</v>
      </c>
      <c r="O472" s="1">
        <f t="shared" ref="O472:O496" si="68">DAY(N472)</f>
        <v>22</v>
      </c>
      <c r="P472" s="1">
        <f t="shared" ref="P472:P496" si="69">WEEKDAY(N472,1)</f>
        <v>5</v>
      </c>
      <c r="Q472" s="1">
        <f t="shared" ref="Q472:Q496" si="70">HOUR(N472)</f>
        <v>14</v>
      </c>
      <c r="S472"/>
      <c r="T472"/>
      <c r="U472"/>
    </row>
    <row r="473" spans="1:21" s="1" customFormat="1" x14ac:dyDescent="0.25">
      <c r="A473" s="1">
        <v>494</v>
      </c>
      <c r="D473" s="2">
        <v>42153.60533564815</v>
      </c>
      <c r="E473" s="2">
        <v>42154.714270833334</v>
      </c>
      <c r="F473" s="1">
        <v>1</v>
      </c>
      <c r="G473" s="1">
        <v>1</v>
      </c>
      <c r="H473" s="1">
        <v>2</v>
      </c>
      <c r="I473" s="1">
        <v>1</v>
      </c>
      <c r="J473" s="1">
        <v>1</v>
      </c>
      <c r="K473" s="1">
        <v>2</v>
      </c>
      <c r="L473" s="3">
        <v>72</v>
      </c>
      <c r="M473" s="3" t="str">
        <f t="shared" si="61"/>
        <v>May</v>
      </c>
      <c r="N473" s="2">
        <v>42154.716180555559</v>
      </c>
      <c r="O473" s="1">
        <f t="shared" si="68"/>
        <v>30</v>
      </c>
      <c r="P473" s="1">
        <f t="shared" si="69"/>
        <v>7</v>
      </c>
      <c r="Q473" s="1">
        <f t="shared" si="70"/>
        <v>17</v>
      </c>
      <c r="S473"/>
      <c r="T473"/>
      <c r="U473"/>
    </row>
    <row r="474" spans="1:21" s="1" customFormat="1" x14ac:dyDescent="0.25">
      <c r="A474" s="1">
        <v>495</v>
      </c>
      <c r="B474" s="1" t="s">
        <v>80</v>
      </c>
      <c r="C474" s="1" t="s">
        <v>520</v>
      </c>
      <c r="D474" s="2">
        <v>42166.301481481481</v>
      </c>
      <c r="E474" s="2">
        <v>42166.301516203705</v>
      </c>
      <c r="F474" s="1">
        <v>1</v>
      </c>
      <c r="G474" s="1">
        <v>8</v>
      </c>
      <c r="H474" s="1">
        <v>2</v>
      </c>
      <c r="I474" s="1">
        <v>4</v>
      </c>
      <c r="J474" s="1">
        <v>1</v>
      </c>
      <c r="K474" s="1">
        <v>1</v>
      </c>
      <c r="L474" s="3">
        <v>28.8</v>
      </c>
      <c r="M474" s="3" t="str">
        <f t="shared" si="61"/>
        <v>Jun</v>
      </c>
      <c r="N474" s="2">
        <v>42166.301493055558</v>
      </c>
      <c r="O474" s="1">
        <f t="shared" si="68"/>
        <v>11</v>
      </c>
      <c r="P474" s="1">
        <f t="shared" si="69"/>
        <v>5</v>
      </c>
      <c r="Q474" s="1">
        <f t="shared" si="70"/>
        <v>7</v>
      </c>
      <c r="S474"/>
      <c r="T474"/>
      <c r="U474"/>
    </row>
    <row r="475" spans="1:21" s="1" customFormat="1" x14ac:dyDescent="0.25">
      <c r="A475" s="1">
        <v>496</v>
      </c>
      <c r="B475" s="1" t="s">
        <v>134</v>
      </c>
      <c r="C475" s="1" t="s">
        <v>521</v>
      </c>
      <c r="D475" s="2">
        <v>42021.611666666664</v>
      </c>
      <c r="E475" s="2">
        <v>42037.839074074072</v>
      </c>
      <c r="F475" s="1">
        <v>2</v>
      </c>
      <c r="G475" s="1">
        <v>2</v>
      </c>
      <c r="H475" s="1">
        <v>32</v>
      </c>
      <c r="I475" s="1">
        <v>5</v>
      </c>
      <c r="J475" s="1">
        <v>2</v>
      </c>
      <c r="K475" s="1">
        <v>16</v>
      </c>
      <c r="L475" s="4">
        <v>57.6</v>
      </c>
      <c r="M475" s="3" t="str">
        <f t="shared" si="61"/>
        <v>Jan</v>
      </c>
      <c r="N475" s="2">
        <v>42021.613692129627</v>
      </c>
      <c r="O475" s="1">
        <f t="shared" si="68"/>
        <v>17</v>
      </c>
      <c r="P475" s="1">
        <f t="shared" si="69"/>
        <v>7</v>
      </c>
      <c r="Q475" s="1">
        <f t="shared" si="70"/>
        <v>14</v>
      </c>
      <c r="S475"/>
      <c r="T475"/>
      <c r="U475"/>
    </row>
    <row r="476" spans="1:21" s="1" customFormat="1" x14ac:dyDescent="0.25">
      <c r="A476" s="1">
        <v>497</v>
      </c>
      <c r="B476" s="1" t="s">
        <v>80</v>
      </c>
      <c r="C476" s="1" t="s">
        <v>522</v>
      </c>
      <c r="D476" s="2">
        <v>42066.671851851854</v>
      </c>
      <c r="E476" s="2">
        <v>42067.570555555554</v>
      </c>
      <c r="F476" s="1">
        <v>3</v>
      </c>
      <c r="G476" s="1">
        <v>0</v>
      </c>
      <c r="H476" s="1">
        <v>4</v>
      </c>
      <c r="I476" s="1">
        <v>2</v>
      </c>
      <c r="J476" s="1">
        <v>1</v>
      </c>
      <c r="K476" s="1">
        <v>2</v>
      </c>
      <c r="L476" s="4">
        <v>9</v>
      </c>
      <c r="M476" s="3" t="str">
        <f t="shared" si="61"/>
        <v>Mar</v>
      </c>
      <c r="N476" s="2">
        <v>42066.671863425923</v>
      </c>
      <c r="O476" s="1">
        <f t="shared" si="68"/>
        <v>3</v>
      </c>
      <c r="P476" s="1">
        <f t="shared" si="69"/>
        <v>3</v>
      </c>
      <c r="Q476" s="1">
        <f t="shared" si="70"/>
        <v>16</v>
      </c>
      <c r="S476"/>
      <c r="T476"/>
      <c r="U476"/>
    </row>
    <row r="477" spans="1:21" s="1" customFormat="1" x14ac:dyDescent="0.25">
      <c r="A477" s="1">
        <v>498</v>
      </c>
      <c r="B477" s="1" t="s">
        <v>228</v>
      </c>
      <c r="C477" s="1" t="s">
        <v>523</v>
      </c>
      <c r="D477" s="2">
        <v>42252.365057870367</v>
      </c>
      <c r="E477" s="2">
        <v>42252.819421296299</v>
      </c>
      <c r="F477" s="1">
        <v>2</v>
      </c>
      <c r="G477" s="1">
        <v>2</v>
      </c>
      <c r="H477" s="1">
        <v>2</v>
      </c>
      <c r="I477" s="1">
        <v>2</v>
      </c>
      <c r="J477" s="1">
        <v>1</v>
      </c>
      <c r="K477" s="1">
        <v>1</v>
      </c>
      <c r="L477" s="3">
        <v>51.2</v>
      </c>
      <c r="M477" s="3" t="str">
        <f t="shared" si="61"/>
        <v>Sep</v>
      </c>
      <c r="N477" s="2">
        <v>42252.365057870367</v>
      </c>
      <c r="O477" s="1">
        <f t="shared" si="68"/>
        <v>5</v>
      </c>
      <c r="P477" s="1">
        <f t="shared" si="69"/>
        <v>7</v>
      </c>
      <c r="Q477" s="1">
        <f t="shared" si="70"/>
        <v>8</v>
      </c>
      <c r="S477"/>
      <c r="T477"/>
      <c r="U477"/>
    </row>
    <row r="478" spans="1:21" s="1" customFormat="1" x14ac:dyDescent="0.25">
      <c r="A478" s="1">
        <v>499</v>
      </c>
      <c r="D478" s="2">
        <v>42026.966168981482</v>
      </c>
      <c r="E478" s="2">
        <v>42026.966249999998</v>
      </c>
      <c r="F478" s="1">
        <v>1</v>
      </c>
      <c r="G478" s="1">
        <v>0</v>
      </c>
      <c r="H478" s="1">
        <v>8</v>
      </c>
      <c r="I478" s="1">
        <v>3</v>
      </c>
      <c r="J478" s="1">
        <v>1</v>
      </c>
      <c r="K478" s="1">
        <v>4</v>
      </c>
      <c r="L478" s="4">
        <v>27</v>
      </c>
      <c r="M478" s="3" t="str">
        <f t="shared" si="61"/>
        <v>Jan</v>
      </c>
      <c r="N478" s="2">
        <v>42026.970601851855</v>
      </c>
      <c r="O478" s="1">
        <f t="shared" si="68"/>
        <v>22</v>
      </c>
      <c r="P478" s="1">
        <f t="shared" si="69"/>
        <v>5</v>
      </c>
      <c r="Q478" s="1">
        <f t="shared" si="70"/>
        <v>23</v>
      </c>
      <c r="S478"/>
      <c r="T478"/>
      <c r="U478"/>
    </row>
    <row r="479" spans="1:21" s="1" customFormat="1" x14ac:dyDescent="0.25">
      <c r="A479" s="1">
        <v>500</v>
      </c>
      <c r="B479" s="1" t="s">
        <v>123</v>
      </c>
      <c r="C479" s="1" t="s">
        <v>524</v>
      </c>
      <c r="D479" s="2">
        <v>42241.851689814815</v>
      </c>
      <c r="E479" s="2">
        <v>42241.851724537039</v>
      </c>
      <c r="F479" s="1">
        <v>1</v>
      </c>
      <c r="G479" s="1">
        <v>4</v>
      </c>
      <c r="H479" s="1">
        <v>4</v>
      </c>
      <c r="I479" s="1">
        <v>2</v>
      </c>
      <c r="J479" s="1">
        <v>1</v>
      </c>
      <c r="K479" s="1">
        <v>1</v>
      </c>
      <c r="L479" s="3">
        <v>56.32</v>
      </c>
      <c r="M479" s="3" t="str">
        <f t="shared" si="61"/>
        <v>Aug</v>
      </c>
      <c r="N479" s="2">
        <v>42241.851689814815</v>
      </c>
      <c r="O479" s="1">
        <f t="shared" si="68"/>
        <v>25</v>
      </c>
      <c r="P479" s="1">
        <f t="shared" si="69"/>
        <v>3</v>
      </c>
      <c r="Q479" s="1">
        <f t="shared" si="70"/>
        <v>20</v>
      </c>
      <c r="S479"/>
      <c r="T479"/>
      <c r="U479"/>
    </row>
    <row r="480" spans="1:21" s="1" customFormat="1" x14ac:dyDescent="0.25">
      <c r="A480" s="1">
        <v>501</v>
      </c>
      <c r="B480" s="1" t="s">
        <v>100</v>
      </c>
      <c r="C480" s="1" t="s">
        <v>128</v>
      </c>
      <c r="D480" s="2">
        <v>42054.894930555558</v>
      </c>
      <c r="E480" s="2">
        <v>42054.894965277781</v>
      </c>
      <c r="F480" s="1">
        <v>1</v>
      </c>
      <c r="G480" s="1">
        <v>4</v>
      </c>
      <c r="H480" s="1">
        <v>6</v>
      </c>
      <c r="I480" s="1">
        <v>3</v>
      </c>
      <c r="J480" s="1">
        <v>1</v>
      </c>
      <c r="K480" s="1">
        <v>2</v>
      </c>
      <c r="L480" s="4">
        <v>14.4</v>
      </c>
      <c r="M480" s="3" t="str">
        <f t="shared" si="61"/>
        <v>Feb</v>
      </c>
      <c r="N480" s="2">
        <v>42054.896226851852</v>
      </c>
      <c r="O480" s="1">
        <f t="shared" si="68"/>
        <v>19</v>
      </c>
      <c r="P480" s="1">
        <f t="shared" si="69"/>
        <v>5</v>
      </c>
      <c r="Q480" s="1">
        <f t="shared" si="70"/>
        <v>21</v>
      </c>
      <c r="S480"/>
      <c r="T480"/>
      <c r="U480"/>
    </row>
    <row r="481" spans="1:21" s="1" customFormat="1" x14ac:dyDescent="0.25">
      <c r="A481" s="1">
        <v>502</v>
      </c>
      <c r="B481" s="1" t="s">
        <v>85</v>
      </c>
      <c r="C481" s="1" t="s">
        <v>525</v>
      </c>
      <c r="D481" s="2">
        <v>42045.504571759258</v>
      </c>
      <c r="E481" s="2">
        <v>42045.603252314817</v>
      </c>
      <c r="F481" s="1">
        <v>2</v>
      </c>
      <c r="G481" s="1">
        <v>2</v>
      </c>
      <c r="H481" s="1">
        <v>4</v>
      </c>
      <c r="I481" s="1">
        <v>5</v>
      </c>
      <c r="J481" s="1">
        <v>1</v>
      </c>
      <c r="K481" s="1">
        <v>2</v>
      </c>
      <c r="L481" s="4">
        <v>9</v>
      </c>
      <c r="M481" s="3" t="str">
        <f t="shared" si="61"/>
        <v>Feb</v>
      </c>
      <c r="N481" s="2">
        <v>42045.614050925928</v>
      </c>
      <c r="O481" s="1">
        <f t="shared" si="68"/>
        <v>10</v>
      </c>
      <c r="P481" s="1">
        <f t="shared" si="69"/>
        <v>3</v>
      </c>
      <c r="Q481" s="1">
        <f t="shared" si="70"/>
        <v>14</v>
      </c>
      <c r="S481"/>
      <c r="T481"/>
      <c r="U481"/>
    </row>
    <row r="482" spans="1:21" s="1" customFormat="1" x14ac:dyDescent="0.25">
      <c r="A482" s="1">
        <v>503</v>
      </c>
      <c r="B482" s="1" t="s">
        <v>134</v>
      </c>
      <c r="C482" s="1" t="s">
        <v>526</v>
      </c>
      <c r="D482" s="2">
        <v>42179.772939814815</v>
      </c>
      <c r="E482" s="2">
        <v>42179.60633101852</v>
      </c>
      <c r="F482" s="1">
        <v>1</v>
      </c>
      <c r="G482" s="1">
        <v>0</v>
      </c>
      <c r="H482" s="1">
        <v>4</v>
      </c>
      <c r="I482" s="1">
        <v>3</v>
      </c>
      <c r="J482" s="1">
        <v>1</v>
      </c>
      <c r="K482" s="1">
        <v>2</v>
      </c>
      <c r="L482" s="3">
        <v>18</v>
      </c>
      <c r="M482" s="3" t="str">
        <f t="shared" si="61"/>
        <v>Jun</v>
      </c>
      <c r="N482" s="2">
        <v>42179.606296296297</v>
      </c>
      <c r="O482" s="1">
        <f t="shared" si="68"/>
        <v>24</v>
      </c>
      <c r="P482" s="1">
        <f t="shared" si="69"/>
        <v>4</v>
      </c>
      <c r="Q482" s="1">
        <f t="shared" si="70"/>
        <v>14</v>
      </c>
      <c r="S482"/>
      <c r="T482"/>
      <c r="U482"/>
    </row>
    <row r="483" spans="1:21" s="1" customFormat="1" x14ac:dyDescent="0.25">
      <c r="A483" s="1">
        <v>504</v>
      </c>
      <c r="B483" s="1" t="s">
        <v>123</v>
      </c>
      <c r="C483" s="1" t="s">
        <v>527</v>
      </c>
      <c r="D483" s="2">
        <v>42172.636099537034</v>
      </c>
      <c r="E483" s="2">
        <v>42172.571516203701</v>
      </c>
      <c r="F483" s="1">
        <v>7</v>
      </c>
      <c r="G483" s="1">
        <v>4</v>
      </c>
      <c r="H483" s="1">
        <v>10</v>
      </c>
      <c r="I483" s="1">
        <v>2</v>
      </c>
      <c r="J483" s="1">
        <v>1</v>
      </c>
      <c r="K483" s="1">
        <v>4</v>
      </c>
      <c r="L483" s="3">
        <v>28.8</v>
      </c>
      <c r="M483" s="3" t="str">
        <f t="shared" si="61"/>
        <v>Jun</v>
      </c>
      <c r="N483" s="2">
        <v>42172.469456018516</v>
      </c>
      <c r="O483" s="1">
        <f t="shared" si="68"/>
        <v>17</v>
      </c>
      <c r="P483" s="1">
        <f t="shared" si="69"/>
        <v>4</v>
      </c>
      <c r="Q483" s="1">
        <f t="shared" si="70"/>
        <v>11</v>
      </c>
      <c r="S483"/>
      <c r="T483"/>
      <c r="U483"/>
    </row>
    <row r="484" spans="1:21" s="1" customFormat="1" x14ac:dyDescent="0.25">
      <c r="A484" s="1">
        <v>505</v>
      </c>
      <c r="B484" s="1" t="s">
        <v>354</v>
      </c>
      <c r="C484" s="1" t="s">
        <v>528</v>
      </c>
      <c r="D484" s="2">
        <v>42253.512557870374</v>
      </c>
      <c r="E484" s="2">
        <v>42253.512592592589</v>
      </c>
      <c r="F484" s="1">
        <v>1</v>
      </c>
      <c r="G484" s="1">
        <v>0</v>
      </c>
      <c r="H484" s="1">
        <v>2</v>
      </c>
      <c r="I484" s="1">
        <v>2</v>
      </c>
      <c r="J484" s="1">
        <v>1</v>
      </c>
      <c r="K484" s="1">
        <v>1</v>
      </c>
      <c r="L484" s="3">
        <v>11</v>
      </c>
      <c r="M484" s="3" t="str">
        <f t="shared" si="61"/>
        <v>Sep</v>
      </c>
      <c r="N484" s="2">
        <v>42253.512557870374</v>
      </c>
      <c r="O484" s="1">
        <f t="shared" si="68"/>
        <v>6</v>
      </c>
      <c r="P484" s="1">
        <f t="shared" si="69"/>
        <v>1</v>
      </c>
      <c r="Q484" s="1">
        <f t="shared" si="70"/>
        <v>12</v>
      </c>
      <c r="S484"/>
      <c r="T484"/>
      <c r="U484"/>
    </row>
    <row r="485" spans="1:21" s="1" customFormat="1" x14ac:dyDescent="0.25">
      <c r="A485" s="1">
        <v>506</v>
      </c>
      <c r="B485" s="1" t="s">
        <v>98</v>
      </c>
      <c r="C485" s="1" t="s">
        <v>529</v>
      </c>
      <c r="D485" s="2">
        <v>42021.640520833331</v>
      </c>
      <c r="E485" s="2">
        <v>42021.640601851854</v>
      </c>
      <c r="F485" s="1">
        <v>1</v>
      </c>
      <c r="G485" s="1">
        <v>0</v>
      </c>
      <c r="H485" s="1">
        <v>4</v>
      </c>
      <c r="I485" s="1">
        <v>2</v>
      </c>
      <c r="J485" s="1">
        <v>1</v>
      </c>
      <c r="K485" s="1">
        <v>2</v>
      </c>
      <c r="L485" s="4">
        <v>18</v>
      </c>
      <c r="M485" s="3" t="str">
        <f t="shared" si="61"/>
        <v>Jan</v>
      </c>
      <c r="N485" s="2">
        <v>42021.640567129631</v>
      </c>
      <c r="O485" s="1">
        <f t="shared" si="68"/>
        <v>17</v>
      </c>
      <c r="P485" s="1">
        <f t="shared" si="69"/>
        <v>7</v>
      </c>
      <c r="Q485" s="1">
        <f t="shared" si="70"/>
        <v>15</v>
      </c>
      <c r="S485"/>
      <c r="T485"/>
      <c r="U485"/>
    </row>
    <row r="486" spans="1:21" s="1" customFormat="1" x14ac:dyDescent="0.25">
      <c r="A486" s="1">
        <v>507</v>
      </c>
      <c r="B486" s="1" t="s">
        <v>100</v>
      </c>
      <c r="C486" s="1" t="s">
        <v>530</v>
      </c>
      <c r="D486" s="2">
        <v>42152.99013888889</v>
      </c>
      <c r="E486" s="2">
        <v>42152.990185185183</v>
      </c>
      <c r="F486" s="1">
        <v>1</v>
      </c>
      <c r="G486" s="1">
        <v>2</v>
      </c>
      <c r="H486" s="1">
        <v>4</v>
      </c>
      <c r="I486" s="1">
        <v>2</v>
      </c>
      <c r="J486" s="1">
        <v>1</v>
      </c>
      <c r="K486" s="1">
        <v>2</v>
      </c>
      <c r="L486" s="3">
        <v>52.8</v>
      </c>
      <c r="M486" s="3" t="str">
        <f t="shared" si="61"/>
        <v>May</v>
      </c>
      <c r="N486" s="2">
        <v>42152.99015046296</v>
      </c>
      <c r="O486" s="1">
        <f t="shared" si="68"/>
        <v>28</v>
      </c>
      <c r="P486" s="1">
        <f t="shared" si="69"/>
        <v>5</v>
      </c>
      <c r="Q486" s="1">
        <f t="shared" si="70"/>
        <v>23</v>
      </c>
      <c r="S486"/>
      <c r="T486"/>
      <c r="U486"/>
    </row>
    <row r="487" spans="1:21" s="1" customFormat="1" x14ac:dyDescent="0.25">
      <c r="A487" s="1">
        <v>508</v>
      </c>
      <c r="B487" s="1" t="s">
        <v>245</v>
      </c>
      <c r="C487" s="1" t="s">
        <v>531</v>
      </c>
      <c r="D487" s="2">
        <v>42218.983831018515</v>
      </c>
      <c r="E487" s="2">
        <v>42218.817210648151</v>
      </c>
      <c r="F487" s="1">
        <v>1</v>
      </c>
      <c r="G487" s="1">
        <v>4</v>
      </c>
      <c r="H487" s="1">
        <v>2</v>
      </c>
      <c r="I487" s="1">
        <v>2</v>
      </c>
      <c r="J487" s="1">
        <v>1</v>
      </c>
      <c r="K487" s="1">
        <v>1</v>
      </c>
      <c r="L487" s="3">
        <v>29.92</v>
      </c>
      <c r="M487" s="3" t="str">
        <f t="shared" si="61"/>
        <v>Aug</v>
      </c>
      <c r="N487" s="2">
        <v>42218.817175925928</v>
      </c>
      <c r="O487" s="1">
        <f t="shared" si="68"/>
        <v>2</v>
      </c>
      <c r="P487" s="1">
        <f t="shared" si="69"/>
        <v>1</v>
      </c>
      <c r="Q487" s="1">
        <f t="shared" si="70"/>
        <v>19</v>
      </c>
      <c r="S487"/>
      <c r="T487"/>
      <c r="U487"/>
    </row>
    <row r="488" spans="1:21" s="1" customFormat="1" x14ac:dyDescent="0.25">
      <c r="A488" s="1">
        <v>509</v>
      </c>
      <c r="B488" s="1" t="s">
        <v>91</v>
      </c>
      <c r="C488" s="1" t="s">
        <v>532</v>
      </c>
      <c r="D488" s="2">
        <v>42251.50271990741</v>
      </c>
      <c r="E488" s="2">
        <v>42251.502754629626</v>
      </c>
      <c r="F488" s="1">
        <v>1</v>
      </c>
      <c r="G488" s="1">
        <v>6</v>
      </c>
      <c r="H488" s="1">
        <v>4</v>
      </c>
      <c r="I488" s="1">
        <v>2</v>
      </c>
      <c r="J488" s="1">
        <v>1</v>
      </c>
      <c r="K488" s="1">
        <v>2</v>
      </c>
      <c r="L488" s="3">
        <v>22</v>
      </c>
      <c r="M488" s="3" t="str">
        <f t="shared" si="61"/>
        <v>Sep</v>
      </c>
      <c r="N488" s="2">
        <v>42251.50271990741</v>
      </c>
      <c r="O488" s="1">
        <f t="shared" si="68"/>
        <v>4</v>
      </c>
      <c r="P488" s="1">
        <f t="shared" si="69"/>
        <v>6</v>
      </c>
      <c r="Q488" s="1">
        <f t="shared" si="70"/>
        <v>12</v>
      </c>
      <c r="S488"/>
      <c r="T488"/>
      <c r="U488"/>
    </row>
    <row r="489" spans="1:21" s="1" customFormat="1" x14ac:dyDescent="0.25">
      <c r="A489" s="1">
        <v>510</v>
      </c>
      <c r="D489" s="2">
        <v>42027.73777777778</v>
      </c>
      <c r="E489" s="2">
        <v>42031.697245370371</v>
      </c>
      <c r="F489" s="1">
        <v>2</v>
      </c>
      <c r="G489" s="1">
        <v>0</v>
      </c>
      <c r="H489" s="1">
        <v>4</v>
      </c>
      <c r="I489" s="1">
        <v>7</v>
      </c>
      <c r="J489" s="1">
        <v>1</v>
      </c>
      <c r="K489" s="1">
        <v>1</v>
      </c>
      <c r="L489" s="4">
        <v>27</v>
      </c>
      <c r="M489" s="3" t="str">
        <f t="shared" si="61"/>
        <v>Jan</v>
      </c>
      <c r="N489" s="2">
        <v>42027.737870370373</v>
      </c>
      <c r="O489" s="1">
        <f t="shared" si="68"/>
        <v>23</v>
      </c>
      <c r="P489" s="1">
        <f t="shared" si="69"/>
        <v>6</v>
      </c>
      <c r="Q489" s="1">
        <f t="shared" si="70"/>
        <v>17</v>
      </c>
      <c r="S489"/>
      <c r="T489"/>
      <c r="U489"/>
    </row>
    <row r="490" spans="1:21" s="1" customFormat="1" x14ac:dyDescent="0.25">
      <c r="A490" s="1">
        <v>511</v>
      </c>
      <c r="B490" s="1" t="s">
        <v>123</v>
      </c>
      <c r="C490" s="1" t="s">
        <v>533</v>
      </c>
      <c r="D490" s="2">
        <v>42110.622685185182</v>
      </c>
      <c r="E490" s="2">
        <v>42110.992731481485</v>
      </c>
      <c r="F490" s="1">
        <v>4</v>
      </c>
      <c r="G490" s="1">
        <v>0</v>
      </c>
      <c r="H490" s="1">
        <v>4</v>
      </c>
      <c r="I490" s="1">
        <v>1</v>
      </c>
      <c r="J490" s="1">
        <v>1</v>
      </c>
      <c r="K490" s="1">
        <v>2</v>
      </c>
      <c r="L490" s="4">
        <v>18</v>
      </c>
      <c r="M490" s="3" t="str">
        <f t="shared" si="61"/>
        <v>Apr</v>
      </c>
      <c r="N490" s="2">
        <v>42110.622685185182</v>
      </c>
      <c r="O490" s="1">
        <f t="shared" si="68"/>
        <v>16</v>
      </c>
      <c r="P490" s="1">
        <f t="shared" si="69"/>
        <v>5</v>
      </c>
      <c r="Q490" s="1">
        <f t="shared" si="70"/>
        <v>14</v>
      </c>
      <c r="S490"/>
      <c r="T490"/>
      <c r="U490"/>
    </row>
    <row r="491" spans="1:21" s="1" customFormat="1" x14ac:dyDescent="0.25">
      <c r="A491" s="1">
        <v>512</v>
      </c>
      <c r="B491" s="1" t="s">
        <v>100</v>
      </c>
      <c r="C491" s="1" t="s">
        <v>534</v>
      </c>
      <c r="D491" s="2">
        <v>42155.740960648145</v>
      </c>
      <c r="E491" s="2">
        <v>42155.741006944445</v>
      </c>
      <c r="F491" s="1">
        <v>1</v>
      </c>
      <c r="G491" s="1">
        <v>2</v>
      </c>
      <c r="H491" s="1">
        <v>2</v>
      </c>
      <c r="I491" s="1">
        <v>2</v>
      </c>
      <c r="J491" s="1">
        <v>1</v>
      </c>
      <c r="K491" s="1">
        <v>1</v>
      </c>
      <c r="L491" s="3">
        <v>28.8</v>
      </c>
      <c r="M491" s="3" t="str">
        <f t="shared" si="61"/>
        <v>May</v>
      </c>
      <c r="N491" s="2">
        <v>42155.740972222222</v>
      </c>
      <c r="O491" s="1">
        <f t="shared" si="68"/>
        <v>31</v>
      </c>
      <c r="P491" s="1">
        <f t="shared" si="69"/>
        <v>1</v>
      </c>
      <c r="Q491" s="1">
        <f t="shared" si="70"/>
        <v>17</v>
      </c>
      <c r="S491"/>
      <c r="T491"/>
      <c r="U491"/>
    </row>
    <row r="492" spans="1:21" s="1" customFormat="1" x14ac:dyDescent="0.25">
      <c r="A492" s="1">
        <v>513</v>
      </c>
      <c r="B492" s="1" t="s">
        <v>119</v>
      </c>
      <c r="C492" s="1" t="s">
        <v>535</v>
      </c>
      <c r="D492" s="2">
        <v>42170.248865740738</v>
      </c>
      <c r="E492" s="2">
        <v>42170.082256944443</v>
      </c>
      <c r="F492" s="1">
        <v>1</v>
      </c>
      <c r="G492" s="1">
        <v>2</v>
      </c>
      <c r="H492" s="1">
        <v>2</v>
      </c>
      <c r="I492" s="1">
        <v>2</v>
      </c>
      <c r="J492" s="1">
        <v>1</v>
      </c>
      <c r="K492" s="1">
        <v>1</v>
      </c>
      <c r="L492" s="3">
        <v>57.6</v>
      </c>
      <c r="M492" s="3" t="str">
        <f t="shared" si="61"/>
        <v>Jun</v>
      </c>
      <c r="N492" s="2">
        <v>42170.08222222222</v>
      </c>
      <c r="O492" s="1">
        <f t="shared" si="68"/>
        <v>15</v>
      </c>
      <c r="P492" s="1">
        <f t="shared" si="69"/>
        <v>2</v>
      </c>
      <c r="Q492" s="1">
        <f t="shared" si="70"/>
        <v>1</v>
      </c>
      <c r="S492"/>
      <c r="T492"/>
      <c r="U492"/>
    </row>
    <row r="493" spans="1:21" s="1" customFormat="1" x14ac:dyDescent="0.25">
      <c r="A493" s="1">
        <v>514</v>
      </c>
      <c r="B493" s="1" t="s">
        <v>116</v>
      </c>
      <c r="C493" s="1" t="s">
        <v>536</v>
      </c>
      <c r="D493" s="2">
        <v>42251.912418981483</v>
      </c>
      <c r="E493" s="2">
        <v>42251.745810185188</v>
      </c>
      <c r="F493" s="1">
        <v>1</v>
      </c>
      <c r="G493" s="1">
        <v>14</v>
      </c>
      <c r="H493" s="1">
        <v>10</v>
      </c>
      <c r="I493" s="1">
        <v>2</v>
      </c>
      <c r="J493" s="1">
        <v>1</v>
      </c>
      <c r="K493" s="1">
        <v>5</v>
      </c>
      <c r="L493" s="3">
        <v>65.92</v>
      </c>
      <c r="M493" s="3" t="str">
        <f t="shared" si="61"/>
        <v>Sep</v>
      </c>
      <c r="N493" s="2">
        <v>42251.745763888888</v>
      </c>
      <c r="O493" s="1">
        <f t="shared" si="68"/>
        <v>4</v>
      </c>
      <c r="P493" s="1">
        <f t="shared" si="69"/>
        <v>6</v>
      </c>
      <c r="Q493" s="1">
        <f t="shared" si="70"/>
        <v>17</v>
      </c>
      <c r="S493"/>
      <c r="T493"/>
      <c r="U493"/>
    </row>
    <row r="494" spans="1:21" s="1" customFormat="1" x14ac:dyDescent="0.25">
      <c r="A494" s="1">
        <v>515</v>
      </c>
      <c r="B494" s="1" t="s">
        <v>100</v>
      </c>
      <c r="C494" s="1" t="s">
        <v>537</v>
      </c>
      <c r="D494" s="2">
        <v>42082.794212962966</v>
      </c>
      <c r="E494" s="2">
        <v>42082.794259259259</v>
      </c>
      <c r="F494" s="1">
        <v>1</v>
      </c>
      <c r="G494" s="1">
        <v>0</v>
      </c>
      <c r="H494" s="1">
        <v>6</v>
      </c>
      <c r="I494" s="1">
        <v>1</v>
      </c>
      <c r="J494" s="1">
        <v>1</v>
      </c>
      <c r="K494" s="1">
        <v>2</v>
      </c>
      <c r="L494" s="4">
        <v>9</v>
      </c>
      <c r="M494" s="3" t="str">
        <f t="shared" si="61"/>
        <v>Mar</v>
      </c>
      <c r="N494" s="2">
        <v>42082.794224537036</v>
      </c>
      <c r="O494" s="1">
        <f t="shared" si="68"/>
        <v>19</v>
      </c>
      <c r="P494" s="1">
        <f t="shared" si="69"/>
        <v>5</v>
      </c>
      <c r="Q494" s="1">
        <f t="shared" si="70"/>
        <v>19</v>
      </c>
      <c r="S494"/>
      <c r="T494"/>
      <c r="U494"/>
    </row>
    <row r="495" spans="1:21" s="1" customFormat="1" x14ac:dyDescent="0.25">
      <c r="A495" s="1">
        <v>516</v>
      </c>
      <c r="B495" s="1" t="s">
        <v>100</v>
      </c>
      <c r="C495" s="1" t="s">
        <v>538</v>
      </c>
      <c r="D495" s="2">
        <v>42027.083078703705</v>
      </c>
      <c r="E495" s="2">
        <v>42027.083171296297</v>
      </c>
      <c r="F495" s="1">
        <v>1</v>
      </c>
      <c r="G495" s="1">
        <v>0</v>
      </c>
      <c r="H495" s="1">
        <v>14</v>
      </c>
      <c r="I495" s="1">
        <v>2</v>
      </c>
      <c r="J495" s="1">
        <v>1</v>
      </c>
      <c r="K495" s="1">
        <v>6</v>
      </c>
      <c r="L495" s="4">
        <v>43.2</v>
      </c>
      <c r="M495" s="3" t="str">
        <f t="shared" si="61"/>
        <v>Jan</v>
      </c>
      <c r="N495" s="2">
        <v>42027.083124999997</v>
      </c>
      <c r="O495" s="1">
        <f t="shared" si="68"/>
        <v>23</v>
      </c>
      <c r="P495" s="1">
        <f t="shared" si="69"/>
        <v>6</v>
      </c>
      <c r="Q495" s="1">
        <f t="shared" si="70"/>
        <v>1</v>
      </c>
      <c r="S495"/>
      <c r="T495"/>
      <c r="U495"/>
    </row>
    <row r="496" spans="1:21" s="1" customFormat="1" x14ac:dyDescent="0.25">
      <c r="A496" s="1">
        <v>517</v>
      </c>
      <c r="B496" s="1" t="s">
        <v>96</v>
      </c>
      <c r="C496" s="1" t="s">
        <v>539</v>
      </c>
      <c r="D496" s="2">
        <v>42067.83997685185</v>
      </c>
      <c r="E496" s="2">
        <v>42067.84003472222</v>
      </c>
      <c r="F496" s="1">
        <v>1</v>
      </c>
      <c r="G496" s="1">
        <v>0</v>
      </c>
      <c r="H496" s="1">
        <v>16</v>
      </c>
      <c r="I496" s="1">
        <v>1</v>
      </c>
      <c r="J496" s="1">
        <v>1</v>
      </c>
      <c r="K496" s="1">
        <v>4</v>
      </c>
      <c r="L496" s="4">
        <v>28.8</v>
      </c>
      <c r="M496" s="3" t="str">
        <f t="shared" si="61"/>
        <v>Mar</v>
      </c>
      <c r="N496" s="2">
        <v>42067.839988425927</v>
      </c>
      <c r="O496" s="1">
        <f t="shared" si="68"/>
        <v>4</v>
      </c>
      <c r="P496" s="1">
        <f t="shared" si="69"/>
        <v>4</v>
      </c>
      <c r="Q496" s="1">
        <f t="shared" si="70"/>
        <v>20</v>
      </c>
      <c r="S496"/>
      <c r="T496"/>
      <c r="U496"/>
    </row>
    <row r="497" spans="1:21" s="1" customFormat="1" x14ac:dyDescent="0.25">
      <c r="A497" s="1">
        <v>519</v>
      </c>
      <c r="B497" s="1" t="s">
        <v>341</v>
      </c>
      <c r="C497" s="1" t="s">
        <v>540</v>
      </c>
      <c r="D497" s="2">
        <v>42269.289675925924</v>
      </c>
      <c r="E497" s="2">
        <v>42269.289722222224</v>
      </c>
      <c r="F497" s="1">
        <v>1</v>
      </c>
      <c r="G497" s="1">
        <v>2</v>
      </c>
      <c r="H497" s="1">
        <v>2</v>
      </c>
      <c r="I497" s="1">
        <v>2</v>
      </c>
      <c r="J497" s="1">
        <v>1</v>
      </c>
      <c r="K497" s="1">
        <v>1</v>
      </c>
      <c r="L497" s="3">
        <v>29.92</v>
      </c>
      <c r="M497" s="3" t="str">
        <f t="shared" si="61"/>
        <v>Sep</v>
      </c>
      <c r="N497" s="2">
        <v>42269.289675925924</v>
      </c>
      <c r="O497" s="1">
        <f t="shared" ref="O497:O536" si="71">DAY(N497)</f>
        <v>22</v>
      </c>
      <c r="P497" s="1">
        <f t="shared" ref="P497:P536" si="72">WEEKDAY(N497,1)</f>
        <v>3</v>
      </c>
      <c r="Q497" s="1">
        <f t="shared" ref="Q497:Q536" si="73">HOUR(N497)</f>
        <v>6</v>
      </c>
      <c r="S497"/>
      <c r="T497"/>
      <c r="U497"/>
    </row>
    <row r="498" spans="1:21" s="1" customFormat="1" x14ac:dyDescent="0.25">
      <c r="A498" s="1">
        <v>520</v>
      </c>
      <c r="B498" s="1" t="s">
        <v>274</v>
      </c>
      <c r="C498" s="1" t="s">
        <v>541</v>
      </c>
      <c r="D498" s="2">
        <v>42247.04011574074</v>
      </c>
      <c r="E498" s="2">
        <v>42246.873483796298</v>
      </c>
      <c r="F498" s="1">
        <v>1</v>
      </c>
      <c r="G498" s="1">
        <v>2</v>
      </c>
      <c r="H498" s="1">
        <v>2</v>
      </c>
      <c r="I498" s="1">
        <v>2</v>
      </c>
      <c r="J498" s="1">
        <v>1</v>
      </c>
      <c r="K498" s="1">
        <v>1</v>
      </c>
      <c r="L498" s="3">
        <v>30.6</v>
      </c>
      <c r="M498" s="3" t="str">
        <f t="shared" si="61"/>
        <v>Aug</v>
      </c>
      <c r="N498" s="2">
        <v>42246.873449074075</v>
      </c>
      <c r="O498" s="1">
        <f t="shared" si="71"/>
        <v>30</v>
      </c>
      <c r="P498" s="1">
        <f t="shared" si="72"/>
        <v>1</v>
      </c>
      <c r="Q498" s="1">
        <f t="shared" si="73"/>
        <v>20</v>
      </c>
      <c r="S498"/>
      <c r="T498"/>
      <c r="U498"/>
    </row>
    <row r="499" spans="1:21" s="1" customFormat="1" x14ac:dyDescent="0.25">
      <c r="A499" s="1">
        <v>521</v>
      </c>
      <c r="B499" s="1" t="s">
        <v>107</v>
      </c>
      <c r="C499" s="1" t="s">
        <v>542</v>
      </c>
      <c r="D499" s="2">
        <v>42167.473912037036</v>
      </c>
      <c r="E499" s="2">
        <v>42167.473958333336</v>
      </c>
      <c r="F499" s="1">
        <v>1</v>
      </c>
      <c r="G499" s="1">
        <v>2</v>
      </c>
      <c r="H499" s="1">
        <v>2</v>
      </c>
      <c r="I499" s="1">
        <v>4</v>
      </c>
      <c r="J499" s="1">
        <v>1</v>
      </c>
      <c r="K499" s="1">
        <v>1</v>
      </c>
      <c r="L499" s="3">
        <v>28.8</v>
      </c>
      <c r="M499" s="3" t="str">
        <f t="shared" si="61"/>
        <v>Jun</v>
      </c>
      <c r="N499" s="2">
        <v>42167.473923611113</v>
      </c>
      <c r="O499" s="1">
        <f t="shared" si="71"/>
        <v>12</v>
      </c>
      <c r="P499" s="1">
        <f t="shared" si="72"/>
        <v>6</v>
      </c>
      <c r="Q499" s="1">
        <f t="shared" si="73"/>
        <v>11</v>
      </c>
      <c r="S499"/>
      <c r="T499"/>
      <c r="U499"/>
    </row>
    <row r="500" spans="1:21" s="1" customFormat="1" x14ac:dyDescent="0.25">
      <c r="A500" s="1">
        <v>522</v>
      </c>
      <c r="B500" s="1" t="s">
        <v>96</v>
      </c>
      <c r="C500" s="1" t="s">
        <v>543</v>
      </c>
      <c r="D500" s="2">
        <v>42053.681990740741</v>
      </c>
      <c r="E500" s="2">
        <v>42054.332314814812</v>
      </c>
      <c r="F500" s="1">
        <v>2</v>
      </c>
      <c r="G500" s="1">
        <v>2</v>
      </c>
      <c r="H500" s="1">
        <v>4</v>
      </c>
      <c r="I500" s="1">
        <v>1</v>
      </c>
      <c r="J500" s="1">
        <v>1</v>
      </c>
      <c r="K500" s="1">
        <v>2</v>
      </c>
      <c r="L500" s="4">
        <v>18</v>
      </c>
      <c r="M500" s="3" t="str">
        <f t="shared" si="61"/>
        <v>Feb</v>
      </c>
      <c r="N500" s="2">
        <v>42053.682002314818</v>
      </c>
      <c r="O500" s="1">
        <f t="shared" si="71"/>
        <v>18</v>
      </c>
      <c r="P500" s="1">
        <f t="shared" si="72"/>
        <v>4</v>
      </c>
      <c r="Q500" s="1">
        <f t="shared" si="73"/>
        <v>16</v>
      </c>
      <c r="S500"/>
      <c r="T500"/>
      <c r="U500"/>
    </row>
    <row r="501" spans="1:21" s="1" customFormat="1" x14ac:dyDescent="0.25">
      <c r="A501" s="1">
        <v>523</v>
      </c>
      <c r="B501" s="1" t="s">
        <v>107</v>
      </c>
      <c r="C501" s="1" t="s">
        <v>544</v>
      </c>
      <c r="D501" s="2">
        <v>42264.885613425926</v>
      </c>
      <c r="E501" s="2">
        <v>42264.885625000003</v>
      </c>
      <c r="F501" s="1">
        <v>1</v>
      </c>
      <c r="G501" s="1">
        <v>6</v>
      </c>
      <c r="H501" s="1">
        <v>3</v>
      </c>
      <c r="I501" s="1">
        <v>1</v>
      </c>
      <c r="J501" s="1">
        <v>1</v>
      </c>
      <c r="K501" s="1">
        <v>1</v>
      </c>
      <c r="L501" s="3">
        <v>56.32</v>
      </c>
      <c r="M501" s="3" t="str">
        <f t="shared" si="61"/>
        <v>Sep</v>
      </c>
      <c r="N501" s="2">
        <v>42264.900127314817</v>
      </c>
      <c r="O501" s="1">
        <f t="shared" si="71"/>
        <v>17</v>
      </c>
      <c r="P501" s="1">
        <f t="shared" si="72"/>
        <v>5</v>
      </c>
      <c r="Q501" s="1">
        <f t="shared" si="73"/>
        <v>21</v>
      </c>
      <c r="S501"/>
      <c r="T501"/>
      <c r="U501"/>
    </row>
    <row r="502" spans="1:21" s="1" customFormat="1" x14ac:dyDescent="0.25">
      <c r="A502" s="1">
        <v>524</v>
      </c>
      <c r="B502" s="1" t="s">
        <v>123</v>
      </c>
      <c r="C502" s="1" t="s">
        <v>545</v>
      </c>
      <c r="D502" s="2">
        <v>42022.865023148152</v>
      </c>
      <c r="E502" s="2">
        <v>42023.930381944447</v>
      </c>
      <c r="F502" s="1">
        <v>2</v>
      </c>
      <c r="G502" s="1">
        <v>0</v>
      </c>
      <c r="H502" s="1">
        <v>2</v>
      </c>
      <c r="I502" s="1">
        <v>3</v>
      </c>
      <c r="J502" s="1">
        <v>1</v>
      </c>
      <c r="K502" s="1">
        <v>1</v>
      </c>
      <c r="L502" s="4">
        <v>57.6</v>
      </c>
      <c r="M502" s="3" t="str">
        <f t="shared" si="61"/>
        <v>Jan</v>
      </c>
      <c r="N502" s="2">
        <v>42022.865046296298</v>
      </c>
      <c r="O502" s="1">
        <f t="shared" si="71"/>
        <v>18</v>
      </c>
      <c r="P502" s="1">
        <f t="shared" si="72"/>
        <v>1</v>
      </c>
      <c r="Q502" s="1">
        <f t="shared" si="73"/>
        <v>20</v>
      </c>
      <c r="S502"/>
      <c r="T502"/>
      <c r="U502"/>
    </row>
    <row r="503" spans="1:21" s="1" customFormat="1" x14ac:dyDescent="0.25">
      <c r="A503" s="1">
        <v>525</v>
      </c>
      <c r="B503" s="1" t="s">
        <v>512</v>
      </c>
      <c r="C503" s="1" t="s">
        <v>546</v>
      </c>
      <c r="D503" s="2">
        <v>42119.562662037039</v>
      </c>
      <c r="E503" s="2">
        <v>42119.562731481485</v>
      </c>
      <c r="F503" s="1">
        <v>1</v>
      </c>
      <c r="G503" s="1">
        <v>2</v>
      </c>
      <c r="H503" s="1">
        <v>12</v>
      </c>
      <c r="I503" s="1">
        <v>1</v>
      </c>
      <c r="J503" s="1">
        <v>1</v>
      </c>
      <c r="K503" s="1">
        <v>4</v>
      </c>
      <c r="L503" s="4">
        <v>28.8</v>
      </c>
      <c r="M503" s="3" t="str">
        <f t="shared" si="61"/>
        <v>Apr</v>
      </c>
      <c r="N503" s="2">
        <v>42119.562673611108</v>
      </c>
      <c r="O503" s="1">
        <f t="shared" si="71"/>
        <v>25</v>
      </c>
      <c r="P503" s="1">
        <f t="shared" si="72"/>
        <v>7</v>
      </c>
      <c r="Q503" s="1">
        <f t="shared" si="73"/>
        <v>13</v>
      </c>
      <c r="S503"/>
      <c r="T503"/>
      <c r="U503"/>
    </row>
    <row r="504" spans="1:21" s="1" customFormat="1" x14ac:dyDescent="0.25">
      <c r="A504" s="1">
        <v>526</v>
      </c>
      <c r="B504" s="1" t="s">
        <v>100</v>
      </c>
      <c r="C504" s="1" t="s">
        <v>547</v>
      </c>
      <c r="D504" s="2">
        <v>42102.158750000002</v>
      </c>
      <c r="E504" s="2">
        <v>42102.648796296293</v>
      </c>
      <c r="F504" s="1">
        <v>2</v>
      </c>
      <c r="G504" s="1">
        <v>10</v>
      </c>
      <c r="H504" s="1">
        <v>2</v>
      </c>
      <c r="I504" s="1">
        <v>1</v>
      </c>
      <c r="J504" s="1">
        <v>1</v>
      </c>
      <c r="K504" s="1">
        <v>4</v>
      </c>
      <c r="L504" s="4">
        <v>28.8</v>
      </c>
      <c r="M504" s="3" t="str">
        <f t="shared" si="61"/>
        <v>Apr</v>
      </c>
      <c r="N504" s="2">
        <v>42102.657372685186</v>
      </c>
      <c r="O504" s="1">
        <f t="shared" si="71"/>
        <v>8</v>
      </c>
      <c r="P504" s="1">
        <f t="shared" si="72"/>
        <v>4</v>
      </c>
      <c r="Q504" s="1">
        <f t="shared" si="73"/>
        <v>15</v>
      </c>
      <c r="S504"/>
      <c r="T504"/>
      <c r="U504"/>
    </row>
    <row r="505" spans="1:21" s="1" customFormat="1" x14ac:dyDescent="0.25">
      <c r="A505" s="1">
        <v>527</v>
      </c>
      <c r="B505" s="1" t="s">
        <v>103</v>
      </c>
      <c r="C505" s="1" t="s">
        <v>548</v>
      </c>
      <c r="D505" s="2">
        <v>42156.604074074072</v>
      </c>
      <c r="E505" s="2">
        <v>42156.604108796295</v>
      </c>
      <c r="F505" s="1">
        <v>1</v>
      </c>
      <c r="G505" s="1">
        <v>0</v>
      </c>
      <c r="H505" s="1">
        <v>2</v>
      </c>
      <c r="I505" s="1">
        <v>2</v>
      </c>
      <c r="J505" s="1">
        <v>1</v>
      </c>
      <c r="K505" s="1">
        <v>3</v>
      </c>
      <c r="L505" s="3">
        <v>86.4</v>
      </c>
      <c r="M505" s="3" t="str">
        <f t="shared" si="61"/>
        <v>Jun</v>
      </c>
      <c r="N505" s="2">
        <v>42156.604085648149</v>
      </c>
      <c r="O505" s="1">
        <f t="shared" si="71"/>
        <v>1</v>
      </c>
      <c r="P505" s="1">
        <f t="shared" si="72"/>
        <v>2</v>
      </c>
      <c r="Q505" s="1">
        <f t="shared" si="73"/>
        <v>14</v>
      </c>
      <c r="S505"/>
      <c r="T505"/>
      <c r="U505"/>
    </row>
    <row r="506" spans="1:21" s="1" customFormat="1" x14ac:dyDescent="0.25">
      <c r="A506" s="1">
        <v>528</v>
      </c>
      <c r="B506" s="1" t="s">
        <v>96</v>
      </c>
      <c r="C506" s="1" t="s">
        <v>157</v>
      </c>
      <c r="D506" s="2">
        <v>42198.461354166669</v>
      </c>
      <c r="E506" s="2">
        <v>42198.461400462962</v>
      </c>
      <c r="F506" s="1">
        <v>1</v>
      </c>
      <c r="G506" s="1">
        <v>2</v>
      </c>
      <c r="H506" s="1">
        <v>4</v>
      </c>
      <c r="I506" s="1">
        <v>2</v>
      </c>
      <c r="J506" s="1">
        <v>1</v>
      </c>
      <c r="K506" s="1">
        <v>2</v>
      </c>
      <c r="L506" s="3">
        <v>21</v>
      </c>
      <c r="M506" s="3" t="str">
        <f t="shared" si="61"/>
        <v>Jul</v>
      </c>
      <c r="N506" s="2">
        <v>42198.461365740739</v>
      </c>
      <c r="O506" s="1">
        <f t="shared" si="71"/>
        <v>13</v>
      </c>
      <c r="P506" s="1">
        <f t="shared" si="72"/>
        <v>2</v>
      </c>
      <c r="Q506" s="1">
        <f t="shared" si="73"/>
        <v>11</v>
      </c>
      <c r="S506"/>
      <c r="T506"/>
      <c r="U506"/>
    </row>
    <row r="507" spans="1:21" s="1" customFormat="1" x14ac:dyDescent="0.25">
      <c r="A507" s="1">
        <v>529</v>
      </c>
      <c r="B507" s="1" t="s">
        <v>83</v>
      </c>
      <c r="C507" s="1" t="s">
        <v>549</v>
      </c>
      <c r="D507" s="2">
        <v>42174.410555555558</v>
      </c>
      <c r="E507" s="2">
        <v>42174.410613425927</v>
      </c>
      <c r="F507" s="1">
        <v>1</v>
      </c>
      <c r="G507" s="1">
        <v>6</v>
      </c>
      <c r="H507" s="1">
        <v>10</v>
      </c>
      <c r="I507" s="1">
        <v>2</v>
      </c>
      <c r="J507" s="1">
        <v>1</v>
      </c>
      <c r="K507" s="1">
        <v>5</v>
      </c>
      <c r="L507" s="3">
        <v>40.799999999999997</v>
      </c>
      <c r="M507" s="3" t="str">
        <f t="shared" si="61"/>
        <v>Jun</v>
      </c>
      <c r="N507" s="2">
        <v>42174.410567129627</v>
      </c>
      <c r="O507" s="1">
        <f t="shared" si="71"/>
        <v>19</v>
      </c>
      <c r="P507" s="1">
        <f t="shared" si="72"/>
        <v>6</v>
      </c>
      <c r="Q507" s="1">
        <f t="shared" si="73"/>
        <v>9</v>
      </c>
      <c r="S507"/>
      <c r="T507"/>
      <c r="U507"/>
    </row>
    <row r="508" spans="1:21" s="1" customFormat="1" x14ac:dyDescent="0.25">
      <c r="A508" s="1">
        <v>530</v>
      </c>
      <c r="B508" s="1" t="s">
        <v>103</v>
      </c>
      <c r="C508" s="1" t="s">
        <v>550</v>
      </c>
      <c r="D508" s="2">
        <v>42008.796597222223</v>
      </c>
      <c r="E508" s="2">
        <v>42008.796666666669</v>
      </c>
      <c r="F508" s="1">
        <v>1</v>
      </c>
      <c r="G508" s="1">
        <v>0</v>
      </c>
      <c r="H508" s="1">
        <v>4</v>
      </c>
      <c r="I508" s="1">
        <v>2</v>
      </c>
      <c r="J508" s="1">
        <v>1</v>
      </c>
      <c r="K508" s="1">
        <v>8</v>
      </c>
      <c r="L508" s="4">
        <v>72</v>
      </c>
      <c r="M508" s="3" t="str">
        <f t="shared" si="61"/>
        <v>Jan</v>
      </c>
      <c r="N508" s="2">
        <v>42008.796620370369</v>
      </c>
      <c r="O508" s="1">
        <f t="shared" si="71"/>
        <v>4</v>
      </c>
      <c r="P508" s="1">
        <f t="shared" si="72"/>
        <v>1</v>
      </c>
      <c r="Q508" s="1">
        <f t="shared" si="73"/>
        <v>19</v>
      </c>
      <c r="S508"/>
      <c r="T508"/>
      <c r="U508"/>
    </row>
    <row r="509" spans="1:21" s="1" customFormat="1" x14ac:dyDescent="0.25">
      <c r="A509" s="1">
        <v>531</v>
      </c>
      <c r="B509" s="1" t="s">
        <v>123</v>
      </c>
      <c r="C509" s="1" t="s">
        <v>551</v>
      </c>
      <c r="D509" s="2">
        <v>42250.126793981479</v>
      </c>
      <c r="E509" s="2">
        <v>42249.960173611114</v>
      </c>
      <c r="F509" s="1">
        <v>1</v>
      </c>
      <c r="G509" s="1">
        <v>8</v>
      </c>
      <c r="H509" s="1">
        <v>4</v>
      </c>
      <c r="I509" s="1">
        <v>6</v>
      </c>
      <c r="J509" s="1">
        <v>1</v>
      </c>
      <c r="K509" s="1">
        <v>2</v>
      </c>
      <c r="L509" s="3">
        <v>22</v>
      </c>
      <c r="M509" s="3" t="str">
        <f t="shared" si="61"/>
        <v>Sep</v>
      </c>
      <c r="N509" s="2">
        <v>42249.960127314815</v>
      </c>
      <c r="O509" s="1">
        <f t="shared" si="71"/>
        <v>2</v>
      </c>
      <c r="P509" s="1">
        <f t="shared" si="72"/>
        <v>4</v>
      </c>
      <c r="Q509" s="1">
        <f t="shared" si="73"/>
        <v>23</v>
      </c>
      <c r="S509"/>
      <c r="T509"/>
      <c r="U509"/>
    </row>
    <row r="510" spans="1:21" s="1" customFormat="1" x14ac:dyDescent="0.25">
      <c r="A510" s="1">
        <v>532</v>
      </c>
      <c r="B510" s="1" t="s">
        <v>83</v>
      </c>
      <c r="C510" s="1" t="s">
        <v>552</v>
      </c>
      <c r="D510" s="2">
        <v>42053.633981481478</v>
      </c>
      <c r="E510" s="2">
        <v>42053.634027777778</v>
      </c>
      <c r="F510" s="1">
        <v>1</v>
      </c>
      <c r="G510" s="1">
        <v>0</v>
      </c>
      <c r="H510" s="1">
        <v>2</v>
      </c>
      <c r="I510" s="1">
        <v>1</v>
      </c>
      <c r="J510" s="1">
        <v>1</v>
      </c>
      <c r="K510" s="1">
        <v>1</v>
      </c>
      <c r="L510" s="4">
        <v>28.8</v>
      </c>
      <c r="M510" s="3" t="str">
        <f t="shared" si="61"/>
        <v>Feb</v>
      </c>
      <c r="N510" s="2">
        <v>42053.633993055555</v>
      </c>
      <c r="O510" s="1">
        <f t="shared" si="71"/>
        <v>18</v>
      </c>
      <c r="P510" s="1">
        <f t="shared" si="72"/>
        <v>4</v>
      </c>
      <c r="Q510" s="1">
        <f t="shared" si="73"/>
        <v>15</v>
      </c>
      <c r="S510"/>
      <c r="T510"/>
      <c r="U510"/>
    </row>
    <row r="511" spans="1:21" s="1" customFormat="1" x14ac:dyDescent="0.25">
      <c r="A511" s="1">
        <v>533</v>
      </c>
      <c r="B511" s="1" t="s">
        <v>212</v>
      </c>
      <c r="C511" s="1" t="s">
        <v>553</v>
      </c>
      <c r="D511" s="2">
        <v>42228.531782407408</v>
      </c>
      <c r="E511" s="2">
        <v>42228.365173611113</v>
      </c>
      <c r="F511" s="1">
        <v>1</v>
      </c>
      <c r="G511" s="1">
        <v>2</v>
      </c>
      <c r="H511" s="1">
        <v>2</v>
      </c>
      <c r="I511" s="1">
        <v>2</v>
      </c>
      <c r="J511" s="1">
        <v>1</v>
      </c>
      <c r="K511" s="1">
        <v>1</v>
      </c>
      <c r="L511" s="3">
        <v>29.92</v>
      </c>
      <c r="M511" s="3" t="str">
        <f t="shared" si="61"/>
        <v>Aug</v>
      </c>
      <c r="N511" s="2">
        <v>42228.365127314813</v>
      </c>
      <c r="O511" s="1">
        <f t="shared" si="71"/>
        <v>12</v>
      </c>
      <c r="P511" s="1">
        <f t="shared" si="72"/>
        <v>4</v>
      </c>
      <c r="Q511" s="1">
        <f t="shared" si="73"/>
        <v>8</v>
      </c>
      <c r="S511"/>
      <c r="T511"/>
      <c r="U511"/>
    </row>
    <row r="512" spans="1:21" s="1" customFormat="1" x14ac:dyDescent="0.25">
      <c r="A512" s="1">
        <v>534</v>
      </c>
      <c r="B512" s="1" t="s">
        <v>341</v>
      </c>
      <c r="C512" s="1" t="s">
        <v>554</v>
      </c>
      <c r="D512" s="2">
        <v>42191.049108796295</v>
      </c>
      <c r="E512" s="2">
        <v>42190.882453703707</v>
      </c>
      <c r="F512" s="1">
        <v>1</v>
      </c>
      <c r="G512" s="1">
        <v>2</v>
      </c>
      <c r="H512" s="1">
        <v>1</v>
      </c>
      <c r="I512" s="1">
        <v>1</v>
      </c>
      <c r="J512" s="1">
        <v>1</v>
      </c>
      <c r="K512" s="1">
        <v>1</v>
      </c>
      <c r="L512" s="3">
        <v>28.8</v>
      </c>
      <c r="M512" s="3" t="str">
        <f t="shared" si="61"/>
        <v>Jul</v>
      </c>
      <c r="N512" s="2">
        <v>42190.884583333333</v>
      </c>
      <c r="O512" s="1">
        <f t="shared" si="71"/>
        <v>5</v>
      </c>
      <c r="P512" s="1">
        <f t="shared" si="72"/>
        <v>1</v>
      </c>
      <c r="Q512" s="1">
        <f t="shared" si="73"/>
        <v>21</v>
      </c>
      <c r="S512"/>
      <c r="T512"/>
      <c r="U512"/>
    </row>
    <row r="513" spans="1:21" s="1" customFormat="1" x14ac:dyDescent="0.25">
      <c r="A513" s="1">
        <v>535</v>
      </c>
      <c r="B513" s="1" t="s">
        <v>131</v>
      </c>
      <c r="C513" s="1" t="s">
        <v>555</v>
      </c>
      <c r="D513" s="2">
        <v>42124.83699074074</v>
      </c>
      <c r="E513" s="2">
        <v>42124.837037037039</v>
      </c>
      <c r="F513" s="1">
        <v>1</v>
      </c>
      <c r="G513" s="1">
        <v>2</v>
      </c>
      <c r="H513" s="1">
        <v>2</v>
      </c>
      <c r="I513" s="1">
        <v>2</v>
      </c>
      <c r="J513" s="1">
        <v>1</v>
      </c>
      <c r="K513" s="1">
        <v>1</v>
      </c>
      <c r="L513" s="4">
        <v>28.8</v>
      </c>
      <c r="M513" s="3" t="str">
        <f t="shared" si="61"/>
        <v>Apr</v>
      </c>
      <c r="N513" s="2">
        <v>42124.837002314816</v>
      </c>
      <c r="O513" s="1">
        <f t="shared" si="71"/>
        <v>30</v>
      </c>
      <c r="P513" s="1">
        <f t="shared" si="72"/>
        <v>5</v>
      </c>
      <c r="Q513" s="1">
        <f t="shared" si="73"/>
        <v>20</v>
      </c>
      <c r="S513"/>
      <c r="T513"/>
      <c r="U513"/>
    </row>
    <row r="514" spans="1:21" s="1" customFormat="1" x14ac:dyDescent="0.25">
      <c r="A514" s="1">
        <v>536</v>
      </c>
      <c r="D514" s="2">
        <v>42125.033680555556</v>
      </c>
      <c r="E514" s="2">
        <v>42125.033738425926</v>
      </c>
      <c r="F514" s="1">
        <v>1</v>
      </c>
      <c r="G514" s="1">
        <v>6</v>
      </c>
      <c r="H514" s="1">
        <v>4</v>
      </c>
      <c r="I514" s="1">
        <v>1</v>
      </c>
      <c r="J514" s="1">
        <v>1</v>
      </c>
      <c r="K514" s="1">
        <v>1</v>
      </c>
      <c r="L514" s="4">
        <v>36</v>
      </c>
      <c r="M514" s="3" t="str">
        <f t="shared" si="61"/>
        <v>May</v>
      </c>
      <c r="N514" s="2">
        <v>42125.033703703702</v>
      </c>
      <c r="O514" s="1">
        <f t="shared" si="71"/>
        <v>1</v>
      </c>
      <c r="P514" s="1">
        <f t="shared" si="72"/>
        <v>6</v>
      </c>
      <c r="Q514" s="1">
        <f t="shared" si="73"/>
        <v>0</v>
      </c>
      <c r="S514"/>
      <c r="T514"/>
      <c r="U514"/>
    </row>
    <row r="515" spans="1:21" s="1" customFormat="1" x14ac:dyDescent="0.25">
      <c r="A515" s="1">
        <v>537</v>
      </c>
      <c r="B515" s="1" t="s">
        <v>96</v>
      </c>
      <c r="C515" s="1" t="s">
        <v>556</v>
      </c>
      <c r="D515" s="2">
        <v>42213.011724537035</v>
      </c>
      <c r="E515" s="2">
        <v>42213.011770833335</v>
      </c>
      <c r="F515" s="1">
        <v>1</v>
      </c>
      <c r="G515" s="1">
        <v>6</v>
      </c>
      <c r="H515" s="1">
        <v>4</v>
      </c>
      <c r="I515" s="1">
        <v>2</v>
      </c>
      <c r="J515" s="1">
        <v>1</v>
      </c>
      <c r="K515" s="1">
        <v>1</v>
      </c>
      <c r="L515" s="3">
        <v>30.6</v>
      </c>
      <c r="M515" s="3" t="str">
        <f t="shared" ref="M515:M578" si="74">TEXT(N515,"mmm")</f>
        <v>Jul</v>
      </c>
      <c r="N515" s="2">
        <v>42213.011736111112</v>
      </c>
      <c r="O515" s="1">
        <f t="shared" si="71"/>
        <v>28</v>
      </c>
      <c r="P515" s="1">
        <f t="shared" si="72"/>
        <v>3</v>
      </c>
      <c r="Q515" s="1">
        <f t="shared" si="73"/>
        <v>0</v>
      </c>
      <c r="S515"/>
      <c r="T515"/>
      <c r="U515"/>
    </row>
    <row r="516" spans="1:21" s="1" customFormat="1" x14ac:dyDescent="0.25">
      <c r="A516" s="1">
        <v>538</v>
      </c>
      <c r="B516" s="1" t="s">
        <v>274</v>
      </c>
      <c r="C516" s="1" t="s">
        <v>280</v>
      </c>
      <c r="D516" s="2">
        <v>42122.918587962966</v>
      </c>
      <c r="E516" s="2">
        <v>42122.918634259258</v>
      </c>
      <c r="F516" s="1">
        <v>1</v>
      </c>
      <c r="G516" s="1">
        <v>0</v>
      </c>
      <c r="H516" s="1">
        <v>4</v>
      </c>
      <c r="I516" s="1">
        <v>2</v>
      </c>
      <c r="J516" s="1">
        <v>1</v>
      </c>
      <c r="K516" s="1">
        <v>2</v>
      </c>
      <c r="L516" s="4">
        <v>18</v>
      </c>
      <c r="M516" s="3" t="str">
        <f t="shared" si="74"/>
        <v>Apr</v>
      </c>
      <c r="N516" s="2">
        <v>42122.918587962966</v>
      </c>
      <c r="O516" s="1">
        <f t="shared" si="71"/>
        <v>28</v>
      </c>
      <c r="P516" s="1">
        <f t="shared" si="72"/>
        <v>3</v>
      </c>
      <c r="Q516" s="1">
        <f t="shared" si="73"/>
        <v>22</v>
      </c>
      <c r="S516"/>
      <c r="T516"/>
      <c r="U516"/>
    </row>
    <row r="517" spans="1:21" s="1" customFormat="1" x14ac:dyDescent="0.25">
      <c r="A517" s="1">
        <v>539</v>
      </c>
      <c r="B517" s="1" t="s">
        <v>96</v>
      </c>
      <c r="C517" s="1" t="s">
        <v>557</v>
      </c>
      <c r="D517" s="2">
        <v>42174.023055555554</v>
      </c>
      <c r="E517" s="2">
        <v>42173.856469907405</v>
      </c>
      <c r="F517" s="1">
        <v>1</v>
      </c>
      <c r="G517" s="1">
        <v>7</v>
      </c>
      <c r="H517" s="1">
        <v>8</v>
      </c>
      <c r="I517" s="1">
        <v>2</v>
      </c>
      <c r="J517" s="1">
        <v>1</v>
      </c>
      <c r="K517" s="1">
        <v>5</v>
      </c>
      <c r="L517" s="3">
        <v>36</v>
      </c>
      <c r="M517" s="3" t="str">
        <f t="shared" si="74"/>
        <v>Jun</v>
      </c>
      <c r="N517" s="2">
        <v>42173.856412037036</v>
      </c>
      <c r="O517" s="1">
        <f t="shared" si="71"/>
        <v>18</v>
      </c>
      <c r="P517" s="1">
        <f t="shared" si="72"/>
        <v>5</v>
      </c>
      <c r="Q517" s="1">
        <f t="shared" si="73"/>
        <v>20</v>
      </c>
      <c r="S517"/>
      <c r="T517"/>
      <c r="U517"/>
    </row>
    <row r="518" spans="1:21" s="1" customFormat="1" x14ac:dyDescent="0.25">
      <c r="A518" s="1">
        <v>540</v>
      </c>
      <c r="B518" s="1" t="s">
        <v>134</v>
      </c>
      <c r="C518" s="1" t="s">
        <v>558</v>
      </c>
      <c r="D518" s="2">
        <v>42071.859490740739</v>
      </c>
      <c r="E518" s="2">
        <v>42071.859548611108</v>
      </c>
      <c r="F518" s="1">
        <v>1</v>
      </c>
      <c r="G518" s="1">
        <v>0</v>
      </c>
      <c r="H518" s="1">
        <v>2</v>
      </c>
      <c r="I518" s="1">
        <v>1</v>
      </c>
      <c r="J518" s="1">
        <v>1</v>
      </c>
      <c r="K518" s="1">
        <v>1</v>
      </c>
      <c r="L518" s="4">
        <v>57.6</v>
      </c>
      <c r="M518" s="3" t="str">
        <f t="shared" si="74"/>
        <v>Mar</v>
      </c>
      <c r="N518" s="2">
        <v>42071.859502314815</v>
      </c>
      <c r="O518" s="1">
        <f t="shared" si="71"/>
        <v>8</v>
      </c>
      <c r="P518" s="1">
        <f t="shared" si="72"/>
        <v>1</v>
      </c>
      <c r="Q518" s="1">
        <f t="shared" si="73"/>
        <v>20</v>
      </c>
      <c r="S518"/>
      <c r="T518"/>
      <c r="U518"/>
    </row>
    <row r="519" spans="1:21" s="1" customFormat="1" x14ac:dyDescent="0.25">
      <c r="A519" s="1">
        <v>541</v>
      </c>
      <c r="B519" s="1" t="s">
        <v>100</v>
      </c>
      <c r="C519" s="1" t="s">
        <v>559</v>
      </c>
      <c r="D519" s="2">
        <v>42156.892025462963</v>
      </c>
      <c r="E519" s="2">
        <v>42157.494826388887</v>
      </c>
      <c r="F519" s="1">
        <v>2</v>
      </c>
      <c r="G519" s="1">
        <v>0</v>
      </c>
      <c r="H519" s="1">
        <v>2</v>
      </c>
      <c r="I519" s="1">
        <v>2</v>
      </c>
      <c r="J519" s="1">
        <v>1</v>
      </c>
      <c r="K519" s="1">
        <v>4</v>
      </c>
      <c r="L519" s="3">
        <v>36</v>
      </c>
      <c r="M519" s="3" t="str">
        <f t="shared" si="74"/>
        <v>Jun</v>
      </c>
      <c r="N519" s="2">
        <v>42156.89203703704</v>
      </c>
      <c r="O519" s="1">
        <f t="shared" si="71"/>
        <v>1</v>
      </c>
      <c r="P519" s="1">
        <f t="shared" si="72"/>
        <v>2</v>
      </c>
      <c r="Q519" s="1">
        <f t="shared" si="73"/>
        <v>21</v>
      </c>
      <c r="S519"/>
      <c r="T519"/>
      <c r="U519"/>
    </row>
    <row r="520" spans="1:21" s="1" customFormat="1" x14ac:dyDescent="0.25">
      <c r="A520" s="1">
        <v>542</v>
      </c>
      <c r="B520" s="1" t="s">
        <v>100</v>
      </c>
      <c r="C520" s="1" t="s">
        <v>560</v>
      </c>
      <c r="D520" s="2">
        <v>42129.638310185182</v>
      </c>
      <c r="E520" s="2">
        <v>42129.638356481482</v>
      </c>
      <c r="F520" s="1">
        <v>1</v>
      </c>
      <c r="G520" s="1">
        <v>0</v>
      </c>
      <c r="H520" s="1">
        <v>2</v>
      </c>
      <c r="I520" s="1">
        <v>2</v>
      </c>
      <c r="J520" s="1">
        <v>1</v>
      </c>
      <c r="K520" s="1">
        <v>1</v>
      </c>
      <c r="L520" s="4">
        <v>28.8</v>
      </c>
      <c r="M520" s="3" t="str">
        <f t="shared" si="74"/>
        <v>May</v>
      </c>
      <c r="N520" s="2">
        <v>42129.638321759259</v>
      </c>
      <c r="O520" s="1">
        <f t="shared" si="71"/>
        <v>5</v>
      </c>
      <c r="P520" s="1">
        <f t="shared" si="72"/>
        <v>3</v>
      </c>
      <c r="Q520" s="1">
        <f t="shared" si="73"/>
        <v>15</v>
      </c>
      <c r="S520"/>
      <c r="T520"/>
      <c r="U520"/>
    </row>
    <row r="521" spans="1:21" s="1" customFormat="1" x14ac:dyDescent="0.25">
      <c r="A521" s="1">
        <v>543</v>
      </c>
      <c r="B521" s="1" t="s">
        <v>212</v>
      </c>
      <c r="C521" s="1" t="s">
        <v>561</v>
      </c>
      <c r="D521" s="2">
        <v>42087.594548611109</v>
      </c>
      <c r="E521" s="2">
        <v>42087.594629629632</v>
      </c>
      <c r="F521" s="1">
        <v>1</v>
      </c>
      <c r="G521" s="1">
        <v>0</v>
      </c>
      <c r="H521" s="1">
        <v>8</v>
      </c>
      <c r="I521" s="1">
        <v>4</v>
      </c>
      <c r="J521" s="1">
        <v>1</v>
      </c>
      <c r="K521" s="1">
        <v>4</v>
      </c>
      <c r="L521" s="4">
        <v>28.8</v>
      </c>
      <c r="M521" s="3" t="str">
        <f t="shared" si="74"/>
        <v>Mar</v>
      </c>
      <c r="N521" s="2">
        <v>42087.594560185185</v>
      </c>
      <c r="O521" s="1">
        <f t="shared" si="71"/>
        <v>24</v>
      </c>
      <c r="P521" s="1">
        <f t="shared" si="72"/>
        <v>3</v>
      </c>
      <c r="Q521" s="1">
        <f t="shared" si="73"/>
        <v>14</v>
      </c>
      <c r="S521"/>
      <c r="T521"/>
      <c r="U521"/>
    </row>
    <row r="522" spans="1:21" s="1" customFormat="1" x14ac:dyDescent="0.25">
      <c r="A522" s="1">
        <v>544</v>
      </c>
      <c r="B522" s="1" t="s">
        <v>107</v>
      </c>
      <c r="C522" s="1" t="s">
        <v>562</v>
      </c>
      <c r="D522" s="2">
        <v>42146.856111111112</v>
      </c>
      <c r="E522" s="2">
        <v>42146.689618055556</v>
      </c>
      <c r="F522" s="1">
        <v>1</v>
      </c>
      <c r="G522" s="1">
        <v>6</v>
      </c>
      <c r="H522" s="1">
        <v>6</v>
      </c>
      <c r="I522" s="1">
        <v>2</v>
      </c>
      <c r="J522" s="1">
        <v>1</v>
      </c>
      <c r="K522" s="1">
        <v>3</v>
      </c>
      <c r="L522" s="3">
        <v>43.2</v>
      </c>
      <c r="M522" s="3" t="str">
        <f t="shared" si="74"/>
        <v>May</v>
      </c>
      <c r="N522" s="2">
        <v>42146.691238425927</v>
      </c>
      <c r="O522" s="1">
        <f t="shared" si="71"/>
        <v>22</v>
      </c>
      <c r="P522" s="1">
        <f t="shared" si="72"/>
        <v>6</v>
      </c>
      <c r="Q522" s="1">
        <f t="shared" si="73"/>
        <v>16</v>
      </c>
      <c r="S522"/>
      <c r="T522"/>
      <c r="U522"/>
    </row>
    <row r="523" spans="1:21" s="1" customFormat="1" x14ac:dyDescent="0.25">
      <c r="A523" s="1">
        <v>545</v>
      </c>
      <c r="B523" s="1" t="s">
        <v>85</v>
      </c>
      <c r="C523" s="1" t="s">
        <v>563</v>
      </c>
      <c r="D523" s="2">
        <v>42170.61146990741</v>
      </c>
      <c r="E523" s="2">
        <v>42170.611504629633</v>
      </c>
      <c r="F523" s="1">
        <v>1</v>
      </c>
      <c r="G523" s="1">
        <v>0</v>
      </c>
      <c r="H523" s="1">
        <v>4</v>
      </c>
      <c r="I523" s="1">
        <v>2</v>
      </c>
      <c r="J523" s="1">
        <v>1</v>
      </c>
      <c r="K523" s="1">
        <v>8</v>
      </c>
      <c r="L523" s="3">
        <v>57.6</v>
      </c>
      <c r="M523" s="3" t="str">
        <f t="shared" si="74"/>
        <v>Jun</v>
      </c>
      <c r="N523" s="2">
        <v>42170.611481481479</v>
      </c>
      <c r="O523" s="1">
        <f t="shared" si="71"/>
        <v>15</v>
      </c>
      <c r="P523" s="1">
        <f t="shared" si="72"/>
        <v>2</v>
      </c>
      <c r="Q523" s="1">
        <f t="shared" si="73"/>
        <v>14</v>
      </c>
      <c r="S523"/>
      <c r="T523"/>
      <c r="U523"/>
    </row>
    <row r="524" spans="1:21" s="1" customFormat="1" x14ac:dyDescent="0.25">
      <c r="A524" s="1">
        <v>546</v>
      </c>
      <c r="D524" s="2">
        <v>42097.893460648149</v>
      </c>
      <c r="E524" s="2">
        <v>42097.893506944441</v>
      </c>
      <c r="F524" s="1">
        <v>1</v>
      </c>
      <c r="G524" s="1">
        <v>0</v>
      </c>
      <c r="H524" s="1">
        <v>4</v>
      </c>
      <c r="I524" s="1">
        <v>3</v>
      </c>
      <c r="J524" s="1">
        <v>1</v>
      </c>
      <c r="K524" s="1">
        <v>2</v>
      </c>
      <c r="L524" s="4">
        <v>18</v>
      </c>
      <c r="M524" s="3" t="str">
        <f t="shared" si="74"/>
        <v>Apr</v>
      </c>
      <c r="N524" s="2">
        <v>42097.895289351851</v>
      </c>
      <c r="O524" s="1">
        <f t="shared" si="71"/>
        <v>3</v>
      </c>
      <c r="P524" s="1">
        <f t="shared" si="72"/>
        <v>6</v>
      </c>
      <c r="Q524" s="1">
        <f t="shared" si="73"/>
        <v>21</v>
      </c>
      <c r="S524"/>
      <c r="T524"/>
      <c r="U524"/>
    </row>
    <row r="525" spans="1:21" s="1" customFormat="1" x14ac:dyDescent="0.25">
      <c r="A525" s="1">
        <v>547</v>
      </c>
      <c r="B525" s="1" t="s">
        <v>274</v>
      </c>
      <c r="C525" s="1" t="s">
        <v>564</v>
      </c>
      <c r="D525" s="2">
        <v>42033.422743055555</v>
      </c>
      <c r="E525" s="2">
        <v>42033.422789351855</v>
      </c>
      <c r="F525" s="1">
        <v>1</v>
      </c>
      <c r="G525" s="1">
        <v>2</v>
      </c>
      <c r="H525" s="1">
        <v>4</v>
      </c>
      <c r="I525" s="1">
        <v>2</v>
      </c>
      <c r="J525" s="1">
        <v>1</v>
      </c>
      <c r="K525" s="1">
        <v>2</v>
      </c>
      <c r="L525" s="4">
        <v>9</v>
      </c>
      <c r="M525" s="3" t="str">
        <f t="shared" si="74"/>
        <v>Jan</v>
      </c>
      <c r="N525" s="2">
        <v>42033.422754629632</v>
      </c>
      <c r="O525" s="1">
        <f t="shared" si="71"/>
        <v>29</v>
      </c>
      <c r="P525" s="1">
        <f t="shared" si="72"/>
        <v>5</v>
      </c>
      <c r="Q525" s="1">
        <f t="shared" si="73"/>
        <v>10</v>
      </c>
      <c r="S525"/>
      <c r="T525"/>
      <c r="U525"/>
    </row>
    <row r="526" spans="1:21" s="1" customFormat="1" x14ac:dyDescent="0.25">
      <c r="A526" s="1">
        <v>548</v>
      </c>
      <c r="B526" s="1" t="s">
        <v>123</v>
      </c>
      <c r="C526" s="1" t="s">
        <v>565</v>
      </c>
      <c r="D526" s="2">
        <v>42098.665347222224</v>
      </c>
      <c r="E526" s="2">
        <v>42098.665405092594</v>
      </c>
      <c r="F526" s="1">
        <v>1</v>
      </c>
      <c r="G526" s="1">
        <v>2</v>
      </c>
      <c r="H526" s="1">
        <v>2</v>
      </c>
      <c r="I526" s="1">
        <v>1</v>
      </c>
      <c r="J526" s="1">
        <v>1</v>
      </c>
      <c r="K526" s="1">
        <v>1</v>
      </c>
      <c r="L526" s="4">
        <v>28.8</v>
      </c>
      <c r="M526" s="3" t="str">
        <f t="shared" si="74"/>
        <v>Apr</v>
      </c>
      <c r="N526" s="2">
        <v>42098.665358796294</v>
      </c>
      <c r="O526" s="1">
        <f t="shared" si="71"/>
        <v>4</v>
      </c>
      <c r="P526" s="1">
        <f t="shared" si="72"/>
        <v>7</v>
      </c>
      <c r="Q526" s="1">
        <f t="shared" si="73"/>
        <v>15</v>
      </c>
      <c r="S526"/>
      <c r="T526"/>
      <c r="U526"/>
    </row>
    <row r="527" spans="1:21" s="1" customFormat="1" x14ac:dyDescent="0.25">
      <c r="A527" s="1">
        <v>549</v>
      </c>
      <c r="D527" s="2">
        <v>42023.747083333335</v>
      </c>
      <c r="E527" s="2">
        <v>42023.747164351851</v>
      </c>
      <c r="F527" s="1">
        <v>1</v>
      </c>
      <c r="G527" s="1">
        <v>1</v>
      </c>
      <c r="H527" s="1">
        <v>4</v>
      </c>
      <c r="I527" s="1">
        <v>2</v>
      </c>
      <c r="J527" s="1">
        <v>1</v>
      </c>
      <c r="K527" s="1">
        <v>2</v>
      </c>
      <c r="L527" s="4">
        <v>9</v>
      </c>
      <c r="M527" s="3" t="str">
        <f t="shared" si="74"/>
        <v>Jan</v>
      </c>
      <c r="N527" s="2">
        <v>42023.747141203705</v>
      </c>
      <c r="O527" s="1">
        <f t="shared" si="71"/>
        <v>19</v>
      </c>
      <c r="P527" s="1">
        <f t="shared" si="72"/>
        <v>2</v>
      </c>
      <c r="Q527" s="1">
        <f t="shared" si="73"/>
        <v>17</v>
      </c>
      <c r="S527"/>
      <c r="T527"/>
      <c r="U527"/>
    </row>
    <row r="528" spans="1:21" s="1" customFormat="1" x14ac:dyDescent="0.25">
      <c r="A528" s="1">
        <v>550</v>
      </c>
      <c r="B528" s="1" t="s">
        <v>80</v>
      </c>
      <c r="C528" s="1" t="s">
        <v>566</v>
      </c>
      <c r="D528" s="2">
        <v>42171.183009259257</v>
      </c>
      <c r="E528" s="2">
        <v>42171.016365740739</v>
      </c>
      <c r="F528" s="1">
        <v>1</v>
      </c>
      <c r="G528" s="1">
        <v>2</v>
      </c>
      <c r="H528" s="1">
        <v>4</v>
      </c>
      <c r="I528" s="1">
        <v>2</v>
      </c>
      <c r="J528" s="1">
        <v>1</v>
      </c>
      <c r="K528" s="1">
        <v>2</v>
      </c>
      <c r="L528" s="3">
        <v>21</v>
      </c>
      <c r="M528" s="3" t="str">
        <f t="shared" si="74"/>
        <v>Jun</v>
      </c>
      <c r="N528" s="2">
        <v>42171.018553240741</v>
      </c>
      <c r="O528" s="1">
        <f t="shared" si="71"/>
        <v>16</v>
      </c>
      <c r="P528" s="1">
        <f t="shared" si="72"/>
        <v>3</v>
      </c>
      <c r="Q528" s="1">
        <f t="shared" si="73"/>
        <v>0</v>
      </c>
      <c r="S528"/>
      <c r="T528"/>
      <c r="U528"/>
    </row>
    <row r="529" spans="1:21" s="1" customFormat="1" x14ac:dyDescent="0.25">
      <c r="A529" s="1">
        <v>551</v>
      </c>
      <c r="B529" s="1" t="s">
        <v>103</v>
      </c>
      <c r="C529" s="1" t="s">
        <v>567</v>
      </c>
      <c r="D529" s="2">
        <v>42197.057256944441</v>
      </c>
      <c r="E529" s="2">
        <v>42196.890613425923</v>
      </c>
      <c r="F529" s="1">
        <v>1</v>
      </c>
      <c r="G529" s="1">
        <v>3</v>
      </c>
      <c r="H529" s="1">
        <v>3</v>
      </c>
      <c r="I529" s="1">
        <v>2</v>
      </c>
      <c r="J529" s="1">
        <v>1</v>
      </c>
      <c r="K529" s="1">
        <v>2</v>
      </c>
      <c r="L529" s="3">
        <v>36</v>
      </c>
      <c r="M529" s="3" t="str">
        <f t="shared" si="74"/>
        <v>Jul</v>
      </c>
      <c r="N529" s="2">
        <v>42196.89303240741</v>
      </c>
      <c r="O529" s="1">
        <f t="shared" si="71"/>
        <v>11</v>
      </c>
      <c r="P529" s="1">
        <f t="shared" si="72"/>
        <v>7</v>
      </c>
      <c r="Q529" s="1">
        <f t="shared" si="73"/>
        <v>21</v>
      </c>
      <c r="S529"/>
      <c r="T529"/>
      <c r="U529"/>
    </row>
    <row r="530" spans="1:21" s="1" customFormat="1" x14ac:dyDescent="0.25">
      <c r="A530" s="1">
        <v>552</v>
      </c>
      <c r="D530" s="2">
        <v>42246.671388888892</v>
      </c>
      <c r="E530" s="2">
        <v>42246.671400462961</v>
      </c>
      <c r="F530" s="1">
        <v>1</v>
      </c>
      <c r="G530" s="1">
        <v>2</v>
      </c>
      <c r="H530" s="1">
        <v>8</v>
      </c>
      <c r="I530" s="1">
        <v>4</v>
      </c>
      <c r="J530" s="1">
        <v>1</v>
      </c>
      <c r="K530" s="1">
        <v>4</v>
      </c>
      <c r="L530" s="3">
        <v>36</v>
      </c>
      <c r="M530" s="3" t="str">
        <f t="shared" si="74"/>
        <v>Aug</v>
      </c>
      <c r="N530" s="2">
        <v>42246.672210648147</v>
      </c>
      <c r="O530" s="1">
        <f t="shared" si="71"/>
        <v>30</v>
      </c>
      <c r="P530" s="1">
        <f t="shared" si="72"/>
        <v>1</v>
      </c>
      <c r="Q530" s="1">
        <f t="shared" si="73"/>
        <v>16</v>
      </c>
      <c r="S530"/>
      <c r="T530"/>
      <c r="U530"/>
    </row>
    <row r="531" spans="1:21" s="1" customFormat="1" x14ac:dyDescent="0.25">
      <c r="A531" s="1">
        <v>553</v>
      </c>
      <c r="B531" s="1" t="s">
        <v>103</v>
      </c>
      <c r="C531" s="1" t="s">
        <v>568</v>
      </c>
      <c r="D531" s="2">
        <v>42231.560497685183</v>
      </c>
      <c r="E531" s="2">
        <v>42231.393877314818</v>
      </c>
      <c r="F531" s="1">
        <v>1</v>
      </c>
      <c r="G531" s="1">
        <v>7</v>
      </c>
      <c r="H531" s="1">
        <v>10</v>
      </c>
      <c r="I531" s="1">
        <v>3</v>
      </c>
      <c r="J531" s="1">
        <v>1</v>
      </c>
      <c r="K531" s="1">
        <v>1</v>
      </c>
      <c r="L531" s="3">
        <v>56.32</v>
      </c>
      <c r="M531" s="3" t="str">
        <f t="shared" si="74"/>
        <v>Aug</v>
      </c>
      <c r="N531" s="2">
        <v>42231.393831018519</v>
      </c>
      <c r="O531" s="1">
        <f t="shared" si="71"/>
        <v>15</v>
      </c>
      <c r="P531" s="1">
        <f t="shared" si="72"/>
        <v>7</v>
      </c>
      <c r="Q531" s="1">
        <f t="shared" si="73"/>
        <v>9</v>
      </c>
      <c r="S531"/>
      <c r="T531"/>
      <c r="U531"/>
    </row>
    <row r="532" spans="1:21" s="1" customFormat="1" x14ac:dyDescent="0.25">
      <c r="A532" s="1">
        <v>554</v>
      </c>
      <c r="B532" s="1" t="s">
        <v>134</v>
      </c>
      <c r="C532" s="1" t="s">
        <v>569</v>
      </c>
      <c r="D532" s="2">
        <v>42134.033935185187</v>
      </c>
      <c r="E532" s="2">
        <v>42134.481736111113</v>
      </c>
      <c r="F532" s="1">
        <v>2</v>
      </c>
      <c r="G532" s="1">
        <v>10</v>
      </c>
      <c r="H532" s="1">
        <v>8</v>
      </c>
      <c r="I532" s="1">
        <v>2</v>
      </c>
      <c r="J532" s="1">
        <v>1</v>
      </c>
      <c r="K532" s="1">
        <v>4</v>
      </c>
      <c r="L532" s="4">
        <v>28.8</v>
      </c>
      <c r="M532" s="3" t="str">
        <f t="shared" si="74"/>
        <v>May</v>
      </c>
      <c r="N532" s="2">
        <v>42134.033946759257</v>
      </c>
      <c r="O532" s="1">
        <f t="shared" si="71"/>
        <v>10</v>
      </c>
      <c r="P532" s="1">
        <f t="shared" si="72"/>
        <v>1</v>
      </c>
      <c r="Q532" s="1">
        <f t="shared" si="73"/>
        <v>0</v>
      </c>
      <c r="S532"/>
      <c r="T532"/>
      <c r="U532"/>
    </row>
    <row r="533" spans="1:21" s="1" customFormat="1" x14ac:dyDescent="0.25">
      <c r="A533" s="1">
        <v>555</v>
      </c>
      <c r="B533" s="1" t="s">
        <v>116</v>
      </c>
      <c r="C533" s="1" t="s">
        <v>570</v>
      </c>
      <c r="D533" s="2">
        <v>42182.983784722222</v>
      </c>
      <c r="E533" s="2">
        <v>42182.983831018515</v>
      </c>
      <c r="F533" s="1">
        <v>1</v>
      </c>
      <c r="G533" s="1">
        <v>0</v>
      </c>
      <c r="H533" s="1">
        <v>2</v>
      </c>
      <c r="I533" s="1">
        <v>3</v>
      </c>
      <c r="J533" s="1">
        <v>1</v>
      </c>
      <c r="K533" s="1">
        <v>1</v>
      </c>
      <c r="L533" s="3">
        <v>28.8</v>
      </c>
      <c r="M533" s="3" t="str">
        <f t="shared" si="74"/>
        <v>Jun</v>
      </c>
      <c r="N533" s="2">
        <v>42182.983796296299</v>
      </c>
      <c r="O533" s="1">
        <f t="shared" si="71"/>
        <v>27</v>
      </c>
      <c r="P533" s="1">
        <f t="shared" si="72"/>
        <v>7</v>
      </c>
      <c r="Q533" s="1">
        <f t="shared" si="73"/>
        <v>23</v>
      </c>
      <c r="S533"/>
      <c r="T533"/>
      <c r="U533"/>
    </row>
    <row r="534" spans="1:21" s="1" customFormat="1" x14ac:dyDescent="0.25">
      <c r="A534" s="1">
        <v>556</v>
      </c>
      <c r="B534" s="1" t="s">
        <v>94</v>
      </c>
      <c r="C534" s="1" t="s">
        <v>571</v>
      </c>
      <c r="D534" s="2">
        <v>42226.60659722222</v>
      </c>
      <c r="E534" s="2">
        <v>42226.606631944444</v>
      </c>
      <c r="F534" s="1">
        <v>1</v>
      </c>
      <c r="G534" s="1">
        <v>0</v>
      </c>
      <c r="H534" s="1">
        <v>2</v>
      </c>
      <c r="I534" s="1">
        <v>2</v>
      </c>
      <c r="J534" s="1">
        <v>1</v>
      </c>
      <c r="K534" s="1">
        <v>1</v>
      </c>
      <c r="L534" s="3">
        <v>29.92</v>
      </c>
      <c r="M534" s="3" t="str">
        <f t="shared" si="74"/>
        <v>Aug</v>
      </c>
      <c r="N534" s="2">
        <v>42226.606608796297</v>
      </c>
      <c r="O534" s="1">
        <f t="shared" si="71"/>
        <v>10</v>
      </c>
      <c r="P534" s="1">
        <f t="shared" si="72"/>
        <v>2</v>
      </c>
      <c r="Q534" s="1">
        <f t="shared" si="73"/>
        <v>14</v>
      </c>
      <c r="S534"/>
      <c r="T534"/>
      <c r="U534"/>
    </row>
    <row r="535" spans="1:21" s="1" customFormat="1" x14ac:dyDescent="0.25">
      <c r="A535" s="1">
        <v>557</v>
      </c>
      <c r="D535" s="2">
        <v>42157.739004629628</v>
      </c>
      <c r="E535" s="2">
        <v>42157.57234953704</v>
      </c>
      <c r="F535" s="1">
        <v>1</v>
      </c>
      <c r="G535" s="1">
        <v>3</v>
      </c>
      <c r="H535" s="1">
        <v>2</v>
      </c>
      <c r="I535" s="1">
        <v>2</v>
      </c>
      <c r="J535" s="1">
        <v>1</v>
      </c>
      <c r="K535" s="1">
        <v>5</v>
      </c>
      <c r="L535" s="3">
        <v>36</v>
      </c>
      <c r="M535" s="3" t="str">
        <f t="shared" si="74"/>
        <v>Jun</v>
      </c>
      <c r="N535" s="2">
        <v>42157.583043981482</v>
      </c>
      <c r="O535" s="1">
        <f t="shared" si="71"/>
        <v>2</v>
      </c>
      <c r="P535" s="1">
        <f t="shared" si="72"/>
        <v>3</v>
      </c>
      <c r="Q535" s="1">
        <f t="shared" si="73"/>
        <v>13</v>
      </c>
      <c r="S535"/>
      <c r="T535"/>
      <c r="U535"/>
    </row>
    <row r="536" spans="1:21" s="1" customFormat="1" x14ac:dyDescent="0.25">
      <c r="A536" s="1">
        <v>558</v>
      </c>
      <c r="B536" s="1" t="s">
        <v>103</v>
      </c>
      <c r="C536" s="1" t="s">
        <v>572</v>
      </c>
      <c r="D536" s="2">
        <v>42254.634444444448</v>
      </c>
      <c r="E536" s="2">
        <v>42254.634479166663</v>
      </c>
      <c r="F536" s="1">
        <v>1</v>
      </c>
      <c r="G536" s="1">
        <v>6</v>
      </c>
      <c r="H536" s="1">
        <v>2</v>
      </c>
      <c r="I536" s="1">
        <v>2</v>
      </c>
      <c r="J536" s="1">
        <v>1</v>
      </c>
      <c r="K536" s="1">
        <v>1</v>
      </c>
      <c r="L536" s="3">
        <v>11</v>
      </c>
      <c r="M536" s="3" t="str">
        <f t="shared" si="74"/>
        <v>Sep</v>
      </c>
      <c r="N536" s="2">
        <v>42254.634444444448</v>
      </c>
      <c r="O536" s="1">
        <f t="shared" si="71"/>
        <v>7</v>
      </c>
      <c r="P536" s="1">
        <f t="shared" si="72"/>
        <v>2</v>
      </c>
      <c r="Q536" s="1">
        <f t="shared" si="73"/>
        <v>15</v>
      </c>
      <c r="S536"/>
      <c r="T536"/>
      <c r="U536"/>
    </row>
    <row r="537" spans="1:21" s="1" customFormat="1" x14ac:dyDescent="0.25">
      <c r="A537" s="1">
        <v>560</v>
      </c>
      <c r="B537" s="1" t="s">
        <v>89</v>
      </c>
      <c r="C537" s="1" t="s">
        <v>573</v>
      </c>
      <c r="D537" s="2">
        <v>42145.643090277779</v>
      </c>
      <c r="E537" s="2">
        <v>42145.476446759261</v>
      </c>
      <c r="F537" s="1">
        <v>1</v>
      </c>
      <c r="G537" s="1">
        <v>4</v>
      </c>
      <c r="H537" s="1">
        <v>6</v>
      </c>
      <c r="I537" s="1">
        <v>7</v>
      </c>
      <c r="J537" s="1">
        <v>1</v>
      </c>
      <c r="K537" s="1">
        <v>1</v>
      </c>
      <c r="L537" s="4">
        <v>28.8</v>
      </c>
      <c r="M537" s="3" t="str">
        <f t="shared" si="74"/>
        <v>May</v>
      </c>
      <c r="N537" s="2">
        <v>42145.486921296295</v>
      </c>
      <c r="O537" s="1">
        <f t="shared" ref="O537:O542" si="75">DAY(N537)</f>
        <v>21</v>
      </c>
      <c r="P537" s="1">
        <f t="shared" ref="P537:P542" si="76">WEEKDAY(N537,1)</f>
        <v>5</v>
      </c>
      <c r="Q537" s="1">
        <f t="shared" ref="Q537:Q542" si="77">HOUR(N537)</f>
        <v>11</v>
      </c>
      <c r="S537"/>
      <c r="T537"/>
      <c r="U537"/>
    </row>
    <row r="538" spans="1:21" s="1" customFormat="1" x14ac:dyDescent="0.25">
      <c r="A538" s="1">
        <v>561</v>
      </c>
      <c r="B538" s="1" t="s">
        <v>100</v>
      </c>
      <c r="C538" s="1" t="s">
        <v>102</v>
      </c>
      <c r="D538" s="2">
        <v>42086.20590277778</v>
      </c>
      <c r="E538" s="2">
        <v>42086.205949074072</v>
      </c>
      <c r="F538" s="1">
        <v>1</v>
      </c>
      <c r="G538" s="1">
        <v>8</v>
      </c>
      <c r="H538" s="1">
        <v>6</v>
      </c>
      <c r="I538" s="1">
        <v>2</v>
      </c>
      <c r="J538" s="1">
        <v>1</v>
      </c>
      <c r="K538" s="1">
        <v>4</v>
      </c>
      <c r="L538" s="4">
        <v>28.8</v>
      </c>
      <c r="M538" s="3" t="str">
        <f t="shared" si="74"/>
        <v>Mar</v>
      </c>
      <c r="N538" s="2">
        <v>42086.205914351849</v>
      </c>
      <c r="O538" s="1">
        <f t="shared" si="75"/>
        <v>23</v>
      </c>
      <c r="P538" s="1">
        <f t="shared" si="76"/>
        <v>2</v>
      </c>
      <c r="Q538" s="1">
        <f t="shared" si="77"/>
        <v>4</v>
      </c>
      <c r="S538"/>
      <c r="T538"/>
      <c r="U538"/>
    </row>
    <row r="539" spans="1:21" s="1" customFormat="1" x14ac:dyDescent="0.25">
      <c r="A539" s="1">
        <v>562</v>
      </c>
      <c r="B539" s="1" t="s">
        <v>107</v>
      </c>
      <c r="C539" s="1" t="s">
        <v>574</v>
      </c>
      <c r="D539" s="2">
        <v>42063.85659722222</v>
      </c>
      <c r="E539" s="2">
        <v>42064.484629629631</v>
      </c>
      <c r="F539" s="1">
        <v>3</v>
      </c>
      <c r="G539" s="1">
        <v>2</v>
      </c>
      <c r="H539" s="1">
        <v>5</v>
      </c>
      <c r="I539" s="1">
        <v>2</v>
      </c>
      <c r="J539" s="1">
        <v>2</v>
      </c>
      <c r="K539" s="1">
        <v>5</v>
      </c>
      <c r="L539" s="4">
        <v>36</v>
      </c>
      <c r="M539" s="3" t="str">
        <f t="shared" si="74"/>
        <v>Feb</v>
      </c>
      <c r="N539" s="2">
        <v>42063.856608796297</v>
      </c>
      <c r="O539" s="1">
        <f t="shared" si="75"/>
        <v>28</v>
      </c>
      <c r="P539" s="1">
        <f t="shared" si="76"/>
        <v>7</v>
      </c>
      <c r="Q539" s="1">
        <f t="shared" si="77"/>
        <v>20</v>
      </c>
      <c r="S539"/>
      <c r="T539"/>
      <c r="U539"/>
    </row>
    <row r="540" spans="1:21" s="1" customFormat="1" x14ac:dyDescent="0.25">
      <c r="A540" s="1">
        <v>563</v>
      </c>
      <c r="B540" s="1" t="s">
        <v>234</v>
      </c>
      <c r="C540" s="1" t="s">
        <v>575</v>
      </c>
      <c r="D540" s="2">
        <v>42260.676412037035</v>
      </c>
      <c r="E540" s="2">
        <v>42260.509814814817</v>
      </c>
      <c r="F540" s="1">
        <v>1</v>
      </c>
      <c r="G540" s="1">
        <v>2</v>
      </c>
      <c r="H540" s="1">
        <v>4</v>
      </c>
      <c r="I540" s="1">
        <v>2</v>
      </c>
      <c r="J540" s="1">
        <v>1</v>
      </c>
      <c r="K540" s="1">
        <v>2</v>
      </c>
      <c r="L540" s="3">
        <v>86.24</v>
      </c>
      <c r="M540" s="3" t="str">
        <f t="shared" si="74"/>
        <v>Sep</v>
      </c>
      <c r="N540" s="2">
        <v>42260.509756944448</v>
      </c>
      <c r="O540" s="1">
        <f t="shared" si="75"/>
        <v>13</v>
      </c>
      <c r="P540" s="1">
        <f t="shared" si="76"/>
        <v>1</v>
      </c>
      <c r="Q540" s="1">
        <f t="shared" si="77"/>
        <v>12</v>
      </c>
      <c r="S540"/>
      <c r="T540"/>
      <c r="U540"/>
    </row>
    <row r="541" spans="1:21" s="1" customFormat="1" x14ac:dyDescent="0.25">
      <c r="A541" s="1">
        <v>564</v>
      </c>
      <c r="B541" s="1" t="s">
        <v>285</v>
      </c>
      <c r="C541" s="1" t="s">
        <v>576</v>
      </c>
      <c r="D541" s="2">
        <v>42117.522106481483</v>
      </c>
      <c r="E541" s="2">
        <v>42117.522280092591</v>
      </c>
      <c r="F541" s="1">
        <v>1</v>
      </c>
      <c r="G541" s="1">
        <v>0</v>
      </c>
      <c r="H541" s="1">
        <v>1</v>
      </c>
      <c r="I541" s="1">
        <v>1</v>
      </c>
      <c r="J541" s="1">
        <v>1</v>
      </c>
      <c r="K541" s="1">
        <v>1</v>
      </c>
      <c r="L541" s="4">
        <v>57.6</v>
      </c>
      <c r="M541" s="3" t="str">
        <f t="shared" si="74"/>
        <v>Apr</v>
      </c>
      <c r="N541" s="2">
        <v>42117.525636574072</v>
      </c>
      <c r="O541" s="1">
        <f t="shared" si="75"/>
        <v>23</v>
      </c>
      <c r="P541" s="1">
        <f t="shared" si="76"/>
        <v>5</v>
      </c>
      <c r="Q541" s="1">
        <f t="shared" si="77"/>
        <v>12</v>
      </c>
      <c r="S541"/>
      <c r="T541"/>
      <c r="U541"/>
    </row>
    <row r="542" spans="1:21" s="1" customFormat="1" x14ac:dyDescent="0.25">
      <c r="A542" s="1">
        <v>565</v>
      </c>
      <c r="B542" s="1" t="s">
        <v>341</v>
      </c>
      <c r="C542" s="1" t="s">
        <v>577</v>
      </c>
      <c r="D542" s="2">
        <v>42197.813414351855</v>
      </c>
      <c r="E542" s="2">
        <v>42197.646793981483</v>
      </c>
      <c r="F542" s="1">
        <v>1</v>
      </c>
      <c r="G542" s="1">
        <v>2</v>
      </c>
      <c r="H542" s="1">
        <v>6</v>
      </c>
      <c r="I542" s="1">
        <v>2</v>
      </c>
      <c r="J542" s="1">
        <v>1</v>
      </c>
      <c r="K542" s="1">
        <v>4</v>
      </c>
      <c r="L542" s="3">
        <v>153.6</v>
      </c>
      <c r="M542" s="3" t="str">
        <f t="shared" si="74"/>
        <v>Jul</v>
      </c>
      <c r="N542" s="2">
        <v>42197.64675925926</v>
      </c>
      <c r="O542" s="1">
        <f t="shared" si="75"/>
        <v>12</v>
      </c>
      <c r="P542" s="1">
        <f t="shared" si="76"/>
        <v>1</v>
      </c>
      <c r="Q542" s="1">
        <f t="shared" si="77"/>
        <v>15</v>
      </c>
      <c r="S542"/>
      <c r="T542"/>
      <c r="U542"/>
    </row>
    <row r="543" spans="1:21" s="1" customFormat="1" x14ac:dyDescent="0.25">
      <c r="A543" s="1">
        <v>567</v>
      </c>
      <c r="B543" s="1" t="s">
        <v>131</v>
      </c>
      <c r="C543" s="1" t="s">
        <v>578</v>
      </c>
      <c r="D543" s="2">
        <v>42022.834965277776</v>
      </c>
      <c r="E543" s="2">
        <v>42022.835127314815</v>
      </c>
      <c r="F543" s="1">
        <v>1</v>
      </c>
      <c r="G543" s="1">
        <v>6</v>
      </c>
      <c r="H543" s="1">
        <v>14</v>
      </c>
      <c r="I543" s="1">
        <v>3</v>
      </c>
      <c r="J543" s="1">
        <v>1</v>
      </c>
      <c r="K543" s="1">
        <v>8</v>
      </c>
      <c r="L543" s="4">
        <v>57.6</v>
      </c>
      <c r="M543" s="3" t="str">
        <f t="shared" si="74"/>
        <v>Jan</v>
      </c>
      <c r="N543" s="2">
        <v>42022.834976851853</v>
      </c>
      <c r="O543" s="1">
        <f t="shared" ref="O543:O576" si="78">DAY(N543)</f>
        <v>18</v>
      </c>
      <c r="P543" s="1">
        <f t="shared" ref="P543:P576" si="79">WEEKDAY(N543,1)</f>
        <v>1</v>
      </c>
      <c r="Q543" s="1">
        <f t="shared" ref="Q543:Q576" si="80">HOUR(N543)</f>
        <v>20</v>
      </c>
      <c r="S543"/>
      <c r="T543"/>
      <c r="U543"/>
    </row>
    <row r="544" spans="1:21" s="1" customFormat="1" x14ac:dyDescent="0.25">
      <c r="A544" s="1">
        <v>568</v>
      </c>
      <c r="B544" s="1" t="s">
        <v>109</v>
      </c>
      <c r="C544" s="1" t="s">
        <v>579</v>
      </c>
      <c r="D544" s="2">
        <v>42085.380868055552</v>
      </c>
      <c r="E544" s="2">
        <v>42085.380914351852</v>
      </c>
      <c r="F544" s="1">
        <v>1</v>
      </c>
      <c r="G544" s="1">
        <v>0</v>
      </c>
      <c r="H544" s="1">
        <v>2</v>
      </c>
      <c r="I544" s="1">
        <v>1</v>
      </c>
      <c r="J544" s="1">
        <v>1</v>
      </c>
      <c r="K544" s="1">
        <v>2</v>
      </c>
      <c r="L544" s="4">
        <v>18</v>
      </c>
      <c r="M544" s="3" t="str">
        <f t="shared" si="74"/>
        <v>Mar</v>
      </c>
      <c r="N544" s="2">
        <v>42085.380879629629</v>
      </c>
      <c r="O544" s="1">
        <f t="shared" si="78"/>
        <v>22</v>
      </c>
      <c r="P544" s="1">
        <f t="shared" si="79"/>
        <v>1</v>
      </c>
      <c r="Q544" s="1">
        <f t="shared" si="80"/>
        <v>9</v>
      </c>
      <c r="S544"/>
      <c r="T544"/>
      <c r="U544"/>
    </row>
    <row r="545" spans="1:21" s="1" customFormat="1" x14ac:dyDescent="0.25">
      <c r="A545" s="1">
        <v>569</v>
      </c>
      <c r="B545" s="1" t="s">
        <v>116</v>
      </c>
      <c r="C545" s="1" t="s">
        <v>580</v>
      </c>
      <c r="D545" s="2">
        <v>42217.79954861111</v>
      </c>
      <c r="E545" s="2">
        <v>42217.799583333333</v>
      </c>
      <c r="F545" s="1">
        <v>1</v>
      </c>
      <c r="G545" s="1">
        <v>14</v>
      </c>
      <c r="H545" s="1">
        <v>2</v>
      </c>
      <c r="I545" s="1">
        <v>4</v>
      </c>
      <c r="J545" s="1">
        <v>1</v>
      </c>
      <c r="K545" s="1">
        <v>1</v>
      </c>
      <c r="L545" s="3">
        <v>29.92</v>
      </c>
      <c r="M545" s="3" t="str">
        <f t="shared" si="74"/>
        <v>Aug</v>
      </c>
      <c r="N545" s="2">
        <v>42217.79954861111</v>
      </c>
      <c r="O545" s="1">
        <f t="shared" si="78"/>
        <v>1</v>
      </c>
      <c r="P545" s="1">
        <f t="shared" si="79"/>
        <v>7</v>
      </c>
      <c r="Q545" s="1">
        <f t="shared" si="80"/>
        <v>19</v>
      </c>
      <c r="S545"/>
      <c r="T545"/>
      <c r="U545"/>
    </row>
    <row r="546" spans="1:21" s="1" customFormat="1" x14ac:dyDescent="0.25">
      <c r="A546" s="1">
        <v>570</v>
      </c>
      <c r="B546" s="1" t="s">
        <v>123</v>
      </c>
      <c r="C546" s="1" t="s">
        <v>581</v>
      </c>
      <c r="D546" s="2">
        <v>42142.812268518515</v>
      </c>
      <c r="E546" s="2">
        <v>42142.812303240738</v>
      </c>
      <c r="F546" s="1">
        <v>1</v>
      </c>
      <c r="G546" s="1">
        <v>0</v>
      </c>
      <c r="H546" s="1">
        <v>2</v>
      </c>
      <c r="I546" s="1">
        <v>2</v>
      </c>
      <c r="J546" s="1">
        <v>1</v>
      </c>
      <c r="K546" s="1">
        <v>4</v>
      </c>
      <c r="L546" s="4">
        <v>28.8</v>
      </c>
      <c r="M546" s="3" t="str">
        <f t="shared" si="74"/>
        <v>May</v>
      </c>
      <c r="N546" s="2">
        <v>42142.812268518515</v>
      </c>
      <c r="O546" s="1">
        <f t="shared" si="78"/>
        <v>18</v>
      </c>
      <c r="P546" s="1">
        <f t="shared" si="79"/>
        <v>2</v>
      </c>
      <c r="Q546" s="1">
        <f t="shared" si="80"/>
        <v>19</v>
      </c>
      <c r="S546"/>
      <c r="T546"/>
      <c r="U546"/>
    </row>
    <row r="547" spans="1:21" s="1" customFormat="1" x14ac:dyDescent="0.25">
      <c r="A547" s="1">
        <v>571</v>
      </c>
      <c r="B547" s="1" t="s">
        <v>91</v>
      </c>
      <c r="C547" s="1" t="s">
        <v>582</v>
      </c>
      <c r="D547" s="2">
        <v>42124.385011574072</v>
      </c>
      <c r="E547" s="2">
        <v>42124.385057870371</v>
      </c>
      <c r="F547" s="1">
        <v>1</v>
      </c>
      <c r="G547" s="1">
        <v>6</v>
      </c>
      <c r="H547" s="1">
        <v>6</v>
      </c>
      <c r="I547" s="1">
        <v>2</v>
      </c>
      <c r="J547" s="1">
        <v>1</v>
      </c>
      <c r="K547" s="1">
        <v>5</v>
      </c>
      <c r="L547" s="4">
        <v>36</v>
      </c>
      <c r="M547" s="3" t="str">
        <f t="shared" si="74"/>
        <v>Apr</v>
      </c>
      <c r="N547" s="2">
        <v>42124.385023148148</v>
      </c>
      <c r="O547" s="1">
        <f t="shared" si="78"/>
        <v>30</v>
      </c>
      <c r="P547" s="1">
        <f t="shared" si="79"/>
        <v>5</v>
      </c>
      <c r="Q547" s="1">
        <f t="shared" si="80"/>
        <v>9</v>
      </c>
      <c r="S547"/>
      <c r="T547"/>
      <c r="U547"/>
    </row>
    <row r="548" spans="1:21" s="1" customFormat="1" x14ac:dyDescent="0.25">
      <c r="A548" s="1">
        <v>572</v>
      </c>
      <c r="B548" s="1" t="s">
        <v>341</v>
      </c>
      <c r="C548" s="1" t="s">
        <v>583</v>
      </c>
      <c r="D548" s="2">
        <v>42251.474143518521</v>
      </c>
      <c r="E548" s="2">
        <v>42251.474178240744</v>
      </c>
      <c r="F548" s="1">
        <v>1</v>
      </c>
      <c r="G548" s="1">
        <v>2</v>
      </c>
      <c r="H548" s="1">
        <v>2</v>
      </c>
      <c r="I548" s="1">
        <v>2</v>
      </c>
      <c r="J548" s="1">
        <v>1</v>
      </c>
      <c r="K548" s="1">
        <v>1</v>
      </c>
      <c r="L548" s="3">
        <v>12</v>
      </c>
      <c r="M548" s="3" t="str">
        <f t="shared" si="74"/>
        <v>Sep</v>
      </c>
      <c r="N548" s="2">
        <v>42251.474143518521</v>
      </c>
      <c r="O548" s="1">
        <f t="shared" si="78"/>
        <v>4</v>
      </c>
      <c r="P548" s="1">
        <f t="shared" si="79"/>
        <v>6</v>
      </c>
      <c r="Q548" s="1">
        <f t="shared" si="80"/>
        <v>11</v>
      </c>
      <c r="S548"/>
      <c r="T548"/>
      <c r="U548"/>
    </row>
    <row r="549" spans="1:21" s="1" customFormat="1" x14ac:dyDescent="0.25">
      <c r="A549" s="1">
        <v>573</v>
      </c>
      <c r="B549" s="1" t="s">
        <v>147</v>
      </c>
      <c r="C549" s="1" t="s">
        <v>584</v>
      </c>
      <c r="D549" s="2">
        <v>42006.102256944447</v>
      </c>
      <c r="E549" s="2">
        <v>42006.10229166667</v>
      </c>
      <c r="F549" s="1">
        <v>1</v>
      </c>
      <c r="G549" s="1">
        <v>2</v>
      </c>
      <c r="H549" s="1">
        <v>4</v>
      </c>
      <c r="I549" s="1">
        <v>4</v>
      </c>
      <c r="J549" s="1">
        <v>1</v>
      </c>
      <c r="K549" s="1">
        <v>2</v>
      </c>
      <c r="L549" s="4">
        <v>7</v>
      </c>
      <c r="M549" s="3" t="str">
        <f t="shared" si="74"/>
        <v>Jan</v>
      </c>
      <c r="N549" s="2">
        <v>42006.102268518516</v>
      </c>
      <c r="O549" s="1">
        <f t="shared" si="78"/>
        <v>2</v>
      </c>
      <c r="P549" s="1">
        <f t="shared" si="79"/>
        <v>6</v>
      </c>
      <c r="Q549" s="1">
        <f t="shared" si="80"/>
        <v>2</v>
      </c>
      <c r="S549"/>
      <c r="T549"/>
      <c r="U549"/>
    </row>
    <row r="550" spans="1:21" s="1" customFormat="1" x14ac:dyDescent="0.25">
      <c r="A550" s="1">
        <v>574</v>
      </c>
      <c r="B550" s="1" t="s">
        <v>103</v>
      </c>
      <c r="C550" s="1" t="s">
        <v>585</v>
      </c>
      <c r="D550" s="2">
        <v>42166.64916666667</v>
      </c>
      <c r="E550" s="2">
        <v>42166.482557870368</v>
      </c>
      <c r="F550" s="1">
        <v>1</v>
      </c>
      <c r="G550" s="1">
        <v>0</v>
      </c>
      <c r="H550" s="1">
        <v>2</v>
      </c>
      <c r="I550" s="1">
        <v>2</v>
      </c>
      <c r="J550" s="1">
        <v>1</v>
      </c>
      <c r="K550" s="1">
        <v>4</v>
      </c>
      <c r="L550" s="3">
        <v>28.8</v>
      </c>
      <c r="M550" s="3" t="str">
        <f t="shared" si="74"/>
        <v>Jun</v>
      </c>
      <c r="N550" s="2">
        <v>42166.482523148145</v>
      </c>
      <c r="O550" s="1">
        <f t="shared" si="78"/>
        <v>11</v>
      </c>
      <c r="P550" s="1">
        <f t="shared" si="79"/>
        <v>5</v>
      </c>
      <c r="Q550" s="1">
        <f t="shared" si="80"/>
        <v>11</v>
      </c>
      <c r="S550"/>
      <c r="T550"/>
      <c r="U550"/>
    </row>
    <row r="551" spans="1:21" s="1" customFormat="1" x14ac:dyDescent="0.25">
      <c r="A551" s="1">
        <v>575</v>
      </c>
      <c r="B551" s="1" t="s">
        <v>147</v>
      </c>
      <c r="C551" s="1" t="s">
        <v>586</v>
      </c>
      <c r="D551" s="2">
        <v>42253.660416666666</v>
      </c>
      <c r="E551" s="2">
        <v>42253.493796296294</v>
      </c>
      <c r="F551" s="1">
        <v>1</v>
      </c>
      <c r="G551" s="1">
        <v>4</v>
      </c>
      <c r="H551" s="1">
        <v>2</v>
      </c>
      <c r="I551" s="1">
        <v>2</v>
      </c>
      <c r="J551" s="1">
        <v>1</v>
      </c>
      <c r="K551" s="1">
        <v>1</v>
      </c>
      <c r="L551" s="3">
        <v>37.4</v>
      </c>
      <c r="M551" s="3" t="str">
        <f t="shared" si="74"/>
        <v>Sep</v>
      </c>
      <c r="N551" s="2">
        <v>42253.493761574071</v>
      </c>
      <c r="O551" s="1">
        <f t="shared" si="78"/>
        <v>6</v>
      </c>
      <c r="P551" s="1">
        <f t="shared" si="79"/>
        <v>1</v>
      </c>
      <c r="Q551" s="1">
        <f t="shared" si="80"/>
        <v>11</v>
      </c>
      <c r="S551"/>
      <c r="T551"/>
      <c r="U551"/>
    </row>
    <row r="552" spans="1:21" s="1" customFormat="1" x14ac:dyDescent="0.25">
      <c r="A552" s="1">
        <v>576</v>
      </c>
      <c r="D552" s="2">
        <v>42246.913495370369</v>
      </c>
      <c r="E552" s="2">
        <v>42246.913506944446</v>
      </c>
      <c r="F552" s="1">
        <v>1</v>
      </c>
      <c r="G552" s="1">
        <v>1</v>
      </c>
      <c r="H552" s="1">
        <v>3</v>
      </c>
      <c r="I552" s="1">
        <v>1</v>
      </c>
      <c r="J552" s="1">
        <v>1</v>
      </c>
      <c r="K552" s="1">
        <v>2</v>
      </c>
      <c r="L552" s="3">
        <v>22</v>
      </c>
      <c r="M552" s="3" t="str">
        <f t="shared" si="74"/>
        <v>Aug</v>
      </c>
      <c r="N552" s="2">
        <v>42246.916319444441</v>
      </c>
      <c r="O552" s="1">
        <f t="shared" si="78"/>
        <v>30</v>
      </c>
      <c r="P552" s="1">
        <f t="shared" si="79"/>
        <v>1</v>
      </c>
      <c r="Q552" s="1">
        <f t="shared" si="80"/>
        <v>21</v>
      </c>
      <c r="S552"/>
      <c r="T552"/>
      <c r="U552"/>
    </row>
    <row r="553" spans="1:21" s="1" customFormat="1" x14ac:dyDescent="0.25">
      <c r="A553" s="1">
        <v>577</v>
      </c>
      <c r="B553" s="1" t="s">
        <v>107</v>
      </c>
      <c r="C553" s="1" t="s">
        <v>143</v>
      </c>
      <c r="D553" s="2">
        <v>42164.561747685184</v>
      </c>
      <c r="E553" s="2">
        <v>42164.395150462966</v>
      </c>
      <c r="F553" s="1">
        <v>1</v>
      </c>
      <c r="G553" s="1">
        <v>0</v>
      </c>
      <c r="H553" s="1">
        <v>2</v>
      </c>
      <c r="I553" s="1">
        <v>2</v>
      </c>
      <c r="J553" s="1">
        <v>1</v>
      </c>
      <c r="K553" s="1">
        <v>1</v>
      </c>
      <c r="L553" s="3">
        <v>27</v>
      </c>
      <c r="M553" s="3" t="str">
        <f t="shared" si="74"/>
        <v>Jun</v>
      </c>
      <c r="N553" s="2">
        <v>42164.395104166666</v>
      </c>
      <c r="O553" s="1">
        <f t="shared" si="78"/>
        <v>9</v>
      </c>
      <c r="P553" s="1">
        <f t="shared" si="79"/>
        <v>3</v>
      </c>
      <c r="Q553" s="1">
        <f t="shared" si="80"/>
        <v>9</v>
      </c>
      <c r="S553"/>
      <c r="T553"/>
      <c r="U553"/>
    </row>
    <row r="554" spans="1:21" s="1" customFormat="1" x14ac:dyDescent="0.25">
      <c r="A554" s="1">
        <v>578</v>
      </c>
      <c r="D554" s="2">
        <v>42071.758425925924</v>
      </c>
      <c r="E554" s="2">
        <v>42071.75854166667</v>
      </c>
      <c r="F554" s="1">
        <v>1</v>
      </c>
      <c r="G554" s="1">
        <v>2</v>
      </c>
      <c r="H554" s="1">
        <v>6</v>
      </c>
      <c r="I554" s="1">
        <v>1</v>
      </c>
      <c r="J554" s="1">
        <v>1</v>
      </c>
      <c r="K554" s="1">
        <v>4</v>
      </c>
      <c r="L554" s="4">
        <v>28.8</v>
      </c>
      <c r="M554" s="3" t="str">
        <f t="shared" si="74"/>
        <v>Mar</v>
      </c>
      <c r="N554" s="2">
        <v>42071.758460648147</v>
      </c>
      <c r="O554" s="1">
        <f t="shared" si="78"/>
        <v>8</v>
      </c>
      <c r="P554" s="1">
        <f t="shared" si="79"/>
        <v>1</v>
      </c>
      <c r="Q554" s="1">
        <f t="shared" si="80"/>
        <v>18</v>
      </c>
      <c r="S554"/>
      <c r="T554"/>
      <c r="U554"/>
    </row>
    <row r="555" spans="1:21" s="1" customFormat="1" x14ac:dyDescent="0.25">
      <c r="A555" s="1">
        <v>579</v>
      </c>
      <c r="B555" s="1" t="s">
        <v>341</v>
      </c>
      <c r="C555" s="1" t="s">
        <v>587</v>
      </c>
      <c r="D555" s="2">
        <v>42228.464282407411</v>
      </c>
      <c r="E555" s="2">
        <v>42228.464317129627</v>
      </c>
      <c r="F555" s="1">
        <v>1</v>
      </c>
      <c r="G555" s="1">
        <v>6</v>
      </c>
      <c r="H555" s="1">
        <v>2</v>
      </c>
      <c r="I555" s="1">
        <v>2</v>
      </c>
      <c r="J555" s="1">
        <v>1</v>
      </c>
      <c r="K555" s="1">
        <v>1</v>
      </c>
      <c r="L555" s="3">
        <v>29.92</v>
      </c>
      <c r="M555" s="3" t="str">
        <f t="shared" si="74"/>
        <v>Aug</v>
      </c>
      <c r="N555" s="2">
        <v>42228.464282407411</v>
      </c>
      <c r="O555" s="1">
        <f t="shared" si="78"/>
        <v>12</v>
      </c>
      <c r="P555" s="1">
        <f t="shared" si="79"/>
        <v>4</v>
      </c>
      <c r="Q555" s="1">
        <f t="shared" si="80"/>
        <v>11</v>
      </c>
      <c r="S555"/>
      <c r="T555"/>
      <c r="U555"/>
    </row>
    <row r="556" spans="1:21" s="1" customFormat="1" x14ac:dyDescent="0.25">
      <c r="A556" s="1">
        <v>580</v>
      </c>
      <c r="B556" s="1" t="s">
        <v>195</v>
      </c>
      <c r="C556" s="1" t="s">
        <v>588</v>
      </c>
      <c r="D556" s="2">
        <v>42267.926782407405</v>
      </c>
      <c r="E556" s="2">
        <v>42267.926828703705</v>
      </c>
      <c r="F556" s="1">
        <v>1</v>
      </c>
      <c r="G556" s="1">
        <v>8</v>
      </c>
      <c r="H556" s="1">
        <v>6</v>
      </c>
      <c r="I556" s="1">
        <v>4</v>
      </c>
      <c r="J556" s="1">
        <v>1</v>
      </c>
      <c r="K556" s="1">
        <v>3</v>
      </c>
      <c r="L556" s="3">
        <v>68.64</v>
      </c>
      <c r="M556" s="3" t="str">
        <f t="shared" si="74"/>
        <v>Sep</v>
      </c>
      <c r="N556" s="2">
        <v>42267.926782407405</v>
      </c>
      <c r="O556" s="1">
        <f t="shared" si="78"/>
        <v>20</v>
      </c>
      <c r="P556" s="1">
        <f t="shared" si="79"/>
        <v>1</v>
      </c>
      <c r="Q556" s="1">
        <f t="shared" si="80"/>
        <v>22</v>
      </c>
      <c r="S556"/>
      <c r="T556"/>
      <c r="U556"/>
    </row>
    <row r="557" spans="1:21" s="1" customFormat="1" x14ac:dyDescent="0.25">
      <c r="A557" s="1">
        <v>581</v>
      </c>
      <c r="B557" s="1" t="s">
        <v>210</v>
      </c>
      <c r="C557" s="1" t="s">
        <v>268</v>
      </c>
      <c r="D557" s="2">
        <v>42031.501354166663</v>
      </c>
      <c r="E557" s="2">
        <v>42035.657916666663</v>
      </c>
      <c r="F557" s="1">
        <v>4</v>
      </c>
      <c r="G557" s="1">
        <v>0</v>
      </c>
      <c r="H557" s="1">
        <v>2</v>
      </c>
      <c r="I557" s="1">
        <v>4</v>
      </c>
      <c r="J557" s="1">
        <v>1</v>
      </c>
      <c r="K557" s="1">
        <v>1</v>
      </c>
      <c r="L557" s="4">
        <v>30.6</v>
      </c>
      <c r="M557" s="3" t="str">
        <f t="shared" si="74"/>
        <v>Jan</v>
      </c>
      <c r="N557" s="2">
        <v>42031.50136574074</v>
      </c>
      <c r="O557" s="1">
        <f t="shared" si="78"/>
        <v>27</v>
      </c>
      <c r="P557" s="1">
        <f t="shared" si="79"/>
        <v>3</v>
      </c>
      <c r="Q557" s="1">
        <f t="shared" si="80"/>
        <v>12</v>
      </c>
      <c r="S557"/>
      <c r="T557"/>
      <c r="U557"/>
    </row>
    <row r="558" spans="1:21" s="1" customFormat="1" x14ac:dyDescent="0.25">
      <c r="A558" s="1">
        <v>582</v>
      </c>
      <c r="D558" s="2">
        <v>42030.904444444444</v>
      </c>
      <c r="E558" s="2">
        <v>42034.83222222222</v>
      </c>
      <c r="F558" s="1">
        <v>2</v>
      </c>
      <c r="G558" s="1">
        <v>2</v>
      </c>
      <c r="H558" s="1">
        <v>2</v>
      </c>
      <c r="I558" s="1">
        <v>3</v>
      </c>
      <c r="J558" s="1">
        <v>1</v>
      </c>
      <c r="K558" s="1">
        <v>1</v>
      </c>
      <c r="L558" s="4">
        <v>27</v>
      </c>
      <c r="M558" s="3" t="str">
        <f t="shared" si="74"/>
        <v>Jan</v>
      </c>
      <c r="N558" s="2">
        <v>42034.83388888889</v>
      </c>
      <c r="O558" s="1">
        <f t="shared" si="78"/>
        <v>30</v>
      </c>
      <c r="P558" s="1">
        <f t="shared" si="79"/>
        <v>6</v>
      </c>
      <c r="Q558" s="1">
        <f t="shared" si="80"/>
        <v>20</v>
      </c>
      <c r="S558"/>
      <c r="T558"/>
      <c r="U558"/>
    </row>
    <row r="559" spans="1:21" s="1" customFormat="1" x14ac:dyDescent="0.25">
      <c r="A559" s="1">
        <v>583</v>
      </c>
      <c r="B559" s="1" t="s">
        <v>109</v>
      </c>
      <c r="C559" s="1" t="s">
        <v>589</v>
      </c>
      <c r="D559" s="2">
        <v>42028.316469907404</v>
      </c>
      <c r="E559" s="2">
        <v>42040.872384259259</v>
      </c>
      <c r="F559" s="1">
        <v>2</v>
      </c>
      <c r="G559" s="1">
        <v>2</v>
      </c>
      <c r="H559" s="1">
        <v>7</v>
      </c>
      <c r="I559" s="1">
        <v>6</v>
      </c>
      <c r="J559" s="1">
        <v>2</v>
      </c>
      <c r="K559" s="1">
        <v>5</v>
      </c>
      <c r="L559" s="4">
        <v>18</v>
      </c>
      <c r="M559" s="3" t="str">
        <f t="shared" si="74"/>
        <v>Jan</v>
      </c>
      <c r="N559" s="2">
        <v>42028.316481481481</v>
      </c>
      <c r="O559" s="1">
        <f t="shared" si="78"/>
        <v>24</v>
      </c>
      <c r="P559" s="1">
        <f t="shared" si="79"/>
        <v>7</v>
      </c>
      <c r="Q559" s="1">
        <f t="shared" si="80"/>
        <v>7</v>
      </c>
      <c r="S559"/>
      <c r="T559"/>
      <c r="U559"/>
    </row>
    <row r="560" spans="1:21" s="1" customFormat="1" x14ac:dyDescent="0.25">
      <c r="A560" s="1">
        <v>584</v>
      </c>
      <c r="B560" s="1" t="s">
        <v>100</v>
      </c>
      <c r="C560" s="1" t="s">
        <v>590</v>
      </c>
      <c r="D560" s="2">
        <v>42172.553622685184</v>
      </c>
      <c r="E560" s="2">
        <v>42172.553668981483</v>
      </c>
      <c r="F560" s="1">
        <v>1</v>
      </c>
      <c r="G560" s="1">
        <v>4</v>
      </c>
      <c r="H560" s="1">
        <v>4</v>
      </c>
      <c r="I560" s="1">
        <v>3</v>
      </c>
      <c r="J560" s="1">
        <v>1</v>
      </c>
      <c r="K560" s="1">
        <v>1</v>
      </c>
      <c r="L560" s="3">
        <v>27</v>
      </c>
      <c r="M560" s="3" t="str">
        <f t="shared" si="74"/>
        <v>Jun</v>
      </c>
      <c r="N560" s="2">
        <v>42172.55363425926</v>
      </c>
      <c r="O560" s="1">
        <f t="shared" si="78"/>
        <v>17</v>
      </c>
      <c r="P560" s="1">
        <f t="shared" si="79"/>
        <v>4</v>
      </c>
      <c r="Q560" s="1">
        <f t="shared" si="80"/>
        <v>13</v>
      </c>
      <c r="S560"/>
      <c r="T560"/>
      <c r="U560"/>
    </row>
    <row r="561" spans="1:21" s="1" customFormat="1" x14ac:dyDescent="0.25">
      <c r="A561" s="1">
        <v>585</v>
      </c>
      <c r="B561" s="1" t="s">
        <v>210</v>
      </c>
      <c r="C561" s="1" t="s">
        <v>591</v>
      </c>
      <c r="D561" s="2">
        <v>42058.951840277776</v>
      </c>
      <c r="E561" s="2">
        <v>42058.951898148145</v>
      </c>
      <c r="F561" s="1">
        <v>1</v>
      </c>
      <c r="G561" s="1">
        <v>0</v>
      </c>
      <c r="H561" s="1">
        <v>6</v>
      </c>
      <c r="I561" s="1">
        <v>1</v>
      </c>
      <c r="J561" s="1">
        <v>1</v>
      </c>
      <c r="K561" s="1">
        <v>3</v>
      </c>
      <c r="L561" s="4">
        <v>18</v>
      </c>
      <c r="M561" s="3" t="str">
        <f t="shared" si="74"/>
        <v>Feb</v>
      </c>
      <c r="N561" s="2">
        <v>42058.951851851853</v>
      </c>
      <c r="O561" s="1">
        <f t="shared" si="78"/>
        <v>23</v>
      </c>
      <c r="P561" s="1">
        <f t="shared" si="79"/>
        <v>2</v>
      </c>
      <c r="Q561" s="1">
        <f t="shared" si="80"/>
        <v>22</v>
      </c>
      <c r="S561"/>
      <c r="T561"/>
      <c r="U561"/>
    </row>
    <row r="562" spans="1:21" s="1" customFormat="1" x14ac:dyDescent="0.25">
      <c r="A562" s="1">
        <v>586</v>
      </c>
      <c r="B562" s="1" t="s">
        <v>134</v>
      </c>
      <c r="C562" s="1" t="s">
        <v>592</v>
      </c>
      <c r="D562" s="2">
        <v>42184.86</v>
      </c>
      <c r="E562" s="2">
        <v>42184.693414351852</v>
      </c>
      <c r="F562" s="1">
        <v>1</v>
      </c>
      <c r="G562" s="1">
        <v>10</v>
      </c>
      <c r="H562" s="1">
        <v>12</v>
      </c>
      <c r="I562" s="1">
        <v>2</v>
      </c>
      <c r="J562" s="1">
        <v>1</v>
      </c>
      <c r="K562" s="1">
        <v>10</v>
      </c>
      <c r="L562" s="3">
        <v>72</v>
      </c>
      <c r="M562" s="3" t="str">
        <f t="shared" si="74"/>
        <v>Jun</v>
      </c>
      <c r="N562" s="2">
        <v>42184.693356481483</v>
      </c>
      <c r="O562" s="1">
        <f t="shared" si="78"/>
        <v>29</v>
      </c>
      <c r="P562" s="1">
        <f t="shared" si="79"/>
        <v>2</v>
      </c>
      <c r="Q562" s="1">
        <f t="shared" si="80"/>
        <v>16</v>
      </c>
      <c r="S562"/>
      <c r="T562"/>
      <c r="U562"/>
    </row>
    <row r="563" spans="1:21" s="1" customFormat="1" x14ac:dyDescent="0.25">
      <c r="A563" s="1">
        <v>587</v>
      </c>
      <c r="D563" s="2">
        <v>42050.34815972222</v>
      </c>
      <c r="E563" s="2">
        <v>42050.440115740741</v>
      </c>
      <c r="F563" s="1">
        <v>3</v>
      </c>
      <c r="G563" s="1">
        <v>4</v>
      </c>
      <c r="H563" s="1">
        <v>8</v>
      </c>
      <c r="I563" s="1">
        <v>4</v>
      </c>
      <c r="J563" s="1">
        <v>1</v>
      </c>
      <c r="K563" s="1">
        <v>4</v>
      </c>
      <c r="L563" s="4">
        <v>30.6</v>
      </c>
      <c r="M563" s="3" t="str">
        <f t="shared" si="74"/>
        <v>Feb</v>
      </c>
      <c r="N563" s="2">
        <v>42050.442777777775</v>
      </c>
      <c r="O563" s="1">
        <f t="shared" si="78"/>
        <v>15</v>
      </c>
      <c r="P563" s="1">
        <f t="shared" si="79"/>
        <v>1</v>
      </c>
      <c r="Q563" s="1">
        <f t="shared" si="80"/>
        <v>10</v>
      </c>
      <c r="S563"/>
      <c r="T563"/>
      <c r="U563"/>
    </row>
    <row r="564" spans="1:21" s="1" customFormat="1" x14ac:dyDescent="0.25">
      <c r="A564" s="1">
        <v>588</v>
      </c>
      <c r="D564" s="2">
        <v>42120.747164351851</v>
      </c>
      <c r="E564" s="2">
        <v>42120.747199074074</v>
      </c>
      <c r="F564" s="1">
        <v>1</v>
      </c>
      <c r="G564" s="1">
        <v>2</v>
      </c>
      <c r="H564" s="1">
        <v>3</v>
      </c>
      <c r="I564" s="1">
        <v>1</v>
      </c>
      <c r="J564" s="1">
        <v>1</v>
      </c>
      <c r="K564" s="1">
        <v>2</v>
      </c>
      <c r="L564" s="4">
        <v>57.6</v>
      </c>
      <c r="M564" s="3" t="str">
        <f t="shared" si="74"/>
        <v>Apr</v>
      </c>
      <c r="N564" s="2">
        <v>42120.75949074074</v>
      </c>
      <c r="O564" s="1">
        <f t="shared" si="78"/>
        <v>26</v>
      </c>
      <c r="P564" s="1">
        <f t="shared" si="79"/>
        <v>1</v>
      </c>
      <c r="Q564" s="1">
        <f t="shared" si="80"/>
        <v>18</v>
      </c>
      <c r="S564"/>
      <c r="T564"/>
      <c r="U564"/>
    </row>
    <row r="565" spans="1:21" s="1" customFormat="1" x14ac:dyDescent="0.25">
      <c r="A565" s="1">
        <v>589</v>
      </c>
      <c r="B565" s="1" t="s">
        <v>96</v>
      </c>
      <c r="C565" s="1" t="s">
        <v>593</v>
      </c>
      <c r="D565" s="2">
        <v>42041.780462962961</v>
      </c>
      <c r="E565" s="2">
        <v>42041.780509259261</v>
      </c>
      <c r="F565" s="1">
        <v>1</v>
      </c>
      <c r="G565" s="1">
        <v>0</v>
      </c>
      <c r="H565" s="1">
        <v>4</v>
      </c>
      <c r="I565" s="1">
        <v>3</v>
      </c>
      <c r="J565" s="1">
        <v>1</v>
      </c>
      <c r="K565" s="1">
        <v>2</v>
      </c>
      <c r="L565" s="4">
        <v>9</v>
      </c>
      <c r="M565" s="3" t="str">
        <f t="shared" si="74"/>
        <v>Feb</v>
      </c>
      <c r="N565" s="2">
        <v>42041.780474537038</v>
      </c>
      <c r="O565" s="1">
        <f t="shared" si="78"/>
        <v>6</v>
      </c>
      <c r="P565" s="1">
        <f t="shared" si="79"/>
        <v>6</v>
      </c>
      <c r="Q565" s="1">
        <f t="shared" si="80"/>
        <v>18</v>
      </c>
      <c r="S565"/>
      <c r="T565"/>
      <c r="U565"/>
    </row>
    <row r="566" spans="1:21" s="1" customFormat="1" x14ac:dyDescent="0.25">
      <c r="A566" s="1">
        <v>590</v>
      </c>
      <c r="B566" s="1" t="s">
        <v>245</v>
      </c>
      <c r="C566" s="1" t="s">
        <v>594</v>
      </c>
      <c r="D566" s="2">
        <v>42031.743518518517</v>
      </c>
      <c r="E566" s="2">
        <v>42031.743564814817</v>
      </c>
      <c r="F566" s="1">
        <v>1</v>
      </c>
      <c r="G566" s="1">
        <v>4</v>
      </c>
      <c r="H566" s="1">
        <v>4</v>
      </c>
      <c r="I566" s="1">
        <v>2</v>
      </c>
      <c r="J566" s="1">
        <v>1</v>
      </c>
      <c r="K566" s="1">
        <v>1</v>
      </c>
      <c r="L566" s="4">
        <v>28.8</v>
      </c>
      <c r="M566" s="3" t="str">
        <f t="shared" si="74"/>
        <v>Jan</v>
      </c>
      <c r="N566" s="2">
        <v>42031.743541666663</v>
      </c>
      <c r="O566" s="1">
        <f t="shared" si="78"/>
        <v>27</v>
      </c>
      <c r="P566" s="1">
        <f t="shared" si="79"/>
        <v>3</v>
      </c>
      <c r="Q566" s="1">
        <f t="shared" si="80"/>
        <v>17</v>
      </c>
      <c r="S566"/>
      <c r="T566"/>
      <c r="U566"/>
    </row>
    <row r="567" spans="1:21" s="1" customFormat="1" x14ac:dyDescent="0.25">
      <c r="A567" s="1">
        <v>591</v>
      </c>
      <c r="D567" s="2">
        <v>42191.851527777777</v>
      </c>
      <c r="E567" s="2">
        <v>42192.347037037034</v>
      </c>
      <c r="F567" s="1">
        <v>2</v>
      </c>
      <c r="G567" s="1">
        <v>10</v>
      </c>
      <c r="H567" s="1">
        <v>22</v>
      </c>
      <c r="I567" s="1">
        <v>13</v>
      </c>
      <c r="J567" s="1">
        <v>1</v>
      </c>
      <c r="K567" s="1">
        <v>5</v>
      </c>
      <c r="L567" s="3">
        <v>172.8</v>
      </c>
      <c r="M567" s="3" t="str">
        <f t="shared" si="74"/>
        <v>Jul</v>
      </c>
      <c r="N567" s="2">
        <v>42192.352986111109</v>
      </c>
      <c r="O567" s="1">
        <f t="shared" si="78"/>
        <v>7</v>
      </c>
      <c r="P567" s="1">
        <f t="shared" si="79"/>
        <v>3</v>
      </c>
      <c r="Q567" s="1">
        <f t="shared" si="80"/>
        <v>8</v>
      </c>
      <c r="S567"/>
      <c r="T567"/>
      <c r="U567"/>
    </row>
    <row r="568" spans="1:21" s="1" customFormat="1" x14ac:dyDescent="0.25">
      <c r="A568" s="1">
        <v>592</v>
      </c>
      <c r="B568" s="1" t="s">
        <v>100</v>
      </c>
      <c r="C568" s="1" t="s">
        <v>595</v>
      </c>
      <c r="D568" s="2">
        <v>42258.023055555554</v>
      </c>
      <c r="E568" s="2">
        <v>42258.023090277777</v>
      </c>
      <c r="F568" s="1">
        <v>1</v>
      </c>
      <c r="G568" s="1">
        <v>2</v>
      </c>
      <c r="H568" s="1">
        <v>2</v>
      </c>
      <c r="I568" s="1">
        <v>3</v>
      </c>
      <c r="J568" s="1">
        <v>1</v>
      </c>
      <c r="K568" s="1">
        <v>1</v>
      </c>
      <c r="L568" s="3">
        <v>29.92</v>
      </c>
      <c r="M568" s="3" t="str">
        <f t="shared" si="74"/>
        <v>Sep</v>
      </c>
      <c r="N568" s="2">
        <v>42258.023055555554</v>
      </c>
      <c r="O568" s="1">
        <f t="shared" si="78"/>
        <v>11</v>
      </c>
      <c r="P568" s="1">
        <f t="shared" si="79"/>
        <v>6</v>
      </c>
      <c r="Q568" s="1">
        <f t="shared" si="80"/>
        <v>0</v>
      </c>
      <c r="S568"/>
      <c r="T568"/>
      <c r="U568"/>
    </row>
    <row r="569" spans="1:21" s="1" customFormat="1" x14ac:dyDescent="0.25">
      <c r="A569" s="1">
        <v>593</v>
      </c>
      <c r="B569" s="1" t="s">
        <v>100</v>
      </c>
      <c r="C569" s="1" t="s">
        <v>596</v>
      </c>
      <c r="D569" s="2">
        <v>42256.66265046296</v>
      </c>
      <c r="E569" s="2">
        <v>42256.66269675926</v>
      </c>
      <c r="F569" s="1">
        <v>1</v>
      </c>
      <c r="G569" s="1">
        <v>0</v>
      </c>
      <c r="H569" s="1">
        <v>2</v>
      </c>
      <c r="I569" s="1">
        <v>2</v>
      </c>
      <c r="J569" s="1">
        <v>1</v>
      </c>
      <c r="K569" s="1">
        <v>1</v>
      </c>
      <c r="L569" s="3">
        <v>56.32</v>
      </c>
      <c r="M569" s="3" t="str">
        <f t="shared" si="74"/>
        <v>Sep</v>
      </c>
      <c r="N569" s="2">
        <v>42256.66265046296</v>
      </c>
      <c r="O569" s="1">
        <f t="shared" si="78"/>
        <v>9</v>
      </c>
      <c r="P569" s="1">
        <f t="shared" si="79"/>
        <v>4</v>
      </c>
      <c r="Q569" s="1">
        <f t="shared" si="80"/>
        <v>15</v>
      </c>
      <c r="S569"/>
      <c r="T569"/>
      <c r="U569"/>
    </row>
    <row r="570" spans="1:21" s="1" customFormat="1" x14ac:dyDescent="0.25">
      <c r="A570" s="1">
        <v>594</v>
      </c>
      <c r="B570" s="1" t="s">
        <v>274</v>
      </c>
      <c r="C570" s="1" t="s">
        <v>597</v>
      </c>
      <c r="D570" s="2">
        <v>42062.830428240741</v>
      </c>
      <c r="E570" s="2">
        <v>42073.753240740742</v>
      </c>
      <c r="F570" s="1">
        <v>3</v>
      </c>
      <c r="G570" s="1">
        <v>6</v>
      </c>
      <c r="H570" s="1">
        <v>14</v>
      </c>
      <c r="I570" s="1">
        <v>3</v>
      </c>
      <c r="J570" s="1">
        <v>1</v>
      </c>
      <c r="K570" s="1">
        <v>7</v>
      </c>
      <c r="L570" s="4">
        <v>50.4</v>
      </c>
      <c r="M570" s="3" t="str">
        <f t="shared" si="74"/>
        <v>Feb</v>
      </c>
      <c r="N570" s="2">
        <v>42062.830439814818</v>
      </c>
      <c r="O570" s="1">
        <f t="shared" si="78"/>
        <v>27</v>
      </c>
      <c r="P570" s="1">
        <f t="shared" si="79"/>
        <v>6</v>
      </c>
      <c r="Q570" s="1">
        <f t="shared" si="80"/>
        <v>19</v>
      </c>
      <c r="S570"/>
      <c r="T570"/>
      <c r="U570"/>
    </row>
    <row r="571" spans="1:21" s="1" customFormat="1" x14ac:dyDescent="0.25">
      <c r="A571" s="1">
        <v>595</v>
      </c>
      <c r="B571" s="1" t="s">
        <v>87</v>
      </c>
      <c r="C571" s="1" t="s">
        <v>598</v>
      </c>
      <c r="D571" s="2">
        <v>42127.683761574073</v>
      </c>
      <c r="E571" s="2">
        <v>42127.683796296296</v>
      </c>
      <c r="F571" s="1">
        <v>1</v>
      </c>
      <c r="G571" s="1">
        <v>4</v>
      </c>
      <c r="H571" s="1">
        <v>8</v>
      </c>
      <c r="I571" s="1">
        <v>1</v>
      </c>
      <c r="J571" s="1">
        <v>1</v>
      </c>
      <c r="K571" s="1">
        <v>2</v>
      </c>
      <c r="L571" s="4">
        <v>72</v>
      </c>
      <c r="M571" s="3" t="str">
        <f t="shared" si="74"/>
        <v>May</v>
      </c>
      <c r="N571" s="2">
        <v>42127.68377314815</v>
      </c>
      <c r="O571" s="1">
        <f t="shared" si="78"/>
        <v>3</v>
      </c>
      <c r="P571" s="1">
        <f t="shared" si="79"/>
        <v>1</v>
      </c>
      <c r="Q571" s="1">
        <f t="shared" si="80"/>
        <v>16</v>
      </c>
      <c r="S571"/>
      <c r="T571"/>
      <c r="U571"/>
    </row>
    <row r="572" spans="1:21" s="1" customFormat="1" x14ac:dyDescent="0.25">
      <c r="A572" s="1">
        <v>596</v>
      </c>
      <c r="D572" s="2">
        <v>42143.925081018519</v>
      </c>
      <c r="E572" s="2">
        <v>42143.758437500001</v>
      </c>
      <c r="F572" s="1">
        <v>1</v>
      </c>
      <c r="G572" s="1">
        <v>4</v>
      </c>
      <c r="H572" s="1">
        <v>4</v>
      </c>
      <c r="I572" s="1">
        <v>2</v>
      </c>
      <c r="J572" s="1">
        <v>1</v>
      </c>
      <c r="K572" s="1">
        <v>1</v>
      </c>
      <c r="L572" s="4">
        <v>57.6</v>
      </c>
      <c r="M572" s="3" t="str">
        <f t="shared" si="74"/>
        <v>May</v>
      </c>
      <c r="N572" s="2">
        <v>42143.760810185187</v>
      </c>
      <c r="O572" s="1">
        <f t="shared" si="78"/>
        <v>19</v>
      </c>
      <c r="P572" s="1">
        <f t="shared" si="79"/>
        <v>3</v>
      </c>
      <c r="Q572" s="1">
        <f t="shared" si="80"/>
        <v>18</v>
      </c>
      <c r="S572"/>
      <c r="T572"/>
      <c r="U572"/>
    </row>
    <row r="573" spans="1:21" s="1" customFormat="1" x14ac:dyDescent="0.25">
      <c r="A573" s="1">
        <v>597</v>
      </c>
      <c r="B573" s="1" t="s">
        <v>195</v>
      </c>
      <c r="C573" s="1" t="s">
        <v>599</v>
      </c>
      <c r="D573" s="2">
        <v>42160.484224537038</v>
      </c>
      <c r="E573" s="2">
        <v>42160.678252314814</v>
      </c>
      <c r="F573" s="1">
        <v>3</v>
      </c>
      <c r="G573" s="1">
        <v>2</v>
      </c>
      <c r="H573" s="1">
        <v>4</v>
      </c>
      <c r="I573" s="1">
        <v>2</v>
      </c>
      <c r="J573" s="1">
        <v>2</v>
      </c>
      <c r="K573" s="1">
        <v>4</v>
      </c>
      <c r="L573" s="3">
        <v>9</v>
      </c>
      <c r="M573" s="3" t="str">
        <f t="shared" si="74"/>
        <v>Jun</v>
      </c>
      <c r="N573" s="2">
        <v>42160.484236111108</v>
      </c>
      <c r="O573" s="1">
        <f t="shared" si="78"/>
        <v>5</v>
      </c>
      <c r="P573" s="1">
        <f t="shared" si="79"/>
        <v>6</v>
      </c>
      <c r="Q573" s="1">
        <f t="shared" si="80"/>
        <v>11</v>
      </c>
      <c r="S573"/>
      <c r="T573"/>
      <c r="U573"/>
    </row>
    <row r="574" spans="1:21" s="1" customFormat="1" x14ac:dyDescent="0.25">
      <c r="A574" s="1">
        <v>598</v>
      </c>
      <c r="D574" s="2">
        <v>42244.486608796295</v>
      </c>
      <c r="E574" s="2">
        <v>42244.486655092594</v>
      </c>
      <c r="F574" s="1">
        <v>1</v>
      </c>
      <c r="G574" s="1">
        <v>31</v>
      </c>
      <c r="H574" s="1">
        <v>8</v>
      </c>
      <c r="I574" s="1">
        <v>6</v>
      </c>
      <c r="J574" s="1">
        <v>1</v>
      </c>
      <c r="K574" s="1">
        <v>3</v>
      </c>
      <c r="L574" s="3">
        <v>108.9</v>
      </c>
      <c r="M574" s="3" t="str">
        <f t="shared" si="74"/>
        <v>Aug</v>
      </c>
      <c r="N574" s="2">
        <v>42244.488599537035</v>
      </c>
      <c r="O574" s="1">
        <f t="shared" si="78"/>
        <v>28</v>
      </c>
      <c r="P574" s="1">
        <f t="shared" si="79"/>
        <v>6</v>
      </c>
      <c r="Q574" s="1">
        <f t="shared" si="80"/>
        <v>11</v>
      </c>
      <c r="S574"/>
      <c r="T574"/>
      <c r="U574"/>
    </row>
    <row r="575" spans="1:21" s="1" customFormat="1" x14ac:dyDescent="0.25">
      <c r="A575" s="1">
        <v>599</v>
      </c>
      <c r="B575" s="1" t="s">
        <v>245</v>
      </c>
      <c r="C575" s="1" t="s">
        <v>600</v>
      </c>
      <c r="D575" s="2">
        <v>42077.376435185186</v>
      </c>
      <c r="E575" s="2">
        <v>42077.376493055555</v>
      </c>
      <c r="F575" s="1">
        <v>1</v>
      </c>
      <c r="G575" s="1">
        <v>0</v>
      </c>
      <c r="H575" s="1">
        <v>8</v>
      </c>
      <c r="I575" s="1">
        <v>2</v>
      </c>
      <c r="J575" s="1">
        <v>1</v>
      </c>
      <c r="K575" s="1">
        <v>4</v>
      </c>
      <c r="L575" s="4">
        <v>36</v>
      </c>
      <c r="M575" s="3" t="str">
        <f t="shared" si="74"/>
        <v>Mar</v>
      </c>
      <c r="N575" s="2">
        <v>42077.376446759263</v>
      </c>
      <c r="O575" s="1">
        <f t="shared" si="78"/>
        <v>14</v>
      </c>
      <c r="P575" s="1">
        <f t="shared" si="79"/>
        <v>7</v>
      </c>
      <c r="Q575" s="1">
        <f t="shared" si="80"/>
        <v>9</v>
      </c>
      <c r="S575"/>
      <c r="T575"/>
      <c r="U575"/>
    </row>
    <row r="576" spans="1:21" s="1" customFormat="1" x14ac:dyDescent="0.25">
      <c r="A576" s="1">
        <v>600</v>
      </c>
      <c r="D576" s="2">
        <v>42024.393194444441</v>
      </c>
      <c r="E576" s="2">
        <v>42024.393229166664</v>
      </c>
      <c r="F576" s="1">
        <v>1</v>
      </c>
      <c r="G576" s="1">
        <v>0</v>
      </c>
      <c r="H576" s="1">
        <v>4</v>
      </c>
      <c r="I576" s="1">
        <v>10</v>
      </c>
      <c r="J576" s="1">
        <v>1</v>
      </c>
      <c r="K576" s="1">
        <v>4</v>
      </c>
      <c r="L576" s="4">
        <v>28.8</v>
      </c>
      <c r="M576" s="3" t="str">
        <f t="shared" si="74"/>
        <v>Jan</v>
      </c>
      <c r="N576" s="2">
        <v>42024.394282407404</v>
      </c>
      <c r="O576" s="1">
        <f t="shared" si="78"/>
        <v>20</v>
      </c>
      <c r="P576" s="1">
        <f t="shared" si="79"/>
        <v>3</v>
      </c>
      <c r="Q576" s="1">
        <f t="shared" si="80"/>
        <v>9</v>
      </c>
      <c r="S576"/>
      <c r="T576"/>
      <c r="U576"/>
    </row>
    <row r="577" spans="1:21" s="1" customFormat="1" x14ac:dyDescent="0.25">
      <c r="A577" s="1">
        <v>602</v>
      </c>
      <c r="B577" s="1" t="s">
        <v>147</v>
      </c>
      <c r="C577" s="1" t="s">
        <v>601</v>
      </c>
      <c r="D577" s="2">
        <v>42207.105185185188</v>
      </c>
      <c r="E577" s="2">
        <v>42206.938564814816</v>
      </c>
      <c r="F577" s="1">
        <v>1</v>
      </c>
      <c r="G577" s="1">
        <v>0</v>
      </c>
      <c r="H577" s="1">
        <v>2</v>
      </c>
      <c r="I577" s="1">
        <v>2</v>
      </c>
      <c r="J577" s="1">
        <v>1</v>
      </c>
      <c r="K577" s="1">
        <v>1</v>
      </c>
      <c r="L577" s="3">
        <v>12</v>
      </c>
      <c r="M577" s="3" t="str">
        <f t="shared" si="74"/>
        <v>Jul</v>
      </c>
      <c r="N577" s="2">
        <v>42206.938530092593</v>
      </c>
      <c r="O577" s="1">
        <f t="shared" ref="O577:O601" si="81">DAY(N577)</f>
        <v>21</v>
      </c>
      <c r="P577" s="1">
        <f t="shared" ref="P577:P601" si="82">WEEKDAY(N577,1)</f>
        <v>3</v>
      </c>
      <c r="Q577" s="1">
        <f t="shared" ref="Q577:Q601" si="83">HOUR(N577)</f>
        <v>22</v>
      </c>
      <c r="S577"/>
      <c r="T577"/>
      <c r="U577"/>
    </row>
    <row r="578" spans="1:21" s="1" customFormat="1" x14ac:dyDescent="0.25">
      <c r="A578" s="1">
        <v>603</v>
      </c>
      <c r="B578" s="1" t="s">
        <v>89</v>
      </c>
      <c r="C578" s="1" t="s">
        <v>602</v>
      </c>
      <c r="D578" s="2">
        <v>42083.346377314818</v>
      </c>
      <c r="E578" s="2">
        <v>42083.346446759257</v>
      </c>
      <c r="F578" s="1">
        <v>1</v>
      </c>
      <c r="G578" s="1">
        <v>4</v>
      </c>
      <c r="H578" s="1">
        <v>8</v>
      </c>
      <c r="I578" s="1">
        <v>2</v>
      </c>
      <c r="J578" s="1">
        <v>1</v>
      </c>
      <c r="K578" s="1">
        <v>4</v>
      </c>
      <c r="L578" s="4">
        <v>28.8</v>
      </c>
      <c r="M578" s="3" t="str">
        <f t="shared" si="74"/>
        <v>Mar</v>
      </c>
      <c r="N578" s="2">
        <v>42083.346388888887</v>
      </c>
      <c r="O578" s="1">
        <f t="shared" si="81"/>
        <v>20</v>
      </c>
      <c r="P578" s="1">
        <f t="shared" si="82"/>
        <v>6</v>
      </c>
      <c r="Q578" s="1">
        <f t="shared" si="83"/>
        <v>8</v>
      </c>
      <c r="S578"/>
      <c r="T578"/>
      <c r="U578"/>
    </row>
    <row r="579" spans="1:21" s="1" customFormat="1" x14ac:dyDescent="0.25">
      <c r="A579" s="1">
        <v>604</v>
      </c>
      <c r="B579" s="1" t="s">
        <v>76</v>
      </c>
      <c r="C579" s="1" t="s">
        <v>603</v>
      </c>
      <c r="D579" s="2">
        <v>42142.35255787037</v>
      </c>
      <c r="E579" s="2">
        <v>42142.352627314816</v>
      </c>
      <c r="F579" s="1">
        <v>1</v>
      </c>
      <c r="G579" s="1">
        <v>4</v>
      </c>
      <c r="H579" s="1">
        <v>2</v>
      </c>
      <c r="I579" s="1">
        <v>2</v>
      </c>
      <c r="J579" s="1">
        <v>1</v>
      </c>
      <c r="K579" s="1">
        <v>1</v>
      </c>
      <c r="L579" s="4">
        <v>28.8</v>
      </c>
      <c r="M579" s="3" t="str">
        <f t="shared" ref="M579:M642" si="84">TEXT(N579,"mmm")</f>
        <v>May</v>
      </c>
      <c r="N579" s="2">
        <v>42142.352569444447</v>
      </c>
      <c r="O579" s="1">
        <f t="shared" si="81"/>
        <v>18</v>
      </c>
      <c r="P579" s="1">
        <f t="shared" si="82"/>
        <v>2</v>
      </c>
      <c r="Q579" s="1">
        <f t="shared" si="83"/>
        <v>8</v>
      </c>
      <c r="S579"/>
      <c r="T579"/>
      <c r="U579"/>
    </row>
    <row r="580" spans="1:21" s="1" customFormat="1" x14ac:dyDescent="0.25">
      <c r="A580" s="1">
        <v>605</v>
      </c>
      <c r="B580" s="1" t="s">
        <v>103</v>
      </c>
      <c r="C580" s="1" t="s">
        <v>604</v>
      </c>
      <c r="D580" s="2">
        <v>42194.843923611108</v>
      </c>
      <c r="E580" s="2">
        <v>42194.677303240744</v>
      </c>
      <c r="F580" s="1">
        <v>1</v>
      </c>
      <c r="G580" s="1">
        <v>0</v>
      </c>
      <c r="H580" s="1">
        <v>2</v>
      </c>
      <c r="I580" s="1">
        <v>2</v>
      </c>
      <c r="J580" s="1">
        <v>1</v>
      </c>
      <c r="K580" s="1">
        <v>1</v>
      </c>
      <c r="L580" s="3">
        <v>28.8</v>
      </c>
      <c r="M580" s="3" t="str">
        <f t="shared" si="84"/>
        <v>Jul</v>
      </c>
      <c r="N580" s="2">
        <v>42194.677268518521</v>
      </c>
      <c r="O580" s="1">
        <f t="shared" si="81"/>
        <v>9</v>
      </c>
      <c r="P580" s="1">
        <f t="shared" si="82"/>
        <v>5</v>
      </c>
      <c r="Q580" s="1">
        <f t="shared" si="83"/>
        <v>16</v>
      </c>
      <c r="S580"/>
      <c r="T580"/>
      <c r="U580"/>
    </row>
    <row r="581" spans="1:21" s="1" customFormat="1" x14ac:dyDescent="0.25">
      <c r="A581" s="1">
        <v>606</v>
      </c>
      <c r="B581" s="1" t="s">
        <v>341</v>
      </c>
      <c r="C581" s="1" t="s">
        <v>605</v>
      </c>
      <c r="D581" s="2">
        <v>42113.921111111114</v>
      </c>
      <c r="E581" s="2">
        <v>42113.921168981484</v>
      </c>
      <c r="F581" s="1">
        <v>1</v>
      </c>
      <c r="G581" s="1">
        <v>0</v>
      </c>
      <c r="H581" s="1">
        <v>4</v>
      </c>
      <c r="I581" s="1">
        <v>3</v>
      </c>
      <c r="J581" s="1">
        <v>1</v>
      </c>
      <c r="K581" s="1">
        <v>2</v>
      </c>
      <c r="L581" s="4">
        <v>18</v>
      </c>
      <c r="M581" s="3" t="str">
        <f t="shared" si="84"/>
        <v>Apr</v>
      </c>
      <c r="N581" s="2">
        <v>42113.921122685184</v>
      </c>
      <c r="O581" s="1">
        <f t="shared" si="81"/>
        <v>19</v>
      </c>
      <c r="P581" s="1">
        <f t="shared" si="82"/>
        <v>1</v>
      </c>
      <c r="Q581" s="1">
        <f t="shared" si="83"/>
        <v>22</v>
      </c>
      <c r="S581"/>
      <c r="T581"/>
      <c r="U581"/>
    </row>
    <row r="582" spans="1:21" s="1" customFormat="1" x14ac:dyDescent="0.25">
      <c r="A582" s="1">
        <v>607</v>
      </c>
      <c r="B582" s="1" t="s">
        <v>341</v>
      </c>
      <c r="C582" s="1" t="s">
        <v>606</v>
      </c>
      <c r="D582" s="2">
        <v>42174.050115740742</v>
      </c>
      <c r="E582" s="2">
        <v>42173.88349537037</v>
      </c>
      <c r="F582" s="1">
        <v>1</v>
      </c>
      <c r="G582" s="1">
        <v>2</v>
      </c>
      <c r="H582" s="1">
        <v>4</v>
      </c>
      <c r="I582" s="1">
        <v>2</v>
      </c>
      <c r="J582" s="1">
        <v>1</v>
      </c>
      <c r="K582" s="1">
        <v>4</v>
      </c>
      <c r="L582" s="3">
        <v>27</v>
      </c>
      <c r="M582" s="3" t="str">
        <f t="shared" si="84"/>
        <v>Jun</v>
      </c>
      <c r="N582" s="2">
        <v>42173.883472222224</v>
      </c>
      <c r="O582" s="1">
        <f t="shared" si="81"/>
        <v>18</v>
      </c>
      <c r="P582" s="1">
        <f t="shared" si="82"/>
        <v>5</v>
      </c>
      <c r="Q582" s="1">
        <f t="shared" si="83"/>
        <v>21</v>
      </c>
      <c r="S582"/>
      <c r="T582"/>
      <c r="U582"/>
    </row>
    <row r="583" spans="1:21" s="1" customFormat="1" x14ac:dyDescent="0.25">
      <c r="A583" s="1">
        <v>608</v>
      </c>
      <c r="D583" s="2">
        <v>42210.802476851852</v>
      </c>
      <c r="E583" s="2">
        <v>42210.635821759257</v>
      </c>
      <c r="F583" s="1">
        <v>1</v>
      </c>
      <c r="G583" s="1">
        <v>2</v>
      </c>
      <c r="H583" s="1">
        <v>2</v>
      </c>
      <c r="I583" s="1">
        <v>1</v>
      </c>
      <c r="J583" s="1">
        <v>1</v>
      </c>
      <c r="K583" s="1">
        <v>2</v>
      </c>
      <c r="L583" s="3">
        <v>22</v>
      </c>
      <c r="M583" s="3" t="str">
        <f t="shared" si="84"/>
        <v>Jul</v>
      </c>
      <c r="N583" s="2">
        <v>42210.643912037034</v>
      </c>
      <c r="O583" s="1">
        <f t="shared" si="81"/>
        <v>25</v>
      </c>
      <c r="P583" s="1">
        <f t="shared" si="82"/>
        <v>7</v>
      </c>
      <c r="Q583" s="1">
        <f t="shared" si="83"/>
        <v>15</v>
      </c>
      <c r="S583"/>
      <c r="T583"/>
      <c r="U583"/>
    </row>
    <row r="584" spans="1:21" s="1" customFormat="1" x14ac:dyDescent="0.25">
      <c r="A584" s="1">
        <v>609</v>
      </c>
      <c r="B584" s="1" t="s">
        <v>239</v>
      </c>
      <c r="C584" s="1" t="s">
        <v>607</v>
      </c>
      <c r="D584" s="2">
        <v>42054.791446759256</v>
      </c>
      <c r="E584" s="2">
        <v>42057.704247685186</v>
      </c>
      <c r="F584" s="1">
        <v>4</v>
      </c>
      <c r="G584" s="1">
        <v>2</v>
      </c>
      <c r="H584" s="1">
        <v>4</v>
      </c>
      <c r="I584" s="1">
        <v>4</v>
      </c>
      <c r="J584" s="1">
        <v>1</v>
      </c>
      <c r="K584" s="1">
        <v>1</v>
      </c>
      <c r="L584" s="4">
        <v>28.8</v>
      </c>
      <c r="M584" s="3" t="str">
        <f t="shared" si="84"/>
        <v>Feb</v>
      </c>
      <c r="N584" s="2">
        <v>42054.791458333333</v>
      </c>
      <c r="O584" s="1">
        <f t="shared" si="81"/>
        <v>19</v>
      </c>
      <c r="P584" s="1">
        <f t="shared" si="82"/>
        <v>5</v>
      </c>
      <c r="Q584" s="1">
        <f t="shared" si="83"/>
        <v>18</v>
      </c>
      <c r="S584"/>
      <c r="T584"/>
      <c r="U584"/>
    </row>
    <row r="585" spans="1:21" s="1" customFormat="1" x14ac:dyDescent="0.25">
      <c r="A585" s="1">
        <v>610</v>
      </c>
      <c r="B585" s="1" t="s">
        <v>123</v>
      </c>
      <c r="C585" s="1" t="s">
        <v>608</v>
      </c>
      <c r="D585" s="2">
        <v>42230.478333333333</v>
      </c>
      <c r="E585" s="2">
        <v>42230.311724537038</v>
      </c>
      <c r="F585" s="1">
        <v>1</v>
      </c>
      <c r="G585" s="1">
        <v>0</v>
      </c>
      <c r="H585" s="1">
        <v>6</v>
      </c>
      <c r="I585" s="1">
        <v>2</v>
      </c>
      <c r="J585" s="1">
        <v>1</v>
      </c>
      <c r="K585" s="1">
        <v>4</v>
      </c>
      <c r="L585" s="3">
        <v>35.200000000000003</v>
      </c>
      <c r="M585" s="3" t="str">
        <f t="shared" si="84"/>
        <v>Aug</v>
      </c>
      <c r="N585" s="2">
        <v>42230.311678240738</v>
      </c>
      <c r="O585" s="1">
        <f t="shared" si="81"/>
        <v>14</v>
      </c>
      <c r="P585" s="1">
        <f t="shared" si="82"/>
        <v>6</v>
      </c>
      <c r="Q585" s="1">
        <f t="shared" si="83"/>
        <v>7</v>
      </c>
      <c r="S585"/>
      <c r="T585"/>
      <c r="U585"/>
    </row>
    <row r="586" spans="1:21" s="1" customFormat="1" x14ac:dyDescent="0.25">
      <c r="A586" s="1">
        <v>611</v>
      </c>
      <c r="B586" s="1" t="s">
        <v>89</v>
      </c>
      <c r="C586" s="1" t="s">
        <v>609</v>
      </c>
      <c r="D586" s="2">
        <v>42019.547106481485</v>
      </c>
      <c r="E586" s="2">
        <v>42019.547175925924</v>
      </c>
      <c r="F586" s="1">
        <v>1</v>
      </c>
      <c r="G586" s="1">
        <v>0</v>
      </c>
      <c r="H586" s="1">
        <v>4</v>
      </c>
      <c r="I586" s="1">
        <v>2</v>
      </c>
      <c r="J586" s="1">
        <v>1</v>
      </c>
      <c r="K586" s="1">
        <v>2</v>
      </c>
      <c r="L586" s="4">
        <v>9</v>
      </c>
      <c r="M586" s="3" t="str">
        <f t="shared" si="84"/>
        <v>Jan</v>
      </c>
      <c r="N586" s="2">
        <v>42019.5471412037</v>
      </c>
      <c r="O586" s="1">
        <f t="shared" si="81"/>
        <v>15</v>
      </c>
      <c r="P586" s="1">
        <f t="shared" si="82"/>
        <v>5</v>
      </c>
      <c r="Q586" s="1">
        <f t="shared" si="83"/>
        <v>13</v>
      </c>
      <c r="S586"/>
      <c r="T586"/>
      <c r="U586"/>
    </row>
    <row r="587" spans="1:21" s="1" customFormat="1" x14ac:dyDescent="0.25">
      <c r="A587" s="1">
        <v>612</v>
      </c>
      <c r="B587" s="1" t="s">
        <v>100</v>
      </c>
      <c r="C587" s="1" t="s">
        <v>610</v>
      </c>
      <c r="D587" s="2">
        <v>42214.841134259259</v>
      </c>
      <c r="E587" s="2">
        <v>42214.841192129628</v>
      </c>
      <c r="F587" s="1">
        <v>1</v>
      </c>
      <c r="G587" s="1">
        <v>2</v>
      </c>
      <c r="H587" s="1">
        <v>4</v>
      </c>
      <c r="I587" s="1">
        <v>2</v>
      </c>
      <c r="J587" s="1">
        <v>1</v>
      </c>
      <c r="K587" s="1">
        <v>2</v>
      </c>
      <c r="L587" s="3">
        <v>88.6</v>
      </c>
      <c r="M587" s="3" t="str">
        <f t="shared" si="84"/>
        <v>Jul</v>
      </c>
      <c r="N587" s="2">
        <v>42214.841134259259</v>
      </c>
      <c r="O587" s="1">
        <f t="shared" si="81"/>
        <v>29</v>
      </c>
      <c r="P587" s="1">
        <f t="shared" si="82"/>
        <v>4</v>
      </c>
      <c r="Q587" s="1">
        <f t="shared" si="83"/>
        <v>20</v>
      </c>
      <c r="S587"/>
      <c r="T587"/>
      <c r="U587"/>
    </row>
    <row r="588" spans="1:21" s="1" customFormat="1" x14ac:dyDescent="0.25">
      <c r="A588" s="1">
        <v>613</v>
      </c>
      <c r="B588" s="1" t="s">
        <v>112</v>
      </c>
      <c r="C588" s="1" t="s">
        <v>611</v>
      </c>
      <c r="D588" s="2">
        <v>42074.083738425928</v>
      </c>
      <c r="E588" s="2">
        <v>42074.083796296298</v>
      </c>
      <c r="F588" s="1">
        <v>1</v>
      </c>
      <c r="G588" s="1">
        <v>0</v>
      </c>
      <c r="H588" s="1">
        <v>6</v>
      </c>
      <c r="I588" s="1">
        <v>1</v>
      </c>
      <c r="J588" s="1">
        <v>1</v>
      </c>
      <c r="K588" s="1">
        <v>2</v>
      </c>
      <c r="L588" s="4">
        <v>14.4</v>
      </c>
      <c r="M588" s="3" t="str">
        <f t="shared" si="84"/>
        <v>Mar</v>
      </c>
      <c r="N588" s="2">
        <v>42074.083749999998</v>
      </c>
      <c r="O588" s="1">
        <f t="shared" si="81"/>
        <v>11</v>
      </c>
      <c r="P588" s="1">
        <f t="shared" si="82"/>
        <v>4</v>
      </c>
      <c r="Q588" s="1">
        <f t="shared" si="83"/>
        <v>2</v>
      </c>
      <c r="S588"/>
      <c r="T588"/>
      <c r="U588"/>
    </row>
    <row r="589" spans="1:21" s="1" customFormat="1" x14ac:dyDescent="0.25">
      <c r="A589" s="1">
        <v>614</v>
      </c>
      <c r="B589" s="1" t="s">
        <v>100</v>
      </c>
      <c r="C589" s="1" t="s">
        <v>612</v>
      </c>
      <c r="D589" s="2">
        <v>42184.608032407406</v>
      </c>
      <c r="E589" s="2">
        <v>42184.608078703706</v>
      </c>
      <c r="F589" s="1">
        <v>1</v>
      </c>
      <c r="G589" s="1">
        <v>8</v>
      </c>
      <c r="H589" s="1">
        <v>4</v>
      </c>
      <c r="I589" s="1">
        <v>3</v>
      </c>
      <c r="J589" s="1">
        <v>1</v>
      </c>
      <c r="K589" s="1">
        <v>1</v>
      </c>
      <c r="L589" s="3">
        <v>57.6</v>
      </c>
      <c r="M589" s="3" t="str">
        <f t="shared" si="84"/>
        <v>Jun</v>
      </c>
      <c r="N589" s="2">
        <v>42184.608043981483</v>
      </c>
      <c r="O589" s="1">
        <f t="shared" si="81"/>
        <v>29</v>
      </c>
      <c r="P589" s="1">
        <f t="shared" si="82"/>
        <v>2</v>
      </c>
      <c r="Q589" s="1">
        <f t="shared" si="83"/>
        <v>14</v>
      </c>
      <c r="S589"/>
      <c r="T589"/>
      <c r="U589"/>
    </row>
    <row r="590" spans="1:21" s="1" customFormat="1" x14ac:dyDescent="0.25">
      <c r="A590" s="1">
        <v>615</v>
      </c>
      <c r="B590" s="1" t="s">
        <v>116</v>
      </c>
      <c r="C590" s="1" t="s">
        <v>613</v>
      </c>
      <c r="D590" s="2">
        <v>42231.195428240739</v>
      </c>
      <c r="E590" s="2">
        <v>42232.670231481483</v>
      </c>
      <c r="F590" s="1">
        <v>4</v>
      </c>
      <c r="G590" s="1">
        <v>3</v>
      </c>
      <c r="H590" s="1">
        <v>4</v>
      </c>
      <c r="I590" s="1">
        <v>3</v>
      </c>
      <c r="J590" s="1">
        <v>1</v>
      </c>
      <c r="K590" s="1">
        <v>1</v>
      </c>
      <c r="L590" s="3">
        <v>37.4</v>
      </c>
      <c r="M590" s="3" t="str">
        <f t="shared" si="84"/>
        <v>Aug</v>
      </c>
      <c r="N590" s="2">
        <v>42232.671087962961</v>
      </c>
      <c r="O590" s="1">
        <f t="shared" si="81"/>
        <v>16</v>
      </c>
      <c r="P590" s="1">
        <f t="shared" si="82"/>
        <v>1</v>
      </c>
      <c r="Q590" s="1">
        <f t="shared" si="83"/>
        <v>16</v>
      </c>
      <c r="S590"/>
      <c r="T590"/>
      <c r="U590"/>
    </row>
    <row r="591" spans="1:21" s="1" customFormat="1" x14ac:dyDescent="0.25">
      <c r="A591" s="1">
        <v>616</v>
      </c>
      <c r="B591" s="1" t="s">
        <v>123</v>
      </c>
      <c r="C591" s="1" t="s">
        <v>614</v>
      </c>
      <c r="D591" s="2">
        <v>42253.454189814816</v>
      </c>
      <c r="E591" s="2">
        <v>42253.454224537039</v>
      </c>
      <c r="F591" s="1">
        <v>1</v>
      </c>
      <c r="G591" s="1">
        <v>2</v>
      </c>
      <c r="H591" s="1">
        <v>2</v>
      </c>
      <c r="I591" s="1">
        <v>3</v>
      </c>
      <c r="J591" s="1">
        <v>1</v>
      </c>
      <c r="K591" s="1">
        <v>2</v>
      </c>
      <c r="L591" s="3">
        <v>22</v>
      </c>
      <c r="M591" s="3" t="str">
        <f t="shared" si="84"/>
        <v>Sep</v>
      </c>
      <c r="N591" s="2">
        <v>42253.454189814816</v>
      </c>
      <c r="O591" s="1">
        <f t="shared" si="81"/>
        <v>6</v>
      </c>
      <c r="P591" s="1">
        <f t="shared" si="82"/>
        <v>1</v>
      </c>
      <c r="Q591" s="1">
        <f t="shared" si="83"/>
        <v>10</v>
      </c>
      <c r="S591"/>
      <c r="T591"/>
      <c r="U591"/>
    </row>
    <row r="592" spans="1:21" s="1" customFormat="1" x14ac:dyDescent="0.25">
      <c r="A592" s="1">
        <v>617</v>
      </c>
      <c r="B592" s="1" t="s">
        <v>341</v>
      </c>
      <c r="C592" s="1" t="s">
        <v>615</v>
      </c>
      <c r="D592" s="2">
        <v>42030.785717592589</v>
      </c>
      <c r="E592" s="2">
        <v>42030.785775462966</v>
      </c>
      <c r="F592" s="1">
        <v>1</v>
      </c>
      <c r="G592" s="1">
        <v>0</v>
      </c>
      <c r="H592" s="1">
        <v>8</v>
      </c>
      <c r="I592" s="1">
        <v>2</v>
      </c>
      <c r="J592" s="1">
        <v>1</v>
      </c>
      <c r="K592" s="1">
        <v>4</v>
      </c>
      <c r="L592" s="4">
        <v>28.8</v>
      </c>
      <c r="M592" s="3" t="str">
        <f t="shared" si="84"/>
        <v>Jan</v>
      </c>
      <c r="N592" s="2">
        <v>42030.785729166666</v>
      </c>
      <c r="O592" s="1">
        <f t="shared" si="81"/>
        <v>26</v>
      </c>
      <c r="P592" s="1">
        <f t="shared" si="82"/>
        <v>2</v>
      </c>
      <c r="Q592" s="1">
        <f t="shared" si="83"/>
        <v>18</v>
      </c>
      <c r="S592"/>
      <c r="T592"/>
      <c r="U592"/>
    </row>
    <row r="593" spans="1:21" s="1" customFormat="1" x14ac:dyDescent="0.25">
      <c r="A593" s="1">
        <v>618</v>
      </c>
      <c r="B593" s="1" t="s">
        <v>85</v>
      </c>
      <c r="C593" s="1" t="s">
        <v>616</v>
      </c>
      <c r="D593" s="2">
        <v>42226.640543981484</v>
      </c>
      <c r="E593" s="2">
        <v>42226.6405787037</v>
      </c>
      <c r="F593" s="1">
        <v>1</v>
      </c>
      <c r="G593" s="1">
        <v>4</v>
      </c>
      <c r="H593" s="1">
        <v>4</v>
      </c>
      <c r="I593" s="1">
        <v>2</v>
      </c>
      <c r="J593" s="1">
        <v>1</v>
      </c>
      <c r="K593" s="1">
        <v>2</v>
      </c>
      <c r="L593" s="3">
        <v>22</v>
      </c>
      <c r="M593" s="3" t="str">
        <f t="shared" si="84"/>
        <v>Aug</v>
      </c>
      <c r="N593" s="2">
        <v>42226.640543981484</v>
      </c>
      <c r="O593" s="1">
        <f t="shared" si="81"/>
        <v>10</v>
      </c>
      <c r="P593" s="1">
        <f t="shared" si="82"/>
        <v>2</v>
      </c>
      <c r="Q593" s="1">
        <f t="shared" si="83"/>
        <v>15</v>
      </c>
      <c r="S593"/>
      <c r="T593"/>
      <c r="U593"/>
    </row>
    <row r="594" spans="1:21" s="1" customFormat="1" x14ac:dyDescent="0.25">
      <c r="A594" s="1">
        <v>619</v>
      </c>
      <c r="B594" s="1" t="s">
        <v>245</v>
      </c>
      <c r="C594" s="1" t="s">
        <v>617</v>
      </c>
      <c r="D594" s="2">
        <v>42113.709699074076</v>
      </c>
      <c r="E594" s="2">
        <v>42113.709756944445</v>
      </c>
      <c r="F594" s="1">
        <v>1</v>
      </c>
      <c r="G594" s="1">
        <v>2</v>
      </c>
      <c r="H594" s="1">
        <v>14</v>
      </c>
      <c r="I594" s="1">
        <v>1</v>
      </c>
      <c r="J594" s="1">
        <v>1</v>
      </c>
      <c r="K594" s="1">
        <v>9</v>
      </c>
      <c r="L594" s="4">
        <v>64.8</v>
      </c>
      <c r="M594" s="3" t="str">
        <f t="shared" si="84"/>
        <v>Apr</v>
      </c>
      <c r="N594" s="2">
        <v>42113.709710648145</v>
      </c>
      <c r="O594" s="1">
        <f t="shared" si="81"/>
        <v>19</v>
      </c>
      <c r="P594" s="1">
        <f t="shared" si="82"/>
        <v>1</v>
      </c>
      <c r="Q594" s="1">
        <f t="shared" si="83"/>
        <v>17</v>
      </c>
      <c r="S594"/>
      <c r="T594"/>
      <c r="U594"/>
    </row>
    <row r="595" spans="1:21" s="1" customFormat="1" x14ac:dyDescent="0.25">
      <c r="A595" s="1">
        <v>620</v>
      </c>
      <c r="B595" s="1" t="s">
        <v>89</v>
      </c>
      <c r="C595" s="1" t="s">
        <v>618</v>
      </c>
      <c r="D595" s="2">
        <v>42058.772615740738</v>
      </c>
      <c r="E595" s="2">
        <v>42058.772685185184</v>
      </c>
      <c r="F595" s="1">
        <v>1</v>
      </c>
      <c r="G595" s="1">
        <v>0</v>
      </c>
      <c r="H595" s="1">
        <v>8</v>
      </c>
      <c r="I595" s="1">
        <v>1</v>
      </c>
      <c r="J595" s="1">
        <v>1</v>
      </c>
      <c r="K595" s="1">
        <v>4</v>
      </c>
      <c r="L595" s="4">
        <v>28.8</v>
      </c>
      <c r="M595" s="3" t="str">
        <f t="shared" si="84"/>
        <v>Feb</v>
      </c>
      <c r="N595" s="2">
        <v>42058.772627314815</v>
      </c>
      <c r="O595" s="1">
        <f t="shared" si="81"/>
        <v>23</v>
      </c>
      <c r="P595" s="1">
        <f t="shared" si="82"/>
        <v>2</v>
      </c>
      <c r="Q595" s="1">
        <f t="shared" si="83"/>
        <v>18</v>
      </c>
      <c r="S595"/>
      <c r="T595"/>
      <c r="U595"/>
    </row>
    <row r="596" spans="1:21" s="1" customFormat="1" x14ac:dyDescent="0.25">
      <c r="A596" s="1">
        <v>621</v>
      </c>
      <c r="B596" s="1" t="s">
        <v>123</v>
      </c>
      <c r="C596" s="1" t="s">
        <v>619</v>
      </c>
      <c r="D596" s="2">
        <v>42034.719178240739</v>
      </c>
      <c r="E596" s="2">
        <v>42037.361539351848</v>
      </c>
      <c r="F596" s="1">
        <v>2</v>
      </c>
      <c r="G596" s="1">
        <v>0</v>
      </c>
      <c r="H596" s="1">
        <v>5</v>
      </c>
      <c r="I596" s="1">
        <v>3</v>
      </c>
      <c r="J596" s="1">
        <v>1</v>
      </c>
      <c r="K596" s="1">
        <v>2</v>
      </c>
      <c r="L596" s="4">
        <v>9</v>
      </c>
      <c r="M596" s="3" t="str">
        <f t="shared" si="84"/>
        <v>Jan</v>
      </c>
      <c r="N596" s="2">
        <v>42034.719201388885</v>
      </c>
      <c r="O596" s="1">
        <f t="shared" si="81"/>
        <v>30</v>
      </c>
      <c r="P596" s="1">
        <f t="shared" si="82"/>
        <v>6</v>
      </c>
      <c r="Q596" s="1">
        <f t="shared" si="83"/>
        <v>17</v>
      </c>
      <c r="S596"/>
      <c r="T596"/>
      <c r="U596"/>
    </row>
    <row r="597" spans="1:21" s="1" customFormat="1" x14ac:dyDescent="0.25">
      <c r="A597" s="1">
        <v>622</v>
      </c>
      <c r="B597" s="1" t="s">
        <v>147</v>
      </c>
      <c r="C597" s="1" t="s">
        <v>620</v>
      </c>
      <c r="D597" s="2">
        <v>42036.578344907408</v>
      </c>
      <c r="E597" s="2">
        <v>42036.578414351854</v>
      </c>
      <c r="F597" s="1">
        <v>1</v>
      </c>
      <c r="G597" s="1">
        <v>0</v>
      </c>
      <c r="H597" s="1">
        <v>6</v>
      </c>
      <c r="I597" s="1">
        <v>2</v>
      </c>
      <c r="J597" s="1">
        <v>1</v>
      </c>
      <c r="K597" s="1">
        <v>2</v>
      </c>
      <c r="L597" s="4">
        <v>9</v>
      </c>
      <c r="M597" s="3" t="str">
        <f t="shared" si="84"/>
        <v>Feb</v>
      </c>
      <c r="N597" s="2">
        <v>42036.578368055554</v>
      </c>
      <c r="O597" s="1">
        <f t="shared" si="81"/>
        <v>1</v>
      </c>
      <c r="P597" s="1">
        <f t="shared" si="82"/>
        <v>1</v>
      </c>
      <c r="Q597" s="1">
        <f t="shared" si="83"/>
        <v>13</v>
      </c>
      <c r="S597"/>
      <c r="T597"/>
      <c r="U597"/>
    </row>
    <row r="598" spans="1:21" s="1" customFormat="1" x14ac:dyDescent="0.25">
      <c r="A598" s="1">
        <v>623</v>
      </c>
      <c r="B598" s="1" t="s">
        <v>137</v>
      </c>
      <c r="C598" s="1" t="s">
        <v>621</v>
      </c>
      <c r="D598" s="2">
        <v>42194.679467592592</v>
      </c>
      <c r="E598" s="2">
        <v>42194.679502314815</v>
      </c>
      <c r="F598" s="1">
        <v>1</v>
      </c>
      <c r="G598" s="1">
        <v>4</v>
      </c>
      <c r="H598" s="1">
        <v>4</v>
      </c>
      <c r="I598" s="1">
        <v>2</v>
      </c>
      <c r="J598" s="1">
        <v>1</v>
      </c>
      <c r="K598" s="1">
        <v>1</v>
      </c>
      <c r="L598" s="3">
        <v>28.8</v>
      </c>
      <c r="M598" s="3" t="str">
        <f t="shared" si="84"/>
        <v>Jul</v>
      </c>
      <c r="N598" s="2">
        <v>42194.679467592592</v>
      </c>
      <c r="O598" s="1">
        <f t="shared" si="81"/>
        <v>9</v>
      </c>
      <c r="P598" s="1">
        <f t="shared" si="82"/>
        <v>5</v>
      </c>
      <c r="Q598" s="1">
        <f t="shared" si="83"/>
        <v>16</v>
      </c>
      <c r="S598"/>
      <c r="T598"/>
      <c r="U598"/>
    </row>
    <row r="599" spans="1:21" s="1" customFormat="1" x14ac:dyDescent="0.25">
      <c r="A599" s="1">
        <v>624</v>
      </c>
      <c r="B599" s="1" t="s">
        <v>112</v>
      </c>
      <c r="C599" s="1" t="s">
        <v>622</v>
      </c>
      <c r="D599" s="2">
        <v>42153.641701388886</v>
      </c>
      <c r="E599" s="2">
        <v>42154.337893518517</v>
      </c>
      <c r="F599" s="1">
        <v>3</v>
      </c>
      <c r="G599" s="1">
        <v>0</v>
      </c>
      <c r="H599" s="1">
        <v>2</v>
      </c>
      <c r="I599" s="1">
        <v>2</v>
      </c>
      <c r="J599" s="1">
        <v>1</v>
      </c>
      <c r="K599" s="1">
        <v>1</v>
      </c>
      <c r="L599" s="3">
        <v>72</v>
      </c>
      <c r="M599" s="3" t="str">
        <f t="shared" si="84"/>
        <v>May</v>
      </c>
      <c r="N599" s="2">
        <v>42153.641701388886</v>
      </c>
      <c r="O599" s="1">
        <f t="shared" si="81"/>
        <v>29</v>
      </c>
      <c r="P599" s="1">
        <f t="shared" si="82"/>
        <v>6</v>
      </c>
      <c r="Q599" s="1">
        <f t="shared" si="83"/>
        <v>15</v>
      </c>
      <c r="S599"/>
      <c r="T599"/>
      <c r="U599"/>
    </row>
    <row r="600" spans="1:21" s="1" customFormat="1" x14ac:dyDescent="0.25">
      <c r="A600" s="1">
        <v>625</v>
      </c>
      <c r="B600" s="1" t="s">
        <v>100</v>
      </c>
      <c r="C600" s="1" t="s">
        <v>623</v>
      </c>
      <c r="D600" s="2">
        <v>42145.952418981484</v>
      </c>
      <c r="E600" s="2">
        <v>42145.952453703707</v>
      </c>
      <c r="F600" s="1">
        <v>1</v>
      </c>
      <c r="G600" s="1">
        <v>0</v>
      </c>
      <c r="H600" s="1">
        <v>4</v>
      </c>
      <c r="I600" s="1">
        <v>2</v>
      </c>
      <c r="J600" s="1">
        <v>1</v>
      </c>
      <c r="K600" s="1">
        <v>2</v>
      </c>
      <c r="L600" s="4">
        <v>18</v>
      </c>
      <c r="M600" s="3" t="str">
        <f t="shared" si="84"/>
        <v>May</v>
      </c>
      <c r="N600" s="2">
        <v>42145.952430555553</v>
      </c>
      <c r="O600" s="1">
        <f t="shared" si="81"/>
        <v>21</v>
      </c>
      <c r="P600" s="1">
        <f t="shared" si="82"/>
        <v>5</v>
      </c>
      <c r="Q600" s="1">
        <f t="shared" si="83"/>
        <v>22</v>
      </c>
      <c r="S600"/>
      <c r="T600"/>
      <c r="U600"/>
    </row>
    <row r="601" spans="1:21" s="1" customFormat="1" x14ac:dyDescent="0.25">
      <c r="A601" s="1">
        <v>626</v>
      </c>
      <c r="B601" s="1" t="s">
        <v>100</v>
      </c>
      <c r="C601" s="1" t="s">
        <v>624</v>
      </c>
      <c r="D601" s="2">
        <v>42066.112708333334</v>
      </c>
      <c r="E601" s="2">
        <v>42071.215752314813</v>
      </c>
      <c r="F601" s="1">
        <v>9</v>
      </c>
      <c r="G601" s="1">
        <v>2</v>
      </c>
      <c r="H601" s="1">
        <v>8</v>
      </c>
      <c r="I601" s="1">
        <v>4</v>
      </c>
      <c r="J601" s="1">
        <v>1</v>
      </c>
      <c r="K601" s="1">
        <v>4</v>
      </c>
      <c r="L601" s="4">
        <v>27</v>
      </c>
      <c r="M601" s="3" t="str">
        <f t="shared" si="84"/>
        <v>Mar</v>
      </c>
      <c r="N601" s="2">
        <v>42066.112719907411</v>
      </c>
      <c r="O601" s="1">
        <f t="shared" si="81"/>
        <v>3</v>
      </c>
      <c r="P601" s="1">
        <f t="shared" si="82"/>
        <v>3</v>
      </c>
      <c r="Q601" s="1">
        <f t="shared" si="83"/>
        <v>2</v>
      </c>
      <c r="S601"/>
      <c r="T601"/>
      <c r="U601"/>
    </row>
    <row r="602" spans="1:21" s="1" customFormat="1" x14ac:dyDescent="0.25">
      <c r="A602" s="1">
        <v>628</v>
      </c>
      <c r="B602" s="1" t="s">
        <v>274</v>
      </c>
      <c r="C602" s="1" t="s">
        <v>625</v>
      </c>
      <c r="D602" s="2">
        <v>42143.105925925927</v>
      </c>
      <c r="E602" s="2">
        <v>42142.939293981479</v>
      </c>
      <c r="F602" s="1">
        <v>1</v>
      </c>
      <c r="G602" s="1">
        <v>2</v>
      </c>
      <c r="H602" s="1">
        <v>10</v>
      </c>
      <c r="I602" s="1">
        <v>4</v>
      </c>
      <c r="J602" s="1">
        <v>1</v>
      </c>
      <c r="K602" s="1">
        <v>8</v>
      </c>
      <c r="L602" s="4">
        <v>57.6</v>
      </c>
      <c r="M602" s="3" t="str">
        <f t="shared" si="84"/>
        <v>May</v>
      </c>
      <c r="N602" s="2">
        <v>42142.94190972222</v>
      </c>
      <c r="O602" s="1">
        <f t="shared" ref="O602:O603" si="85">DAY(N602)</f>
        <v>18</v>
      </c>
      <c r="P602" s="1">
        <f t="shared" ref="P602:P603" si="86">WEEKDAY(N602,1)</f>
        <v>2</v>
      </c>
      <c r="Q602" s="1">
        <f t="shared" ref="Q602:Q603" si="87">HOUR(N602)</f>
        <v>22</v>
      </c>
      <c r="S602"/>
      <c r="T602"/>
      <c r="U602"/>
    </row>
    <row r="603" spans="1:21" s="1" customFormat="1" x14ac:dyDescent="0.25">
      <c r="A603" s="1">
        <v>629</v>
      </c>
      <c r="B603" s="1" t="s">
        <v>131</v>
      </c>
      <c r="C603" s="1" t="s">
        <v>626</v>
      </c>
      <c r="D603" s="2">
        <v>42199.574386574073</v>
      </c>
      <c r="E603" s="2">
        <v>42199.574444444443</v>
      </c>
      <c r="F603" s="1">
        <v>1</v>
      </c>
      <c r="G603" s="1">
        <v>1</v>
      </c>
      <c r="H603" s="1">
        <v>3</v>
      </c>
      <c r="I603" s="1">
        <v>2</v>
      </c>
      <c r="J603" s="1">
        <v>1</v>
      </c>
      <c r="K603" s="1">
        <v>1</v>
      </c>
      <c r="L603" s="3">
        <v>37.4</v>
      </c>
      <c r="M603" s="3" t="str">
        <f t="shared" si="84"/>
        <v>Jul</v>
      </c>
      <c r="N603" s="2">
        <v>42199.57439814815</v>
      </c>
      <c r="O603" s="1">
        <f t="shared" si="85"/>
        <v>14</v>
      </c>
      <c r="P603" s="1">
        <f t="shared" si="86"/>
        <v>3</v>
      </c>
      <c r="Q603" s="1">
        <f t="shared" si="87"/>
        <v>13</v>
      </c>
      <c r="S603"/>
      <c r="T603"/>
      <c r="U603"/>
    </row>
    <row r="604" spans="1:21" s="1" customFormat="1" x14ac:dyDescent="0.25">
      <c r="A604" s="1">
        <v>631</v>
      </c>
      <c r="B604" s="1" t="s">
        <v>107</v>
      </c>
      <c r="C604" s="1" t="s">
        <v>627</v>
      </c>
      <c r="D604" s="2">
        <v>42061.369606481479</v>
      </c>
      <c r="E604" s="2">
        <v>42061.369641203702</v>
      </c>
      <c r="F604" s="1">
        <v>1</v>
      </c>
      <c r="G604" s="1">
        <v>0</v>
      </c>
      <c r="H604" s="1">
        <v>2</v>
      </c>
      <c r="I604" s="1">
        <v>1</v>
      </c>
      <c r="J604" s="1">
        <v>1</v>
      </c>
      <c r="K604" s="1">
        <v>1</v>
      </c>
      <c r="L604" s="4">
        <v>57.6</v>
      </c>
      <c r="M604" s="3" t="str">
        <f t="shared" si="84"/>
        <v>Feb</v>
      </c>
      <c r="N604" s="2">
        <v>42061.369618055556</v>
      </c>
      <c r="O604" s="1">
        <f t="shared" ref="O604:O605" si="88">DAY(N604)</f>
        <v>26</v>
      </c>
      <c r="P604" s="1">
        <f t="shared" ref="P604:P605" si="89">WEEKDAY(N604,1)</f>
        <v>5</v>
      </c>
      <c r="Q604" s="1">
        <f t="shared" ref="Q604:Q605" si="90">HOUR(N604)</f>
        <v>8</v>
      </c>
      <c r="S604"/>
      <c r="T604"/>
      <c r="U604"/>
    </row>
    <row r="605" spans="1:21" s="1" customFormat="1" x14ac:dyDescent="0.25">
      <c r="A605" s="1">
        <v>632</v>
      </c>
      <c r="D605" s="2">
        <v>42188.690578703703</v>
      </c>
      <c r="E605" s="2">
        <v>42188.523935185185</v>
      </c>
      <c r="F605" s="1">
        <v>1</v>
      </c>
      <c r="G605" s="1">
        <v>4</v>
      </c>
      <c r="H605" s="1">
        <v>12</v>
      </c>
      <c r="I605" s="1">
        <v>5</v>
      </c>
      <c r="J605" s="1">
        <v>1</v>
      </c>
      <c r="K605" s="1">
        <v>6</v>
      </c>
      <c r="L605" s="3">
        <v>43.2</v>
      </c>
      <c r="M605" s="3" t="str">
        <f t="shared" si="84"/>
        <v>Jul</v>
      </c>
      <c r="N605" s="2">
        <v>42188.525775462964</v>
      </c>
      <c r="O605" s="1">
        <f t="shared" si="88"/>
        <v>3</v>
      </c>
      <c r="P605" s="1">
        <f t="shared" si="89"/>
        <v>6</v>
      </c>
      <c r="Q605" s="1">
        <f t="shared" si="90"/>
        <v>12</v>
      </c>
      <c r="S605"/>
      <c r="T605"/>
      <c r="U605"/>
    </row>
    <row r="606" spans="1:21" s="1" customFormat="1" x14ac:dyDescent="0.25">
      <c r="A606" s="1">
        <v>634</v>
      </c>
      <c r="B606" s="1" t="s">
        <v>208</v>
      </c>
      <c r="C606" s="1" t="s">
        <v>628</v>
      </c>
      <c r="D606" s="2">
        <v>42227.088761574072</v>
      </c>
      <c r="E606" s="2">
        <v>42226.9221412037</v>
      </c>
      <c r="F606" s="1">
        <v>1</v>
      </c>
      <c r="G606" s="1">
        <v>4</v>
      </c>
      <c r="H606" s="1">
        <v>2</v>
      </c>
      <c r="I606" s="1">
        <v>2</v>
      </c>
      <c r="J606" s="1">
        <v>1</v>
      </c>
      <c r="K606" s="1">
        <v>1</v>
      </c>
      <c r="L606" s="3">
        <v>37.4</v>
      </c>
      <c r="M606" s="3" t="str">
        <f t="shared" si="84"/>
        <v>Aug</v>
      </c>
      <c r="N606" s="2">
        <v>42226.922106481485</v>
      </c>
      <c r="O606" s="1">
        <f t="shared" ref="O606:O622" si="91">DAY(N606)</f>
        <v>10</v>
      </c>
      <c r="P606" s="1">
        <f t="shared" ref="P606:P622" si="92">WEEKDAY(N606,1)</f>
        <v>2</v>
      </c>
      <c r="Q606" s="1">
        <f t="shared" ref="Q606:Q622" si="93">HOUR(N606)</f>
        <v>22</v>
      </c>
      <c r="S606"/>
      <c r="T606"/>
      <c r="U606"/>
    </row>
    <row r="607" spans="1:21" s="1" customFormat="1" x14ac:dyDescent="0.25">
      <c r="A607" s="1">
        <v>635</v>
      </c>
      <c r="B607" s="1" t="s">
        <v>80</v>
      </c>
      <c r="C607" s="1" t="s">
        <v>629</v>
      </c>
      <c r="D607" s="2">
        <v>42045.528692129628</v>
      </c>
      <c r="E607" s="2">
        <v>42045.528738425928</v>
      </c>
      <c r="F607" s="1">
        <v>1</v>
      </c>
      <c r="G607" s="1">
        <v>2</v>
      </c>
      <c r="H607" s="1">
        <v>2</v>
      </c>
      <c r="I607" s="1">
        <v>1</v>
      </c>
      <c r="J607" s="1">
        <v>1</v>
      </c>
      <c r="K607" s="1">
        <v>1</v>
      </c>
      <c r="L607" s="4">
        <v>27.2</v>
      </c>
      <c r="M607" s="3" t="str">
        <f t="shared" si="84"/>
        <v>Feb</v>
      </c>
      <c r="N607" s="2">
        <v>42045.528715277775</v>
      </c>
      <c r="O607" s="1">
        <f t="shared" si="91"/>
        <v>10</v>
      </c>
      <c r="P607" s="1">
        <f t="shared" si="92"/>
        <v>3</v>
      </c>
      <c r="Q607" s="1">
        <f t="shared" si="93"/>
        <v>12</v>
      </c>
      <c r="S607"/>
      <c r="T607"/>
      <c r="U607"/>
    </row>
    <row r="608" spans="1:21" s="1" customFormat="1" x14ac:dyDescent="0.25">
      <c r="A608" s="1">
        <v>636</v>
      </c>
      <c r="B608" s="1" t="s">
        <v>119</v>
      </c>
      <c r="C608" s="1" t="s">
        <v>298</v>
      </c>
      <c r="D608" s="2">
        <v>42250.99554398148</v>
      </c>
      <c r="E608" s="2">
        <v>42250.828923611109</v>
      </c>
      <c r="F608" s="1">
        <v>1</v>
      </c>
      <c r="G608" s="1">
        <v>4</v>
      </c>
      <c r="H608" s="1">
        <v>2</v>
      </c>
      <c r="I608" s="1">
        <v>2</v>
      </c>
      <c r="J608" s="1">
        <v>1</v>
      </c>
      <c r="K608" s="1">
        <v>1</v>
      </c>
      <c r="L608" s="3">
        <v>29.92</v>
      </c>
      <c r="M608" s="3" t="str">
        <f t="shared" si="84"/>
        <v>Sep</v>
      </c>
      <c r="N608" s="2">
        <v>42250.828877314816</v>
      </c>
      <c r="O608" s="1">
        <f t="shared" si="91"/>
        <v>3</v>
      </c>
      <c r="P608" s="1">
        <f t="shared" si="92"/>
        <v>5</v>
      </c>
      <c r="Q608" s="1">
        <f t="shared" si="93"/>
        <v>19</v>
      </c>
      <c r="S608"/>
      <c r="T608"/>
      <c r="U608"/>
    </row>
    <row r="609" spans="1:21" s="1" customFormat="1" x14ac:dyDescent="0.25">
      <c r="A609" s="1">
        <v>637</v>
      </c>
      <c r="B609" s="1" t="s">
        <v>123</v>
      </c>
      <c r="C609" s="1" t="s">
        <v>630</v>
      </c>
      <c r="D609" s="2">
        <v>42049.809849537036</v>
      </c>
      <c r="E609" s="2">
        <v>42049.809907407405</v>
      </c>
      <c r="F609" s="1">
        <v>1</v>
      </c>
      <c r="G609" s="1">
        <v>2</v>
      </c>
      <c r="H609" s="1">
        <v>4</v>
      </c>
      <c r="I609" s="1">
        <v>2</v>
      </c>
      <c r="J609" s="1">
        <v>1</v>
      </c>
      <c r="K609" s="1">
        <v>2</v>
      </c>
      <c r="L609" s="4">
        <v>9</v>
      </c>
      <c r="M609" s="3" t="str">
        <f t="shared" si="84"/>
        <v>Feb</v>
      </c>
      <c r="N609" s="2">
        <v>42049.809861111113</v>
      </c>
      <c r="O609" s="1">
        <f t="shared" si="91"/>
        <v>14</v>
      </c>
      <c r="P609" s="1">
        <f t="shared" si="92"/>
        <v>7</v>
      </c>
      <c r="Q609" s="1">
        <f t="shared" si="93"/>
        <v>19</v>
      </c>
      <c r="S609"/>
      <c r="T609"/>
      <c r="U609"/>
    </row>
    <row r="610" spans="1:21" s="1" customFormat="1" x14ac:dyDescent="0.25">
      <c r="A610" s="1">
        <v>638</v>
      </c>
      <c r="B610" s="1" t="s">
        <v>100</v>
      </c>
      <c r="C610" s="1" t="s">
        <v>631</v>
      </c>
      <c r="D610" s="2">
        <v>42163.749513888892</v>
      </c>
      <c r="E610" s="2">
        <v>42163.691261574073</v>
      </c>
      <c r="F610" s="1">
        <v>3</v>
      </c>
      <c r="G610" s="1">
        <v>1</v>
      </c>
      <c r="H610" s="1">
        <v>6</v>
      </c>
      <c r="I610" s="1">
        <v>4</v>
      </c>
      <c r="J610" s="1">
        <v>1</v>
      </c>
      <c r="K610" s="1">
        <v>4</v>
      </c>
      <c r="L610" s="3">
        <v>36</v>
      </c>
      <c r="M610" s="3" t="str">
        <f t="shared" si="84"/>
        <v>Jun</v>
      </c>
      <c r="N610" s="2">
        <v>42163.585196759261</v>
      </c>
      <c r="O610" s="1">
        <f t="shared" si="91"/>
        <v>8</v>
      </c>
      <c r="P610" s="1">
        <f t="shared" si="92"/>
        <v>2</v>
      </c>
      <c r="Q610" s="1">
        <f t="shared" si="93"/>
        <v>14</v>
      </c>
      <c r="S610"/>
      <c r="T610"/>
      <c r="U610"/>
    </row>
    <row r="611" spans="1:21" s="1" customFormat="1" x14ac:dyDescent="0.25">
      <c r="A611" s="1">
        <v>639</v>
      </c>
      <c r="B611" s="1" t="s">
        <v>96</v>
      </c>
      <c r="C611" s="1" t="s">
        <v>632</v>
      </c>
      <c r="D611" s="2">
        <v>42191.591956018521</v>
      </c>
      <c r="E611" s="2">
        <v>42191.425335648149</v>
      </c>
      <c r="F611" s="1">
        <v>1</v>
      </c>
      <c r="G611" s="1">
        <v>4</v>
      </c>
      <c r="H611" s="1">
        <v>2</v>
      </c>
      <c r="I611" s="1">
        <v>2</v>
      </c>
      <c r="J611" s="1">
        <v>1</v>
      </c>
      <c r="K611" s="1">
        <v>1</v>
      </c>
      <c r="L611" s="3">
        <v>28.8</v>
      </c>
      <c r="M611" s="3" t="str">
        <f t="shared" si="84"/>
        <v>Jul</v>
      </c>
      <c r="N611" s="2">
        <v>42191.425300925926</v>
      </c>
      <c r="O611" s="1">
        <f t="shared" si="91"/>
        <v>6</v>
      </c>
      <c r="P611" s="1">
        <f t="shared" si="92"/>
        <v>2</v>
      </c>
      <c r="Q611" s="1">
        <f t="shared" si="93"/>
        <v>10</v>
      </c>
      <c r="S611"/>
      <c r="T611"/>
      <c r="U611"/>
    </row>
    <row r="612" spans="1:21" s="1" customFormat="1" x14ac:dyDescent="0.25">
      <c r="A612" s="1">
        <v>640</v>
      </c>
      <c r="B612" s="1" t="s">
        <v>83</v>
      </c>
      <c r="C612" s="1" t="s">
        <v>633</v>
      </c>
      <c r="D612" s="2">
        <v>42058.85428240741</v>
      </c>
      <c r="E612" s="2">
        <v>42066.774004629631</v>
      </c>
      <c r="F612" s="1">
        <v>4</v>
      </c>
      <c r="G612" s="1">
        <v>0</v>
      </c>
      <c r="H612" s="1">
        <v>15</v>
      </c>
      <c r="I612" s="1">
        <v>4</v>
      </c>
      <c r="J612" s="1">
        <v>2</v>
      </c>
      <c r="K612" s="1">
        <v>24</v>
      </c>
      <c r="L612" s="4">
        <v>72</v>
      </c>
      <c r="M612" s="3" t="str">
        <f t="shared" si="84"/>
        <v>Feb</v>
      </c>
      <c r="N612" s="2">
        <v>42058.856539351851</v>
      </c>
      <c r="O612" s="1">
        <f t="shared" si="91"/>
        <v>23</v>
      </c>
      <c r="P612" s="1">
        <f t="shared" si="92"/>
        <v>2</v>
      </c>
      <c r="Q612" s="1">
        <f t="shared" si="93"/>
        <v>20</v>
      </c>
      <c r="S612"/>
      <c r="T612"/>
      <c r="U612"/>
    </row>
    <row r="613" spans="1:21" s="1" customFormat="1" x14ac:dyDescent="0.25">
      <c r="A613" s="1">
        <v>641</v>
      </c>
      <c r="B613" s="1" t="s">
        <v>253</v>
      </c>
      <c r="C613" s="1" t="s">
        <v>634</v>
      </c>
      <c r="D613" s="2">
        <v>42205.055</v>
      </c>
      <c r="E613" s="2">
        <v>42205.055046296293</v>
      </c>
      <c r="F613" s="1">
        <v>1</v>
      </c>
      <c r="G613" s="1">
        <v>2</v>
      </c>
      <c r="H613" s="1">
        <v>2</v>
      </c>
      <c r="I613" s="1">
        <v>3</v>
      </c>
      <c r="J613" s="1">
        <v>1</v>
      </c>
      <c r="K613" s="1">
        <v>1</v>
      </c>
      <c r="L613" s="3">
        <v>29.92</v>
      </c>
      <c r="M613" s="3" t="str">
        <f t="shared" si="84"/>
        <v>Jul</v>
      </c>
      <c r="N613" s="2">
        <v>42205.055011574077</v>
      </c>
      <c r="O613" s="1">
        <f t="shared" si="91"/>
        <v>20</v>
      </c>
      <c r="P613" s="1">
        <f t="shared" si="92"/>
        <v>2</v>
      </c>
      <c r="Q613" s="1">
        <f t="shared" si="93"/>
        <v>1</v>
      </c>
      <c r="S613"/>
      <c r="T613"/>
      <c r="U613"/>
    </row>
    <row r="614" spans="1:21" s="1" customFormat="1" x14ac:dyDescent="0.25">
      <c r="A614" s="1">
        <v>642</v>
      </c>
      <c r="B614" s="1" t="s">
        <v>116</v>
      </c>
      <c r="C614" s="1" t="s">
        <v>635</v>
      </c>
      <c r="D614" s="2">
        <v>42224.515381944446</v>
      </c>
      <c r="E614" s="2">
        <v>42224.34878472222</v>
      </c>
      <c r="F614" s="1">
        <v>1</v>
      </c>
      <c r="G614" s="1">
        <v>16</v>
      </c>
      <c r="H614" s="1">
        <v>12</v>
      </c>
      <c r="I614" s="1">
        <v>2</v>
      </c>
      <c r="J614" s="1">
        <v>1</v>
      </c>
      <c r="K614" s="1">
        <v>4</v>
      </c>
      <c r="L614" s="3">
        <v>36</v>
      </c>
      <c r="M614" s="3" t="str">
        <f t="shared" si="84"/>
        <v>Aug</v>
      </c>
      <c r="N614" s="2">
        <v>42224.348726851851</v>
      </c>
      <c r="O614" s="1">
        <f t="shared" si="91"/>
        <v>8</v>
      </c>
      <c r="P614" s="1">
        <f t="shared" si="92"/>
        <v>7</v>
      </c>
      <c r="Q614" s="1">
        <f t="shared" si="93"/>
        <v>8</v>
      </c>
      <c r="S614"/>
      <c r="T614"/>
      <c r="U614"/>
    </row>
    <row r="615" spans="1:21" s="1" customFormat="1" x14ac:dyDescent="0.25">
      <c r="A615" s="1">
        <v>643</v>
      </c>
      <c r="B615" s="1" t="s">
        <v>134</v>
      </c>
      <c r="C615" s="1" t="s">
        <v>636</v>
      </c>
      <c r="D615" s="2">
        <v>42058.451145833336</v>
      </c>
      <c r="E615" s="2">
        <v>42058.451192129629</v>
      </c>
      <c r="F615" s="1">
        <v>1</v>
      </c>
      <c r="G615" s="1">
        <v>0</v>
      </c>
      <c r="H615" s="1">
        <v>6</v>
      </c>
      <c r="I615" s="1">
        <v>1</v>
      </c>
      <c r="J615" s="1">
        <v>1</v>
      </c>
      <c r="K615" s="1">
        <v>4</v>
      </c>
      <c r="L615" s="4">
        <v>28.8</v>
      </c>
      <c r="M615" s="3" t="str">
        <f t="shared" si="84"/>
        <v>Feb</v>
      </c>
      <c r="N615" s="2">
        <v>42058.451145833336</v>
      </c>
      <c r="O615" s="1">
        <f t="shared" si="91"/>
        <v>23</v>
      </c>
      <c r="P615" s="1">
        <f t="shared" si="92"/>
        <v>2</v>
      </c>
      <c r="Q615" s="1">
        <f t="shared" si="93"/>
        <v>10</v>
      </c>
      <c r="S615"/>
      <c r="T615"/>
      <c r="U615"/>
    </row>
    <row r="616" spans="1:21" s="1" customFormat="1" x14ac:dyDescent="0.25">
      <c r="A616" s="1">
        <v>644</v>
      </c>
      <c r="B616" s="1" t="s">
        <v>91</v>
      </c>
      <c r="C616" s="1" t="s">
        <v>637</v>
      </c>
      <c r="D616" s="2">
        <v>42198.712395833332</v>
      </c>
      <c r="E616" s="2">
        <v>42198.712442129632</v>
      </c>
      <c r="F616" s="1">
        <v>1</v>
      </c>
      <c r="G616" s="1">
        <v>4</v>
      </c>
      <c r="H616" s="1">
        <v>8</v>
      </c>
      <c r="I616" s="1">
        <v>2</v>
      </c>
      <c r="J616" s="1">
        <v>1</v>
      </c>
      <c r="K616" s="1">
        <v>4</v>
      </c>
      <c r="L616" s="3">
        <v>28.8</v>
      </c>
      <c r="M616" s="3" t="str">
        <f t="shared" si="84"/>
        <v>Jul</v>
      </c>
      <c r="N616" s="2">
        <v>42198.712395833332</v>
      </c>
      <c r="O616" s="1">
        <f t="shared" si="91"/>
        <v>13</v>
      </c>
      <c r="P616" s="1">
        <f t="shared" si="92"/>
        <v>2</v>
      </c>
      <c r="Q616" s="1">
        <f t="shared" si="93"/>
        <v>17</v>
      </c>
      <c r="S616"/>
      <c r="T616"/>
      <c r="U616"/>
    </row>
    <row r="617" spans="1:21" s="1" customFormat="1" x14ac:dyDescent="0.25">
      <c r="A617" s="1">
        <v>645</v>
      </c>
      <c r="B617" s="1" t="s">
        <v>103</v>
      </c>
      <c r="C617" s="1" t="s">
        <v>638</v>
      </c>
      <c r="D617" s="2">
        <v>42167.994872685187</v>
      </c>
      <c r="E617" s="2">
        <v>42167.828252314815</v>
      </c>
      <c r="F617" s="1">
        <v>1</v>
      </c>
      <c r="G617" s="1">
        <v>6</v>
      </c>
      <c r="H617" s="1">
        <v>6</v>
      </c>
      <c r="I617" s="1">
        <v>2</v>
      </c>
      <c r="J617" s="1">
        <v>1</v>
      </c>
      <c r="K617" s="1">
        <v>4</v>
      </c>
      <c r="L617" s="3">
        <v>27</v>
      </c>
      <c r="M617" s="3" t="str">
        <f t="shared" si="84"/>
        <v>Jun</v>
      </c>
      <c r="N617" s="2">
        <v>42167.828217592592</v>
      </c>
      <c r="O617" s="1">
        <f t="shared" si="91"/>
        <v>12</v>
      </c>
      <c r="P617" s="1">
        <f t="shared" si="92"/>
        <v>6</v>
      </c>
      <c r="Q617" s="1">
        <f t="shared" si="93"/>
        <v>19</v>
      </c>
      <c r="S617"/>
      <c r="T617"/>
      <c r="U617"/>
    </row>
    <row r="618" spans="1:21" s="1" customFormat="1" x14ac:dyDescent="0.25">
      <c r="A618" s="1">
        <v>646</v>
      </c>
      <c r="B618" s="1" t="s">
        <v>341</v>
      </c>
      <c r="C618" s="1" t="s">
        <v>639</v>
      </c>
      <c r="D618" s="2">
        <v>42264.650324074071</v>
      </c>
      <c r="E618" s="2">
        <v>42264.483703703707</v>
      </c>
      <c r="F618" s="1">
        <v>1</v>
      </c>
      <c r="G618" s="1">
        <v>8</v>
      </c>
      <c r="H618" s="1">
        <v>6</v>
      </c>
      <c r="I618" s="1">
        <v>2</v>
      </c>
      <c r="J618" s="1">
        <v>1</v>
      </c>
      <c r="K618" s="1">
        <v>1</v>
      </c>
      <c r="L618" s="3">
        <v>27.2</v>
      </c>
      <c r="M618" s="3" t="str">
        <f t="shared" si="84"/>
        <v>Sep</v>
      </c>
      <c r="N618" s="2">
        <v>42264.483668981484</v>
      </c>
      <c r="O618" s="1">
        <f t="shared" si="91"/>
        <v>17</v>
      </c>
      <c r="P618" s="1">
        <f t="shared" si="92"/>
        <v>5</v>
      </c>
      <c r="Q618" s="1">
        <f t="shared" si="93"/>
        <v>11</v>
      </c>
      <c r="S618"/>
      <c r="T618"/>
      <c r="U618"/>
    </row>
    <row r="619" spans="1:21" s="1" customFormat="1" x14ac:dyDescent="0.25">
      <c r="A619" s="1">
        <v>647</v>
      </c>
      <c r="B619" s="1" t="s">
        <v>123</v>
      </c>
      <c r="C619" s="1" t="s">
        <v>640</v>
      </c>
      <c r="D619" s="2">
        <v>42075.128912037035</v>
      </c>
      <c r="E619" s="2">
        <v>42075.128958333335</v>
      </c>
      <c r="F619" s="1">
        <v>1</v>
      </c>
      <c r="G619" s="1">
        <v>0</v>
      </c>
      <c r="H619" s="1">
        <v>4</v>
      </c>
      <c r="I619" s="1">
        <v>1</v>
      </c>
      <c r="J619" s="1">
        <v>1</v>
      </c>
      <c r="K619" s="1">
        <v>2</v>
      </c>
      <c r="L619" s="4">
        <v>14.4</v>
      </c>
      <c r="M619" s="3" t="str">
        <f t="shared" si="84"/>
        <v>Mar</v>
      </c>
      <c r="N619" s="2">
        <v>42075.128923611112</v>
      </c>
      <c r="O619" s="1">
        <f t="shared" si="91"/>
        <v>12</v>
      </c>
      <c r="P619" s="1">
        <f t="shared" si="92"/>
        <v>5</v>
      </c>
      <c r="Q619" s="1">
        <f t="shared" si="93"/>
        <v>3</v>
      </c>
      <c r="S619"/>
      <c r="T619"/>
      <c r="U619"/>
    </row>
    <row r="620" spans="1:21" s="1" customFormat="1" x14ac:dyDescent="0.25">
      <c r="A620" s="1">
        <v>648</v>
      </c>
      <c r="B620" s="1" t="s">
        <v>94</v>
      </c>
      <c r="C620" s="1" t="s">
        <v>641</v>
      </c>
      <c r="D620" s="2">
        <v>42184.752824074072</v>
      </c>
      <c r="E620" s="2">
        <v>42186.649537037039</v>
      </c>
      <c r="F620" s="1">
        <v>6</v>
      </c>
      <c r="G620" s="1">
        <v>2</v>
      </c>
      <c r="H620" s="1">
        <v>4</v>
      </c>
      <c r="I620" s="1">
        <v>4</v>
      </c>
      <c r="J620" s="1">
        <v>1</v>
      </c>
      <c r="K620" s="1">
        <v>2</v>
      </c>
      <c r="L620" s="3">
        <v>57.6</v>
      </c>
      <c r="M620" s="3" t="str">
        <f t="shared" si="84"/>
        <v>Jun</v>
      </c>
      <c r="N620" s="2">
        <v>42184.586168981485</v>
      </c>
      <c r="O620" s="1">
        <f t="shared" si="91"/>
        <v>29</v>
      </c>
      <c r="P620" s="1">
        <f t="shared" si="92"/>
        <v>2</v>
      </c>
      <c r="Q620" s="1">
        <f t="shared" si="93"/>
        <v>14</v>
      </c>
      <c r="S620"/>
      <c r="T620"/>
      <c r="U620"/>
    </row>
    <row r="621" spans="1:21" s="1" customFormat="1" x14ac:dyDescent="0.25">
      <c r="A621" s="1">
        <v>649</v>
      </c>
      <c r="B621" s="1" t="s">
        <v>76</v>
      </c>
      <c r="C621" s="1" t="s">
        <v>642</v>
      </c>
      <c r="D621" s="2">
        <v>42166.746377314812</v>
      </c>
      <c r="E621" s="2">
        <v>42167.096608796295</v>
      </c>
      <c r="F621" s="1">
        <v>5</v>
      </c>
      <c r="G621" s="1">
        <v>5</v>
      </c>
      <c r="H621" s="1">
        <v>3</v>
      </c>
      <c r="I621" s="1">
        <v>7</v>
      </c>
      <c r="J621" s="1">
        <v>2</v>
      </c>
      <c r="K621" s="1">
        <v>2</v>
      </c>
      <c r="L621" s="3">
        <v>36</v>
      </c>
      <c r="M621" s="3" t="str">
        <f t="shared" si="84"/>
        <v>Jun</v>
      </c>
      <c r="N621" s="2">
        <v>42166.581180555557</v>
      </c>
      <c r="O621" s="1">
        <f t="shared" si="91"/>
        <v>11</v>
      </c>
      <c r="P621" s="1">
        <f t="shared" si="92"/>
        <v>5</v>
      </c>
      <c r="Q621" s="1">
        <f t="shared" si="93"/>
        <v>13</v>
      </c>
      <c r="S621"/>
      <c r="T621"/>
      <c r="U621"/>
    </row>
    <row r="622" spans="1:21" s="1" customFormat="1" x14ac:dyDescent="0.25">
      <c r="A622" s="1">
        <v>650</v>
      </c>
      <c r="B622" s="1" t="s">
        <v>89</v>
      </c>
      <c r="C622" s="1" t="s">
        <v>643</v>
      </c>
      <c r="D622" s="2">
        <v>42187.737881944442</v>
      </c>
      <c r="E622" s="2">
        <v>42187.737928240742</v>
      </c>
      <c r="F622" s="1">
        <v>1</v>
      </c>
      <c r="G622" s="1">
        <v>6</v>
      </c>
      <c r="H622" s="1">
        <v>6</v>
      </c>
      <c r="I622" s="1">
        <v>2</v>
      </c>
      <c r="J622" s="1">
        <v>1</v>
      </c>
      <c r="K622" s="1">
        <v>7</v>
      </c>
      <c r="L622" s="3">
        <v>50.4</v>
      </c>
      <c r="M622" s="3" t="str">
        <f t="shared" si="84"/>
        <v>Jul</v>
      </c>
      <c r="N622" s="2">
        <v>42187.737893518519</v>
      </c>
      <c r="O622" s="1">
        <f t="shared" si="91"/>
        <v>2</v>
      </c>
      <c r="P622" s="1">
        <f t="shared" si="92"/>
        <v>5</v>
      </c>
      <c r="Q622" s="1">
        <f t="shared" si="93"/>
        <v>17</v>
      </c>
      <c r="S622"/>
      <c r="T622"/>
      <c r="U622"/>
    </row>
    <row r="623" spans="1:21" s="1" customFormat="1" x14ac:dyDescent="0.25">
      <c r="A623" s="1">
        <v>652</v>
      </c>
      <c r="B623" s="1" t="s">
        <v>274</v>
      </c>
      <c r="C623" s="1" t="s">
        <v>644</v>
      </c>
      <c r="D623" s="2">
        <v>42072.81994212963</v>
      </c>
      <c r="E623" s="2">
        <v>42072.820023148146</v>
      </c>
      <c r="F623" s="1">
        <v>1</v>
      </c>
      <c r="G623" s="1">
        <v>0</v>
      </c>
      <c r="H623" s="1">
        <v>4</v>
      </c>
      <c r="I623" s="1">
        <v>1</v>
      </c>
      <c r="J623" s="1">
        <v>1</v>
      </c>
      <c r="K623" s="1">
        <v>1</v>
      </c>
      <c r="L623" s="4">
        <v>28.8</v>
      </c>
      <c r="M623" s="3" t="str">
        <f t="shared" si="84"/>
        <v>Mar</v>
      </c>
      <c r="N623" s="2">
        <v>42072.819965277777</v>
      </c>
      <c r="O623" s="1">
        <f t="shared" ref="O623:O645" si="94">DAY(N623)</f>
        <v>9</v>
      </c>
      <c r="P623" s="1">
        <f t="shared" ref="P623:P645" si="95">WEEKDAY(N623,1)</f>
        <v>2</v>
      </c>
      <c r="Q623" s="1">
        <f t="shared" ref="Q623:Q645" si="96">HOUR(N623)</f>
        <v>19</v>
      </c>
      <c r="S623"/>
      <c r="T623"/>
      <c r="U623"/>
    </row>
    <row r="624" spans="1:21" s="1" customFormat="1" x14ac:dyDescent="0.25">
      <c r="A624" s="1">
        <v>653</v>
      </c>
      <c r="D624" s="2">
        <v>42200.077060185184</v>
      </c>
      <c r="E624" s="2">
        <v>42199.910405092596</v>
      </c>
      <c r="F624" s="1">
        <v>1</v>
      </c>
      <c r="G624" s="1">
        <v>2</v>
      </c>
      <c r="H624" s="1">
        <v>2</v>
      </c>
      <c r="I624" s="1">
        <v>2</v>
      </c>
      <c r="J624" s="1">
        <v>1</v>
      </c>
      <c r="K624" s="1">
        <v>2</v>
      </c>
      <c r="L624" s="3">
        <v>97.28</v>
      </c>
      <c r="M624" s="3" t="str">
        <f t="shared" si="84"/>
        <v>Jul</v>
      </c>
      <c r="N624" s="2">
        <v>42199.913425925923</v>
      </c>
      <c r="O624" s="1">
        <f t="shared" si="94"/>
        <v>14</v>
      </c>
      <c r="P624" s="1">
        <f t="shared" si="95"/>
        <v>3</v>
      </c>
      <c r="Q624" s="1">
        <f t="shared" si="96"/>
        <v>21</v>
      </c>
      <c r="S624"/>
      <c r="T624"/>
      <c r="U624"/>
    </row>
    <row r="625" spans="1:21" s="1" customFormat="1" x14ac:dyDescent="0.25">
      <c r="A625" s="1">
        <v>654</v>
      </c>
      <c r="B625" s="1" t="s">
        <v>100</v>
      </c>
      <c r="C625" s="1" t="s">
        <v>128</v>
      </c>
      <c r="D625" s="2">
        <v>42145.7268287037</v>
      </c>
      <c r="E625" s="2">
        <v>42145.726863425924</v>
      </c>
      <c r="F625" s="1">
        <v>1</v>
      </c>
      <c r="G625" s="1">
        <v>4</v>
      </c>
      <c r="H625" s="1">
        <v>4</v>
      </c>
      <c r="I625" s="1">
        <v>4</v>
      </c>
      <c r="J625" s="1">
        <v>1</v>
      </c>
      <c r="K625" s="1">
        <v>2</v>
      </c>
      <c r="L625" s="4">
        <v>14.4</v>
      </c>
      <c r="M625" s="3" t="str">
        <f t="shared" si="84"/>
        <v>May</v>
      </c>
      <c r="N625" s="2">
        <v>42145.7268287037</v>
      </c>
      <c r="O625" s="1">
        <f t="shared" si="94"/>
        <v>21</v>
      </c>
      <c r="P625" s="1">
        <f t="shared" si="95"/>
        <v>5</v>
      </c>
      <c r="Q625" s="1">
        <f t="shared" si="96"/>
        <v>17</v>
      </c>
      <c r="S625"/>
      <c r="T625"/>
      <c r="U625"/>
    </row>
    <row r="626" spans="1:21" s="1" customFormat="1" x14ac:dyDescent="0.25">
      <c r="A626" s="1">
        <v>655</v>
      </c>
      <c r="B626" s="1" t="s">
        <v>245</v>
      </c>
      <c r="C626" s="1" t="s">
        <v>645</v>
      </c>
      <c r="D626" s="2">
        <v>42075.498784722222</v>
      </c>
      <c r="E626" s="2">
        <v>42075.498877314814</v>
      </c>
      <c r="F626" s="1">
        <v>1</v>
      </c>
      <c r="G626" s="1">
        <v>0</v>
      </c>
      <c r="H626" s="1">
        <v>4</v>
      </c>
      <c r="I626" s="1">
        <v>1</v>
      </c>
      <c r="J626" s="1">
        <v>1</v>
      </c>
      <c r="K626" s="1">
        <v>2</v>
      </c>
      <c r="L626" s="4">
        <v>9</v>
      </c>
      <c r="M626" s="3" t="str">
        <f t="shared" si="84"/>
        <v>Mar</v>
      </c>
      <c r="N626" s="2">
        <v>42075.498796296299</v>
      </c>
      <c r="O626" s="1">
        <f t="shared" si="94"/>
        <v>12</v>
      </c>
      <c r="P626" s="1">
        <f t="shared" si="95"/>
        <v>5</v>
      </c>
      <c r="Q626" s="1">
        <f t="shared" si="96"/>
        <v>11</v>
      </c>
      <c r="S626"/>
      <c r="T626"/>
      <c r="U626"/>
    </row>
    <row r="627" spans="1:21" s="1" customFormat="1" x14ac:dyDescent="0.25">
      <c r="A627" s="1">
        <v>656</v>
      </c>
      <c r="B627" s="1" t="s">
        <v>80</v>
      </c>
      <c r="C627" s="1" t="s">
        <v>646</v>
      </c>
      <c r="D627" s="2">
        <v>42033.838460648149</v>
      </c>
      <c r="E627" s="2">
        <v>42033.838506944441</v>
      </c>
      <c r="F627" s="1">
        <v>1</v>
      </c>
      <c r="G627" s="1">
        <v>0</v>
      </c>
      <c r="H627" s="1">
        <v>4</v>
      </c>
      <c r="I627" s="1">
        <v>1</v>
      </c>
      <c r="J627" s="1">
        <v>1</v>
      </c>
      <c r="K627" s="1">
        <v>2</v>
      </c>
      <c r="L627" s="4">
        <v>18</v>
      </c>
      <c r="M627" s="3" t="str">
        <f t="shared" si="84"/>
        <v>Jan</v>
      </c>
      <c r="N627" s="2">
        <v>42033.838472222225</v>
      </c>
      <c r="O627" s="1">
        <f t="shared" si="94"/>
        <v>29</v>
      </c>
      <c r="P627" s="1">
        <f t="shared" si="95"/>
        <v>5</v>
      </c>
      <c r="Q627" s="1">
        <f t="shared" si="96"/>
        <v>20</v>
      </c>
      <c r="S627"/>
      <c r="T627"/>
      <c r="U627"/>
    </row>
    <row r="628" spans="1:21" s="1" customFormat="1" x14ac:dyDescent="0.25">
      <c r="A628" s="1">
        <v>657</v>
      </c>
      <c r="B628" s="1" t="s">
        <v>89</v>
      </c>
      <c r="C628" s="1" t="s">
        <v>647</v>
      </c>
      <c r="D628" s="2">
        <v>42230.753240740742</v>
      </c>
      <c r="E628" s="2">
        <v>42230.753275462965</v>
      </c>
      <c r="F628" s="1">
        <v>1</v>
      </c>
      <c r="G628" s="1">
        <v>6</v>
      </c>
      <c r="H628" s="1">
        <v>8</v>
      </c>
      <c r="I628" s="1">
        <v>2</v>
      </c>
      <c r="J628" s="1">
        <v>1</v>
      </c>
      <c r="K628" s="1">
        <v>4</v>
      </c>
      <c r="L628" s="3">
        <v>36</v>
      </c>
      <c r="M628" s="3" t="str">
        <f t="shared" si="84"/>
        <v>Aug</v>
      </c>
      <c r="N628" s="2">
        <v>42230.753240740742</v>
      </c>
      <c r="O628" s="1">
        <f t="shared" si="94"/>
        <v>14</v>
      </c>
      <c r="P628" s="1">
        <f t="shared" si="95"/>
        <v>6</v>
      </c>
      <c r="Q628" s="1">
        <f t="shared" si="96"/>
        <v>18</v>
      </c>
      <c r="S628"/>
      <c r="T628"/>
      <c r="U628"/>
    </row>
    <row r="629" spans="1:21" s="1" customFormat="1" x14ac:dyDescent="0.25">
      <c r="A629" s="1">
        <v>658</v>
      </c>
      <c r="B629" s="1" t="s">
        <v>89</v>
      </c>
      <c r="C629" s="1" t="s">
        <v>648</v>
      </c>
      <c r="D629" s="2">
        <v>42244.741620370369</v>
      </c>
      <c r="E629" s="2">
        <v>42244.574999999997</v>
      </c>
      <c r="F629" s="1">
        <v>1</v>
      </c>
      <c r="G629" s="1">
        <v>4</v>
      </c>
      <c r="H629" s="1">
        <v>2</v>
      </c>
      <c r="I629" s="1">
        <v>2</v>
      </c>
      <c r="J629" s="1">
        <v>1</v>
      </c>
      <c r="K629" s="1">
        <v>1</v>
      </c>
      <c r="L629" s="3">
        <v>56.32</v>
      </c>
      <c r="M629" s="3" t="str">
        <f t="shared" si="84"/>
        <v>Aug</v>
      </c>
      <c r="N629" s="2">
        <v>42244.574965277781</v>
      </c>
      <c r="O629" s="1">
        <f t="shared" si="94"/>
        <v>28</v>
      </c>
      <c r="P629" s="1">
        <f t="shared" si="95"/>
        <v>6</v>
      </c>
      <c r="Q629" s="1">
        <f t="shared" si="96"/>
        <v>13</v>
      </c>
      <c r="S629"/>
      <c r="T629"/>
      <c r="U629"/>
    </row>
    <row r="630" spans="1:21" s="1" customFormat="1" x14ac:dyDescent="0.25">
      <c r="A630" s="1">
        <v>659</v>
      </c>
      <c r="B630" s="1" t="s">
        <v>134</v>
      </c>
      <c r="C630" s="1" t="s">
        <v>649</v>
      </c>
      <c r="D630" s="2">
        <v>42066.519733796296</v>
      </c>
      <c r="E630" s="2">
        <v>42066.519791666666</v>
      </c>
      <c r="F630" s="1">
        <v>1</v>
      </c>
      <c r="G630" s="1">
        <v>4</v>
      </c>
      <c r="H630" s="1">
        <v>4</v>
      </c>
      <c r="I630" s="1">
        <v>1</v>
      </c>
      <c r="J630" s="1">
        <v>1</v>
      </c>
      <c r="K630" s="1">
        <v>4</v>
      </c>
      <c r="L630" s="4">
        <v>28.8</v>
      </c>
      <c r="M630" s="3" t="str">
        <f t="shared" si="84"/>
        <v>Mar</v>
      </c>
      <c r="N630" s="2">
        <v>42066.519745370373</v>
      </c>
      <c r="O630" s="1">
        <f t="shared" si="94"/>
        <v>3</v>
      </c>
      <c r="P630" s="1">
        <f t="shared" si="95"/>
        <v>3</v>
      </c>
      <c r="Q630" s="1">
        <f t="shared" si="96"/>
        <v>12</v>
      </c>
      <c r="S630"/>
      <c r="T630"/>
      <c r="U630"/>
    </row>
    <row r="631" spans="1:21" s="1" customFormat="1" x14ac:dyDescent="0.25">
      <c r="A631" s="1">
        <v>660</v>
      </c>
      <c r="D631" s="2">
        <v>42213.081678240742</v>
      </c>
      <c r="E631" s="2">
        <v>42212.915011574078</v>
      </c>
      <c r="F631" s="1">
        <v>1</v>
      </c>
      <c r="G631" s="1">
        <v>2</v>
      </c>
      <c r="H631" s="1">
        <v>5</v>
      </c>
      <c r="I631" s="1">
        <v>3</v>
      </c>
      <c r="J631" s="1">
        <v>1</v>
      </c>
      <c r="K631" s="1">
        <v>4</v>
      </c>
      <c r="L631" s="3">
        <v>36.799999999999997</v>
      </c>
      <c r="M631" s="3" t="str">
        <f t="shared" si="84"/>
        <v>Jul</v>
      </c>
      <c r="N631" s="2">
        <v>42212.922164351854</v>
      </c>
      <c r="O631" s="1">
        <f t="shared" si="94"/>
        <v>27</v>
      </c>
      <c r="P631" s="1">
        <f t="shared" si="95"/>
        <v>2</v>
      </c>
      <c r="Q631" s="1">
        <f t="shared" si="96"/>
        <v>22</v>
      </c>
      <c r="S631"/>
      <c r="T631"/>
      <c r="U631"/>
    </row>
    <row r="632" spans="1:21" s="1" customFormat="1" x14ac:dyDescent="0.25">
      <c r="A632" s="1">
        <v>661</v>
      </c>
      <c r="B632" s="1" t="s">
        <v>123</v>
      </c>
      <c r="C632" s="1" t="s">
        <v>650</v>
      </c>
      <c r="D632" s="2">
        <v>42220.653414351851</v>
      </c>
      <c r="E632" s="2">
        <v>42220.486759259256</v>
      </c>
      <c r="F632" s="1">
        <v>1</v>
      </c>
      <c r="G632" s="1">
        <v>4</v>
      </c>
      <c r="H632" s="1">
        <v>8</v>
      </c>
      <c r="I632" s="1">
        <v>8</v>
      </c>
      <c r="J632" s="1">
        <v>1</v>
      </c>
      <c r="K632" s="1">
        <v>2</v>
      </c>
      <c r="L632" s="3">
        <v>22</v>
      </c>
      <c r="M632" s="3" t="str">
        <f t="shared" si="84"/>
        <v>Aug</v>
      </c>
      <c r="N632" s="2">
        <v>42220.490023148152</v>
      </c>
      <c r="O632" s="1">
        <f t="shared" si="94"/>
        <v>4</v>
      </c>
      <c r="P632" s="1">
        <f t="shared" si="95"/>
        <v>3</v>
      </c>
      <c r="Q632" s="1">
        <f t="shared" si="96"/>
        <v>11</v>
      </c>
      <c r="S632"/>
      <c r="T632"/>
      <c r="U632"/>
    </row>
    <row r="633" spans="1:21" s="1" customFormat="1" x14ac:dyDescent="0.25">
      <c r="A633" s="1">
        <v>662</v>
      </c>
      <c r="B633" s="1" t="s">
        <v>100</v>
      </c>
      <c r="C633" s="1" t="s">
        <v>651</v>
      </c>
      <c r="D633" s="2">
        <v>42021.477465277778</v>
      </c>
      <c r="E633" s="2">
        <v>42026.555393518516</v>
      </c>
      <c r="F633" s="1">
        <v>3</v>
      </c>
      <c r="G633" s="1">
        <v>0</v>
      </c>
      <c r="H633" s="1">
        <v>6</v>
      </c>
      <c r="I633" s="1">
        <v>3</v>
      </c>
      <c r="J633" s="1">
        <v>1</v>
      </c>
      <c r="K633" s="1">
        <v>3</v>
      </c>
      <c r="L633" s="4">
        <v>18</v>
      </c>
      <c r="M633" s="3" t="str">
        <f t="shared" si="84"/>
        <v>Jan</v>
      </c>
      <c r="N633" s="2">
        <v>42021.477488425924</v>
      </c>
      <c r="O633" s="1">
        <f t="shared" si="94"/>
        <v>17</v>
      </c>
      <c r="P633" s="1">
        <f t="shared" si="95"/>
        <v>7</v>
      </c>
      <c r="Q633" s="1">
        <f t="shared" si="96"/>
        <v>11</v>
      </c>
      <c r="S633"/>
      <c r="T633"/>
      <c r="U633"/>
    </row>
    <row r="634" spans="1:21" s="1" customFormat="1" x14ac:dyDescent="0.25">
      <c r="A634" s="1">
        <v>663</v>
      </c>
      <c r="B634" s="1" t="s">
        <v>119</v>
      </c>
      <c r="C634" s="1" t="s">
        <v>652</v>
      </c>
      <c r="D634" s="2">
        <v>42245.680324074077</v>
      </c>
      <c r="E634" s="2">
        <v>42245.513715277775</v>
      </c>
      <c r="F634" s="1">
        <v>1</v>
      </c>
      <c r="G634" s="1">
        <v>2</v>
      </c>
      <c r="H634" s="1">
        <v>4</v>
      </c>
      <c r="I634" s="1">
        <v>4</v>
      </c>
      <c r="J634" s="1">
        <v>1</v>
      </c>
      <c r="K634" s="1">
        <v>2</v>
      </c>
      <c r="L634" s="3">
        <v>38.72</v>
      </c>
      <c r="M634" s="3" t="str">
        <f t="shared" si="84"/>
        <v>Aug</v>
      </c>
      <c r="N634" s="2">
        <v>42245.513668981483</v>
      </c>
      <c r="O634" s="1">
        <f t="shared" si="94"/>
        <v>29</v>
      </c>
      <c r="P634" s="1">
        <f t="shared" si="95"/>
        <v>7</v>
      </c>
      <c r="Q634" s="1">
        <f t="shared" si="96"/>
        <v>12</v>
      </c>
      <c r="S634"/>
      <c r="T634"/>
      <c r="U634"/>
    </row>
    <row r="635" spans="1:21" s="1" customFormat="1" x14ac:dyDescent="0.25">
      <c r="A635" s="1">
        <v>664</v>
      </c>
      <c r="B635" s="1" t="s">
        <v>137</v>
      </c>
      <c r="C635" s="1" t="s">
        <v>653</v>
      </c>
      <c r="D635" s="2">
        <v>42193.028703703705</v>
      </c>
      <c r="E635" s="2">
        <v>42192.86204861111</v>
      </c>
      <c r="F635" s="1">
        <v>1</v>
      </c>
      <c r="G635" s="1">
        <v>4</v>
      </c>
      <c r="H635" s="1">
        <v>8</v>
      </c>
      <c r="I635" s="1">
        <v>2</v>
      </c>
      <c r="J635" s="1">
        <v>1</v>
      </c>
      <c r="K635" s="1">
        <v>4</v>
      </c>
      <c r="L635" s="3">
        <v>28.8</v>
      </c>
      <c r="M635" s="3" t="str">
        <f t="shared" si="84"/>
        <v>Jul</v>
      </c>
      <c r="N635" s="2">
        <v>42192.867326388892</v>
      </c>
      <c r="O635" s="1">
        <f t="shared" si="94"/>
        <v>7</v>
      </c>
      <c r="P635" s="1">
        <f t="shared" si="95"/>
        <v>3</v>
      </c>
      <c r="Q635" s="1">
        <f t="shared" si="96"/>
        <v>20</v>
      </c>
      <c r="S635"/>
      <c r="T635"/>
      <c r="U635"/>
    </row>
    <row r="636" spans="1:21" s="1" customFormat="1" x14ac:dyDescent="0.25">
      <c r="A636" s="1">
        <v>665</v>
      </c>
      <c r="B636" s="1" t="s">
        <v>91</v>
      </c>
      <c r="C636" s="1" t="s">
        <v>654</v>
      </c>
      <c r="D636" s="2">
        <v>42222.700624999998</v>
      </c>
      <c r="E636" s="2">
        <v>42222.534004629626</v>
      </c>
      <c r="F636" s="1">
        <v>1</v>
      </c>
      <c r="G636" s="1">
        <v>6</v>
      </c>
      <c r="H636" s="1">
        <v>6</v>
      </c>
      <c r="I636" s="1">
        <v>2</v>
      </c>
      <c r="J636" s="1">
        <v>1</v>
      </c>
      <c r="K636" s="1">
        <v>4</v>
      </c>
      <c r="L636" s="3">
        <v>35.200000000000003</v>
      </c>
      <c r="M636" s="3" t="str">
        <f t="shared" si="84"/>
        <v>Aug</v>
      </c>
      <c r="N636" s="2">
        <v>42222.53396990741</v>
      </c>
      <c r="O636" s="1">
        <f t="shared" si="94"/>
        <v>6</v>
      </c>
      <c r="P636" s="1">
        <f t="shared" si="95"/>
        <v>5</v>
      </c>
      <c r="Q636" s="1">
        <f t="shared" si="96"/>
        <v>12</v>
      </c>
      <c r="S636"/>
      <c r="T636"/>
      <c r="U636"/>
    </row>
    <row r="637" spans="1:21" s="1" customFormat="1" x14ac:dyDescent="0.25">
      <c r="A637" s="1">
        <v>666</v>
      </c>
      <c r="B637" s="1" t="s">
        <v>100</v>
      </c>
      <c r="C637" s="1" t="s">
        <v>655</v>
      </c>
      <c r="D637" s="2">
        <v>42103.722187500003</v>
      </c>
      <c r="E637" s="2">
        <v>42103.722245370373</v>
      </c>
      <c r="F637" s="1">
        <v>1</v>
      </c>
      <c r="G637" s="1">
        <v>6</v>
      </c>
      <c r="H637" s="1">
        <v>4</v>
      </c>
      <c r="I637" s="1">
        <v>1</v>
      </c>
      <c r="J637" s="1">
        <v>1</v>
      </c>
      <c r="K637" s="1">
        <v>3</v>
      </c>
      <c r="L637" s="4">
        <v>43.2</v>
      </c>
      <c r="M637" s="3" t="str">
        <f t="shared" si="84"/>
        <v>Apr</v>
      </c>
      <c r="N637" s="2">
        <v>42103.722199074073</v>
      </c>
      <c r="O637" s="1">
        <f t="shared" si="94"/>
        <v>9</v>
      </c>
      <c r="P637" s="1">
        <f t="shared" si="95"/>
        <v>5</v>
      </c>
      <c r="Q637" s="1">
        <f t="shared" si="96"/>
        <v>17</v>
      </c>
      <c r="S637"/>
      <c r="T637"/>
      <c r="U637"/>
    </row>
    <row r="638" spans="1:21" s="1" customFormat="1" x14ac:dyDescent="0.25">
      <c r="A638" s="1">
        <v>667</v>
      </c>
      <c r="B638" s="1" t="s">
        <v>274</v>
      </c>
      <c r="C638" s="1" t="s">
        <v>656</v>
      </c>
      <c r="D638" s="2">
        <v>42195.533622685187</v>
      </c>
      <c r="E638" s="2">
        <v>42195.53365740741</v>
      </c>
      <c r="F638" s="1">
        <v>1</v>
      </c>
      <c r="G638" s="1">
        <v>0</v>
      </c>
      <c r="H638" s="1">
        <v>2</v>
      </c>
      <c r="I638" s="1">
        <v>2</v>
      </c>
      <c r="J638" s="1">
        <v>1</v>
      </c>
      <c r="K638" s="1">
        <v>1</v>
      </c>
      <c r="L638" s="3">
        <v>48</v>
      </c>
      <c r="M638" s="3" t="str">
        <f t="shared" si="84"/>
        <v>Jul</v>
      </c>
      <c r="N638" s="2">
        <v>42195.533622685187</v>
      </c>
      <c r="O638" s="1">
        <f t="shared" si="94"/>
        <v>10</v>
      </c>
      <c r="P638" s="1">
        <f t="shared" si="95"/>
        <v>6</v>
      </c>
      <c r="Q638" s="1">
        <f t="shared" si="96"/>
        <v>12</v>
      </c>
      <c r="S638"/>
      <c r="T638"/>
      <c r="U638"/>
    </row>
    <row r="639" spans="1:21" s="1" customFormat="1" x14ac:dyDescent="0.25">
      <c r="A639" s="1">
        <v>668</v>
      </c>
      <c r="B639" s="1" t="s">
        <v>89</v>
      </c>
      <c r="C639" s="1" t="s">
        <v>657</v>
      </c>
      <c r="D639" s="2">
        <v>42191.997511574074</v>
      </c>
      <c r="E639" s="2">
        <v>42191.830891203703</v>
      </c>
      <c r="F639" s="1">
        <v>1</v>
      </c>
      <c r="G639" s="1">
        <v>2</v>
      </c>
      <c r="H639" s="1">
        <v>6</v>
      </c>
      <c r="I639" s="1">
        <v>2</v>
      </c>
      <c r="J639" s="1">
        <v>1</v>
      </c>
      <c r="K639" s="1">
        <v>4</v>
      </c>
      <c r="L639" s="3">
        <v>28.8</v>
      </c>
      <c r="M639" s="3" t="str">
        <f t="shared" si="84"/>
        <v>Jul</v>
      </c>
      <c r="N639" s="2">
        <v>42191.83085648148</v>
      </c>
      <c r="O639" s="1">
        <f t="shared" si="94"/>
        <v>6</v>
      </c>
      <c r="P639" s="1">
        <f t="shared" si="95"/>
        <v>2</v>
      </c>
      <c r="Q639" s="1">
        <f t="shared" si="96"/>
        <v>19</v>
      </c>
      <c r="S639"/>
      <c r="T639"/>
      <c r="U639"/>
    </row>
    <row r="640" spans="1:21" s="1" customFormat="1" x14ac:dyDescent="0.25">
      <c r="A640" s="1">
        <v>669</v>
      </c>
      <c r="B640" s="1" t="s">
        <v>96</v>
      </c>
      <c r="C640" s="1" t="s">
        <v>658</v>
      </c>
      <c r="D640" s="2">
        <v>42037.668981481482</v>
      </c>
      <c r="E640" s="2">
        <v>42080.302916666667</v>
      </c>
      <c r="F640" s="1">
        <v>4</v>
      </c>
      <c r="G640" s="1">
        <v>7</v>
      </c>
      <c r="H640" s="1">
        <v>18</v>
      </c>
      <c r="I640" s="1">
        <v>7</v>
      </c>
      <c r="J640" s="1">
        <v>3</v>
      </c>
      <c r="K640" s="1">
        <v>8</v>
      </c>
      <c r="L640" s="4">
        <v>14.4</v>
      </c>
      <c r="M640" s="3" t="str">
        <f t="shared" si="84"/>
        <v>Feb</v>
      </c>
      <c r="N640" s="2">
        <v>42037.668993055559</v>
      </c>
      <c r="O640" s="1">
        <f t="shared" si="94"/>
        <v>2</v>
      </c>
      <c r="P640" s="1">
        <f t="shared" si="95"/>
        <v>2</v>
      </c>
      <c r="Q640" s="1">
        <f t="shared" si="96"/>
        <v>16</v>
      </c>
      <c r="S640"/>
      <c r="T640"/>
      <c r="U640"/>
    </row>
    <row r="641" spans="1:21" s="1" customFormat="1" x14ac:dyDescent="0.25">
      <c r="A641" s="1">
        <v>670</v>
      </c>
      <c r="B641" s="1" t="s">
        <v>147</v>
      </c>
      <c r="C641" s="1" t="s">
        <v>659</v>
      </c>
      <c r="D641" s="2">
        <v>42029.891458333332</v>
      </c>
      <c r="E641" s="2">
        <v>42065.80300925926</v>
      </c>
      <c r="F641" s="1">
        <v>2</v>
      </c>
      <c r="G641" s="1">
        <v>2</v>
      </c>
      <c r="H641" s="1">
        <v>22</v>
      </c>
      <c r="I641" s="1">
        <v>5</v>
      </c>
      <c r="J641" s="1">
        <v>2</v>
      </c>
      <c r="K641" s="1">
        <v>12</v>
      </c>
      <c r="L641" s="4">
        <v>28.8</v>
      </c>
      <c r="M641" s="3" t="str">
        <f t="shared" si="84"/>
        <v>Jan</v>
      </c>
      <c r="N641" s="2">
        <v>42029.891469907408</v>
      </c>
      <c r="O641" s="1">
        <f t="shared" si="94"/>
        <v>25</v>
      </c>
      <c r="P641" s="1">
        <f t="shared" si="95"/>
        <v>1</v>
      </c>
      <c r="Q641" s="1">
        <f t="shared" si="96"/>
        <v>21</v>
      </c>
      <c r="S641"/>
      <c r="T641"/>
      <c r="U641"/>
    </row>
    <row r="642" spans="1:21" s="1" customFormat="1" x14ac:dyDescent="0.25">
      <c r="A642" s="1">
        <v>671</v>
      </c>
      <c r="B642" s="1" t="s">
        <v>119</v>
      </c>
      <c r="C642" s="1" t="s">
        <v>660</v>
      </c>
      <c r="D642" s="2">
        <v>42054.702777777777</v>
      </c>
      <c r="E642" s="2">
        <v>42061.499236111114</v>
      </c>
      <c r="F642" s="1">
        <v>6</v>
      </c>
      <c r="G642" s="1">
        <v>1</v>
      </c>
      <c r="H642" s="1">
        <v>14</v>
      </c>
      <c r="I642" s="1">
        <v>3</v>
      </c>
      <c r="J642" s="1">
        <v>1</v>
      </c>
      <c r="K642" s="1">
        <v>7</v>
      </c>
      <c r="L642" s="4">
        <v>50.4</v>
      </c>
      <c r="M642" s="3" t="str">
        <f t="shared" si="84"/>
        <v>Feb</v>
      </c>
      <c r="N642" s="2">
        <v>42054.702789351853</v>
      </c>
      <c r="O642" s="1">
        <f t="shared" si="94"/>
        <v>19</v>
      </c>
      <c r="P642" s="1">
        <f t="shared" si="95"/>
        <v>5</v>
      </c>
      <c r="Q642" s="1">
        <f t="shared" si="96"/>
        <v>16</v>
      </c>
      <c r="S642"/>
      <c r="T642"/>
      <c r="U642"/>
    </row>
    <row r="643" spans="1:21" s="1" customFormat="1" x14ac:dyDescent="0.25">
      <c r="A643" s="1">
        <v>672</v>
      </c>
      <c r="D643" s="2">
        <v>42106.74790509259</v>
      </c>
      <c r="E643" s="2">
        <v>42106.74796296296</v>
      </c>
      <c r="F643" s="1">
        <v>1</v>
      </c>
      <c r="G643" s="1">
        <v>2</v>
      </c>
      <c r="H643" s="1">
        <v>10</v>
      </c>
      <c r="I643" s="1">
        <v>2</v>
      </c>
      <c r="J643" s="1">
        <v>1</v>
      </c>
      <c r="K643" s="1">
        <v>6</v>
      </c>
      <c r="L643" s="4">
        <v>54</v>
      </c>
      <c r="M643" s="3" t="str">
        <f t="shared" ref="M643:M706" si="97">TEXT(N643,"mmm")</f>
        <v>Apr</v>
      </c>
      <c r="N643" s="2">
        <v>42106.750532407408</v>
      </c>
      <c r="O643" s="1">
        <f t="shared" si="94"/>
        <v>12</v>
      </c>
      <c r="P643" s="1">
        <f t="shared" si="95"/>
        <v>1</v>
      </c>
      <c r="Q643" s="1">
        <f t="shared" si="96"/>
        <v>18</v>
      </c>
      <c r="S643"/>
      <c r="T643"/>
      <c r="U643"/>
    </row>
    <row r="644" spans="1:21" s="1" customFormat="1" x14ac:dyDescent="0.25">
      <c r="A644" s="1">
        <v>673</v>
      </c>
      <c r="B644" s="1" t="s">
        <v>91</v>
      </c>
      <c r="C644" s="1" t="s">
        <v>661</v>
      </c>
      <c r="D644" s="2">
        <v>42097.505648148152</v>
      </c>
      <c r="E644" s="2">
        <v>42097.505706018521</v>
      </c>
      <c r="F644" s="1">
        <v>1</v>
      </c>
      <c r="G644" s="1">
        <v>0</v>
      </c>
      <c r="H644" s="1">
        <v>2</v>
      </c>
      <c r="I644" s="1">
        <v>1</v>
      </c>
      <c r="J644" s="1">
        <v>1</v>
      </c>
      <c r="K644" s="1">
        <v>1</v>
      </c>
      <c r="L644" s="4">
        <v>28.8</v>
      </c>
      <c r="M644" s="3" t="str">
        <f t="shared" si="97"/>
        <v>Apr</v>
      </c>
      <c r="N644" s="2">
        <v>42097.505659722221</v>
      </c>
      <c r="O644" s="1">
        <f t="shared" si="94"/>
        <v>3</v>
      </c>
      <c r="P644" s="1">
        <f t="shared" si="95"/>
        <v>6</v>
      </c>
      <c r="Q644" s="1">
        <f t="shared" si="96"/>
        <v>12</v>
      </c>
      <c r="S644"/>
      <c r="T644"/>
      <c r="U644"/>
    </row>
    <row r="645" spans="1:21" s="1" customFormat="1" x14ac:dyDescent="0.25">
      <c r="A645" s="1">
        <v>674</v>
      </c>
      <c r="B645" s="1" t="s">
        <v>89</v>
      </c>
      <c r="C645" s="1" t="s">
        <v>662</v>
      </c>
      <c r="D645" s="2">
        <v>42193.402812499997</v>
      </c>
      <c r="E645" s="2">
        <v>42193.402858796297</v>
      </c>
      <c r="F645" s="1">
        <v>1</v>
      </c>
      <c r="G645" s="1">
        <v>6</v>
      </c>
      <c r="H645" s="1">
        <v>4</v>
      </c>
      <c r="I645" s="1">
        <v>2</v>
      </c>
      <c r="J645" s="1">
        <v>1</v>
      </c>
      <c r="K645" s="1">
        <v>6</v>
      </c>
      <c r="L645" s="3">
        <v>43.2</v>
      </c>
      <c r="M645" s="3" t="str">
        <f t="shared" si="97"/>
        <v>Jul</v>
      </c>
      <c r="N645" s="2">
        <v>42193.402824074074</v>
      </c>
      <c r="O645" s="1">
        <f t="shared" si="94"/>
        <v>8</v>
      </c>
      <c r="P645" s="1">
        <f t="shared" si="95"/>
        <v>4</v>
      </c>
      <c r="Q645" s="1">
        <f t="shared" si="96"/>
        <v>9</v>
      </c>
      <c r="S645"/>
      <c r="T645"/>
      <c r="U645"/>
    </row>
    <row r="646" spans="1:21" s="1" customFormat="1" x14ac:dyDescent="0.25">
      <c r="A646" s="1">
        <v>676</v>
      </c>
      <c r="B646" s="1" t="s">
        <v>274</v>
      </c>
      <c r="C646" s="1" t="s">
        <v>663</v>
      </c>
      <c r="D646" s="2">
        <v>42025.516180555554</v>
      </c>
      <c r="E646" s="2">
        <v>42072.656261574077</v>
      </c>
      <c r="F646" s="1">
        <v>2</v>
      </c>
      <c r="G646" s="1">
        <v>4</v>
      </c>
      <c r="H646" s="1">
        <v>18</v>
      </c>
      <c r="I646" s="1">
        <v>5</v>
      </c>
      <c r="J646" s="1">
        <v>2</v>
      </c>
      <c r="K646" s="1">
        <v>12</v>
      </c>
      <c r="L646" s="4">
        <v>34.4</v>
      </c>
      <c r="M646" s="3" t="str">
        <f t="shared" si="97"/>
        <v>Jan</v>
      </c>
      <c r="N646" s="2">
        <v>42025.516192129631</v>
      </c>
      <c r="O646" s="1">
        <f t="shared" ref="O646:O663" si="98">DAY(N646)</f>
        <v>21</v>
      </c>
      <c r="P646" s="1">
        <f t="shared" ref="P646:P663" si="99">WEEKDAY(N646,1)</f>
        <v>4</v>
      </c>
      <c r="Q646" s="1">
        <f t="shared" ref="Q646:Q663" si="100">HOUR(N646)</f>
        <v>12</v>
      </c>
      <c r="S646"/>
      <c r="T646"/>
      <c r="U646"/>
    </row>
    <row r="647" spans="1:21" s="1" customFormat="1" x14ac:dyDescent="0.25">
      <c r="A647" s="1">
        <v>677</v>
      </c>
      <c r="B647" s="1" t="s">
        <v>85</v>
      </c>
      <c r="C647" s="1" t="s">
        <v>497</v>
      </c>
      <c r="D647" s="2">
        <v>42236.750115740739</v>
      </c>
      <c r="E647" s="2">
        <v>42236.750150462962</v>
      </c>
      <c r="F647" s="1">
        <v>1</v>
      </c>
      <c r="G647" s="1">
        <v>6</v>
      </c>
      <c r="H647" s="1">
        <v>2</v>
      </c>
      <c r="I647" s="1">
        <v>2</v>
      </c>
      <c r="J647" s="1">
        <v>1</v>
      </c>
      <c r="K647" s="1">
        <v>1</v>
      </c>
      <c r="L647" s="3">
        <v>56.32</v>
      </c>
      <c r="M647" s="3" t="str">
        <f t="shared" si="97"/>
        <v>Aug</v>
      </c>
      <c r="N647" s="2">
        <v>42236.750127314815</v>
      </c>
      <c r="O647" s="1">
        <f t="shared" si="98"/>
        <v>20</v>
      </c>
      <c r="P647" s="1">
        <f t="shared" si="99"/>
        <v>5</v>
      </c>
      <c r="Q647" s="1">
        <f t="shared" si="100"/>
        <v>18</v>
      </c>
      <c r="S647"/>
      <c r="T647"/>
      <c r="U647"/>
    </row>
    <row r="648" spans="1:21" s="1" customFormat="1" x14ac:dyDescent="0.25">
      <c r="A648" s="1">
        <v>678</v>
      </c>
      <c r="B648" s="1" t="s">
        <v>103</v>
      </c>
      <c r="C648" s="1" t="s">
        <v>664</v>
      </c>
      <c r="D648" s="2">
        <v>42177.774085648147</v>
      </c>
      <c r="E648" s="2">
        <v>42177.774131944447</v>
      </c>
      <c r="F648" s="1">
        <v>1</v>
      </c>
      <c r="G648" s="1">
        <v>2</v>
      </c>
      <c r="H648" s="1">
        <v>2</v>
      </c>
      <c r="I648" s="1">
        <v>3</v>
      </c>
      <c r="J648" s="1">
        <v>1</v>
      </c>
      <c r="K648" s="1">
        <v>1</v>
      </c>
      <c r="L648" s="3">
        <v>72</v>
      </c>
      <c r="M648" s="3" t="str">
        <f t="shared" si="97"/>
        <v>Jun</v>
      </c>
      <c r="N648" s="2">
        <v>42177.774085648147</v>
      </c>
      <c r="O648" s="1">
        <f t="shared" si="98"/>
        <v>22</v>
      </c>
      <c r="P648" s="1">
        <f t="shared" si="99"/>
        <v>2</v>
      </c>
      <c r="Q648" s="1">
        <f t="shared" si="100"/>
        <v>18</v>
      </c>
      <c r="S648"/>
      <c r="T648"/>
      <c r="U648"/>
    </row>
    <row r="649" spans="1:21" s="1" customFormat="1" x14ac:dyDescent="0.25">
      <c r="A649" s="1">
        <v>679</v>
      </c>
      <c r="D649" s="2">
        <v>42185.15966435185</v>
      </c>
      <c r="E649" s="2">
        <v>42185.413298611114</v>
      </c>
      <c r="F649" s="1">
        <v>2</v>
      </c>
      <c r="G649" s="1">
        <v>0</v>
      </c>
      <c r="H649" s="1">
        <v>2</v>
      </c>
      <c r="I649" s="1">
        <v>2</v>
      </c>
      <c r="J649" s="1">
        <v>1</v>
      </c>
      <c r="K649" s="1">
        <v>2</v>
      </c>
      <c r="L649" s="3">
        <v>18</v>
      </c>
      <c r="M649" s="3" t="str">
        <f t="shared" si="97"/>
        <v>Jun</v>
      </c>
      <c r="N649" s="2">
        <v>42184.993009259262</v>
      </c>
      <c r="O649" s="1">
        <f t="shared" si="98"/>
        <v>29</v>
      </c>
      <c r="P649" s="1">
        <f t="shared" si="99"/>
        <v>2</v>
      </c>
      <c r="Q649" s="1">
        <f t="shared" si="100"/>
        <v>23</v>
      </c>
      <c r="S649"/>
      <c r="T649"/>
      <c r="U649"/>
    </row>
    <row r="650" spans="1:21" s="1" customFormat="1" x14ac:dyDescent="0.25">
      <c r="A650" s="1">
        <v>680</v>
      </c>
      <c r="B650" s="1" t="s">
        <v>274</v>
      </c>
      <c r="C650" s="1" t="s">
        <v>665</v>
      </c>
      <c r="D650" s="2">
        <v>42159.496874999997</v>
      </c>
      <c r="E650" s="2">
        <v>42159.330254629633</v>
      </c>
      <c r="F650" s="1">
        <v>1</v>
      </c>
      <c r="G650" s="1">
        <v>4</v>
      </c>
      <c r="H650" s="1">
        <v>4</v>
      </c>
      <c r="I650" s="1">
        <v>2</v>
      </c>
      <c r="J650" s="1">
        <v>1</v>
      </c>
      <c r="K650" s="1">
        <v>2</v>
      </c>
      <c r="L650" s="3">
        <v>18</v>
      </c>
      <c r="M650" s="3" t="str">
        <f t="shared" si="97"/>
        <v>Jun</v>
      </c>
      <c r="N650" s="2">
        <v>42159.330231481479</v>
      </c>
      <c r="O650" s="1">
        <f t="shared" si="98"/>
        <v>4</v>
      </c>
      <c r="P650" s="1">
        <f t="shared" si="99"/>
        <v>5</v>
      </c>
      <c r="Q650" s="1">
        <f t="shared" si="100"/>
        <v>7</v>
      </c>
      <c r="S650"/>
      <c r="T650"/>
      <c r="U650"/>
    </row>
    <row r="651" spans="1:21" s="1" customFormat="1" x14ac:dyDescent="0.25">
      <c r="A651" s="1">
        <v>681</v>
      </c>
      <c r="B651" s="1" t="s">
        <v>119</v>
      </c>
      <c r="C651" s="1" t="s">
        <v>666</v>
      </c>
      <c r="D651" s="2">
        <v>42028.882592592592</v>
      </c>
      <c r="E651" s="2">
        <v>42028.882638888892</v>
      </c>
      <c r="F651" s="1">
        <v>1</v>
      </c>
      <c r="G651" s="1">
        <v>0</v>
      </c>
      <c r="H651" s="1">
        <v>12</v>
      </c>
      <c r="I651" s="1">
        <v>5</v>
      </c>
      <c r="J651" s="1">
        <v>1</v>
      </c>
      <c r="K651" s="1">
        <v>2</v>
      </c>
      <c r="L651" s="4">
        <v>9</v>
      </c>
      <c r="M651" s="3" t="str">
        <f t="shared" si="97"/>
        <v>Jan</v>
      </c>
      <c r="N651" s="2">
        <v>42028.882604166669</v>
      </c>
      <c r="O651" s="1">
        <f t="shared" si="98"/>
        <v>24</v>
      </c>
      <c r="P651" s="1">
        <f t="shared" si="99"/>
        <v>7</v>
      </c>
      <c r="Q651" s="1">
        <f t="shared" si="100"/>
        <v>21</v>
      </c>
      <c r="S651"/>
      <c r="T651"/>
      <c r="U651"/>
    </row>
    <row r="652" spans="1:21" s="1" customFormat="1" x14ac:dyDescent="0.25">
      <c r="A652" s="1">
        <v>682</v>
      </c>
      <c r="D652" s="2">
        <v>42211.893738425926</v>
      </c>
      <c r="E652" s="2">
        <v>42211.727118055554</v>
      </c>
      <c r="F652" s="1">
        <v>1</v>
      </c>
      <c r="G652" s="1">
        <v>4</v>
      </c>
      <c r="H652" s="1">
        <v>8</v>
      </c>
      <c r="I652" s="1">
        <v>5</v>
      </c>
      <c r="J652" s="1">
        <v>1</v>
      </c>
      <c r="K652" s="1">
        <v>6</v>
      </c>
      <c r="L652" s="3">
        <v>267.3</v>
      </c>
      <c r="M652" s="3" t="str">
        <f t="shared" si="97"/>
        <v>Jul</v>
      </c>
      <c r="N652" s="2">
        <v>42211.731180555558</v>
      </c>
      <c r="O652" s="1">
        <f t="shared" si="98"/>
        <v>26</v>
      </c>
      <c r="P652" s="1">
        <f t="shared" si="99"/>
        <v>1</v>
      </c>
      <c r="Q652" s="1">
        <f t="shared" si="100"/>
        <v>17</v>
      </c>
      <c r="S652"/>
      <c r="T652"/>
      <c r="U652"/>
    </row>
    <row r="653" spans="1:21" s="1" customFormat="1" x14ac:dyDescent="0.25">
      <c r="A653" s="1">
        <v>683</v>
      </c>
      <c r="B653" s="1" t="s">
        <v>100</v>
      </c>
      <c r="C653" s="1" t="s">
        <v>667</v>
      </c>
      <c r="D653" s="2">
        <v>42030.881030092591</v>
      </c>
      <c r="E653" s="2">
        <v>42030.88108796296</v>
      </c>
      <c r="F653" s="1">
        <v>1</v>
      </c>
      <c r="G653" s="1">
        <v>6</v>
      </c>
      <c r="H653" s="1">
        <v>8</v>
      </c>
      <c r="I653" s="1">
        <v>7</v>
      </c>
      <c r="J653" s="1">
        <v>1</v>
      </c>
      <c r="K653" s="1">
        <v>4</v>
      </c>
      <c r="L653" s="4">
        <v>28.8</v>
      </c>
      <c r="M653" s="3" t="str">
        <f t="shared" si="97"/>
        <v>Jan</v>
      </c>
      <c r="N653" s="2">
        <v>42030.881064814814</v>
      </c>
      <c r="O653" s="1">
        <f t="shared" si="98"/>
        <v>26</v>
      </c>
      <c r="P653" s="1">
        <f t="shared" si="99"/>
        <v>2</v>
      </c>
      <c r="Q653" s="1">
        <f t="shared" si="100"/>
        <v>21</v>
      </c>
      <c r="S653"/>
      <c r="T653"/>
      <c r="U653"/>
    </row>
    <row r="654" spans="1:21" s="1" customFormat="1" x14ac:dyDescent="0.25">
      <c r="A654" s="1">
        <v>684</v>
      </c>
      <c r="B654" s="1" t="s">
        <v>147</v>
      </c>
      <c r="C654" s="1" t="s">
        <v>668</v>
      </c>
      <c r="D654" s="2">
        <v>42236.381215277775</v>
      </c>
      <c r="E654" s="2">
        <v>42236.381261574075</v>
      </c>
      <c r="F654" s="1">
        <v>1</v>
      </c>
      <c r="G654" s="1">
        <v>2</v>
      </c>
      <c r="H654" s="1">
        <v>2</v>
      </c>
      <c r="I654" s="1">
        <v>2</v>
      </c>
      <c r="J654" s="1">
        <v>1</v>
      </c>
      <c r="K654" s="1">
        <v>1</v>
      </c>
      <c r="L654" s="3">
        <v>29.92</v>
      </c>
      <c r="M654" s="3" t="str">
        <f t="shared" si="97"/>
        <v>Aug</v>
      </c>
      <c r="N654" s="2">
        <v>42236.381215277775</v>
      </c>
      <c r="O654" s="1">
        <f t="shared" si="98"/>
        <v>20</v>
      </c>
      <c r="P654" s="1">
        <f t="shared" si="99"/>
        <v>5</v>
      </c>
      <c r="Q654" s="1">
        <f t="shared" si="100"/>
        <v>9</v>
      </c>
      <c r="S654"/>
      <c r="T654"/>
      <c r="U654"/>
    </row>
    <row r="655" spans="1:21" s="1" customFormat="1" x14ac:dyDescent="0.25">
      <c r="A655" s="1">
        <v>685</v>
      </c>
      <c r="B655" s="1" t="s">
        <v>109</v>
      </c>
      <c r="C655" s="1" t="s">
        <v>669</v>
      </c>
      <c r="D655" s="2">
        <v>42038.434907407405</v>
      </c>
      <c r="E655" s="2">
        <v>42038.434965277775</v>
      </c>
      <c r="F655" s="1">
        <v>1</v>
      </c>
      <c r="G655" s="1">
        <v>0</v>
      </c>
      <c r="H655" s="1">
        <v>12</v>
      </c>
      <c r="I655" s="1">
        <v>2</v>
      </c>
      <c r="J655" s="1">
        <v>1</v>
      </c>
      <c r="K655" s="1">
        <v>4</v>
      </c>
      <c r="L655" s="4">
        <v>30.6</v>
      </c>
      <c r="M655" s="3" t="str">
        <f t="shared" si="97"/>
        <v>Feb</v>
      </c>
      <c r="N655" s="2">
        <v>42038.434918981482</v>
      </c>
      <c r="O655" s="1">
        <f t="shared" si="98"/>
        <v>3</v>
      </c>
      <c r="P655" s="1">
        <f t="shared" si="99"/>
        <v>3</v>
      </c>
      <c r="Q655" s="1">
        <f t="shared" si="100"/>
        <v>10</v>
      </c>
      <c r="S655"/>
      <c r="T655"/>
      <c r="U655"/>
    </row>
    <row r="656" spans="1:21" s="1" customFormat="1" x14ac:dyDescent="0.25">
      <c r="A656" s="1">
        <v>686</v>
      </c>
      <c r="B656" s="1" t="s">
        <v>239</v>
      </c>
      <c r="C656" s="1" t="s">
        <v>670</v>
      </c>
      <c r="D656" s="2">
        <v>42247.029131944444</v>
      </c>
      <c r="E656" s="2">
        <v>42246.862511574072</v>
      </c>
      <c r="F656" s="1">
        <v>1</v>
      </c>
      <c r="G656" s="1">
        <v>6</v>
      </c>
      <c r="H656" s="1">
        <v>10</v>
      </c>
      <c r="I656" s="1">
        <v>2</v>
      </c>
      <c r="J656" s="1">
        <v>1</v>
      </c>
      <c r="K656" s="1">
        <v>4</v>
      </c>
      <c r="L656" s="3">
        <v>35.200000000000003</v>
      </c>
      <c r="M656" s="3" t="str">
        <f t="shared" si="97"/>
        <v>Aug</v>
      </c>
      <c r="N656" s="2">
        <v>42246.862476851849</v>
      </c>
      <c r="O656" s="1">
        <f t="shared" si="98"/>
        <v>30</v>
      </c>
      <c r="P656" s="1">
        <f t="shared" si="99"/>
        <v>1</v>
      </c>
      <c r="Q656" s="1">
        <f t="shared" si="100"/>
        <v>20</v>
      </c>
      <c r="S656"/>
      <c r="T656"/>
      <c r="U656"/>
    </row>
    <row r="657" spans="1:21" s="1" customFormat="1" x14ac:dyDescent="0.25">
      <c r="A657" s="1">
        <v>687</v>
      </c>
      <c r="B657" s="1" t="s">
        <v>85</v>
      </c>
      <c r="C657" s="1" t="s">
        <v>671</v>
      </c>
      <c r="D657" s="2">
        <v>42043.800300925926</v>
      </c>
      <c r="E657" s="2">
        <v>42043.800358796296</v>
      </c>
      <c r="F657" s="1">
        <v>1</v>
      </c>
      <c r="G657" s="1">
        <v>0</v>
      </c>
      <c r="H657" s="1">
        <v>4</v>
      </c>
      <c r="I657" s="1">
        <v>1</v>
      </c>
      <c r="J657" s="1">
        <v>1</v>
      </c>
      <c r="K657" s="1">
        <v>2</v>
      </c>
      <c r="L657" s="4">
        <v>18</v>
      </c>
      <c r="M657" s="3" t="str">
        <f t="shared" si="97"/>
        <v>Feb</v>
      </c>
      <c r="N657" s="2">
        <v>42043.800312500003</v>
      </c>
      <c r="O657" s="1">
        <f t="shared" si="98"/>
        <v>8</v>
      </c>
      <c r="P657" s="1">
        <f t="shared" si="99"/>
        <v>1</v>
      </c>
      <c r="Q657" s="1">
        <f t="shared" si="100"/>
        <v>19</v>
      </c>
      <c r="S657"/>
      <c r="T657"/>
      <c r="U657"/>
    </row>
    <row r="658" spans="1:21" s="1" customFormat="1" x14ac:dyDescent="0.25">
      <c r="A658" s="1">
        <v>688</v>
      </c>
      <c r="D658" s="2">
        <v>42189.1018287037</v>
      </c>
      <c r="E658" s="2">
        <v>42188.935173611113</v>
      </c>
      <c r="F658" s="1">
        <v>1</v>
      </c>
      <c r="G658" s="1">
        <v>6</v>
      </c>
      <c r="H658" s="1">
        <v>6</v>
      </c>
      <c r="I658" s="1">
        <v>4</v>
      </c>
      <c r="J658" s="1">
        <v>1</v>
      </c>
      <c r="K658" s="1">
        <v>4</v>
      </c>
      <c r="L658" s="3">
        <v>28.8</v>
      </c>
      <c r="M658" s="3" t="str">
        <f t="shared" si="97"/>
        <v>Jul</v>
      </c>
      <c r="N658" s="2">
        <v>42188.936435185184</v>
      </c>
      <c r="O658" s="1">
        <f t="shared" si="98"/>
        <v>3</v>
      </c>
      <c r="P658" s="1">
        <f t="shared" si="99"/>
        <v>6</v>
      </c>
      <c r="Q658" s="1">
        <f t="shared" si="100"/>
        <v>22</v>
      </c>
      <c r="S658"/>
      <c r="T658"/>
      <c r="U658"/>
    </row>
    <row r="659" spans="1:21" s="1" customFormat="1" x14ac:dyDescent="0.25">
      <c r="A659" s="1">
        <v>689</v>
      </c>
      <c r="B659" s="1" t="s">
        <v>80</v>
      </c>
      <c r="C659" s="1" t="s">
        <v>672</v>
      </c>
      <c r="D659" s="2">
        <v>42113.970196759263</v>
      </c>
      <c r="E659" s="2">
        <v>42113.970277777778</v>
      </c>
      <c r="F659" s="1">
        <v>1</v>
      </c>
      <c r="G659" s="1">
        <v>4</v>
      </c>
      <c r="H659" s="1">
        <v>18</v>
      </c>
      <c r="I659" s="1">
        <v>1</v>
      </c>
      <c r="J659" s="1">
        <v>1</v>
      </c>
      <c r="K659" s="1">
        <v>8</v>
      </c>
      <c r="L659" s="4">
        <v>56</v>
      </c>
      <c r="M659" s="3" t="str">
        <f t="shared" si="97"/>
        <v>Apr</v>
      </c>
      <c r="N659" s="2">
        <v>42113.970219907409</v>
      </c>
      <c r="O659" s="1">
        <f t="shared" si="98"/>
        <v>19</v>
      </c>
      <c r="P659" s="1">
        <f t="shared" si="99"/>
        <v>1</v>
      </c>
      <c r="Q659" s="1">
        <f t="shared" si="100"/>
        <v>23</v>
      </c>
      <c r="S659"/>
      <c r="T659"/>
      <c r="U659"/>
    </row>
    <row r="660" spans="1:21" s="1" customFormat="1" x14ac:dyDescent="0.25">
      <c r="A660" s="1">
        <v>690</v>
      </c>
      <c r="B660" s="1" t="s">
        <v>274</v>
      </c>
      <c r="C660" s="1" t="s">
        <v>673</v>
      </c>
      <c r="D660" s="2">
        <v>42098.638969907406</v>
      </c>
      <c r="E660" s="2">
        <v>42098.639016203706</v>
      </c>
      <c r="F660" s="1">
        <v>1</v>
      </c>
      <c r="G660" s="1">
        <v>4</v>
      </c>
      <c r="H660" s="1">
        <v>2</v>
      </c>
      <c r="I660" s="1">
        <v>1</v>
      </c>
      <c r="J660" s="1">
        <v>1</v>
      </c>
      <c r="K660" s="1">
        <v>1</v>
      </c>
      <c r="L660" s="4">
        <v>57.6</v>
      </c>
      <c r="M660" s="3" t="str">
        <f t="shared" si="97"/>
        <v>Apr</v>
      </c>
      <c r="N660" s="2">
        <v>42098.638969907406</v>
      </c>
      <c r="O660" s="1">
        <f t="shared" si="98"/>
        <v>4</v>
      </c>
      <c r="P660" s="1">
        <f t="shared" si="99"/>
        <v>7</v>
      </c>
      <c r="Q660" s="1">
        <f t="shared" si="100"/>
        <v>15</v>
      </c>
      <c r="S660"/>
      <c r="T660"/>
      <c r="U660"/>
    </row>
    <row r="661" spans="1:21" s="1" customFormat="1" x14ac:dyDescent="0.25">
      <c r="A661" s="1">
        <v>691</v>
      </c>
      <c r="D661" s="2">
        <v>42032.524571759262</v>
      </c>
      <c r="E661" s="2">
        <v>42068.515486111108</v>
      </c>
      <c r="F661" s="1">
        <v>2</v>
      </c>
      <c r="G661" s="1">
        <v>4</v>
      </c>
      <c r="H661" s="1">
        <v>43</v>
      </c>
      <c r="I661" s="1">
        <v>6</v>
      </c>
      <c r="J661" s="1">
        <v>1</v>
      </c>
      <c r="K661" s="1">
        <v>8</v>
      </c>
      <c r="L661" s="4">
        <v>57.6</v>
      </c>
      <c r="M661" s="3" t="str">
        <f t="shared" si="97"/>
        <v>Jan</v>
      </c>
      <c r="N661" s="2">
        <v>42032.52584490741</v>
      </c>
      <c r="O661" s="1">
        <f t="shared" si="98"/>
        <v>28</v>
      </c>
      <c r="P661" s="1">
        <f t="shared" si="99"/>
        <v>4</v>
      </c>
      <c r="Q661" s="1">
        <f t="shared" si="100"/>
        <v>12</v>
      </c>
      <c r="S661"/>
      <c r="T661"/>
      <c r="U661"/>
    </row>
    <row r="662" spans="1:21" s="1" customFormat="1" x14ac:dyDescent="0.25">
      <c r="A662" s="1">
        <v>692</v>
      </c>
      <c r="B662" s="1" t="s">
        <v>85</v>
      </c>
      <c r="C662" s="1" t="s">
        <v>674</v>
      </c>
      <c r="D662" s="2">
        <v>42202.754432870373</v>
      </c>
      <c r="E662" s="2">
        <v>42202.754490740743</v>
      </c>
      <c r="F662" s="1">
        <v>1</v>
      </c>
      <c r="G662" s="1">
        <v>10</v>
      </c>
      <c r="H662" s="1">
        <v>12</v>
      </c>
      <c r="I662" s="1">
        <v>8</v>
      </c>
      <c r="J662" s="1">
        <v>1</v>
      </c>
      <c r="K662" s="1">
        <v>2</v>
      </c>
      <c r="L662" s="3">
        <v>38.72</v>
      </c>
      <c r="M662" s="3" t="str">
        <f t="shared" si="97"/>
        <v>Jul</v>
      </c>
      <c r="N662" s="2">
        <v>42202.754444444443</v>
      </c>
      <c r="O662" s="1">
        <f t="shared" si="98"/>
        <v>17</v>
      </c>
      <c r="P662" s="1">
        <f t="shared" si="99"/>
        <v>6</v>
      </c>
      <c r="Q662" s="1">
        <f t="shared" si="100"/>
        <v>18</v>
      </c>
      <c r="S662"/>
      <c r="T662"/>
      <c r="U662"/>
    </row>
    <row r="663" spans="1:21" s="1" customFormat="1" x14ac:dyDescent="0.25">
      <c r="A663" s="1">
        <v>693</v>
      </c>
      <c r="B663" s="1" t="s">
        <v>131</v>
      </c>
      <c r="C663" s="1" t="s">
        <v>675</v>
      </c>
      <c r="D663" s="2">
        <v>42031.936851851853</v>
      </c>
      <c r="E663" s="2">
        <v>42031.936886574076</v>
      </c>
      <c r="F663" s="1">
        <v>1</v>
      </c>
      <c r="G663" s="1">
        <v>0</v>
      </c>
      <c r="H663" s="1">
        <v>4</v>
      </c>
      <c r="I663" s="1">
        <v>3</v>
      </c>
      <c r="J663" s="1">
        <v>1</v>
      </c>
      <c r="K663" s="1">
        <v>1</v>
      </c>
      <c r="L663" s="4">
        <v>28.8</v>
      </c>
      <c r="M663" s="3" t="str">
        <f t="shared" si="97"/>
        <v>Jan</v>
      </c>
      <c r="N663" s="2">
        <v>42031.936863425923</v>
      </c>
      <c r="O663" s="1">
        <f t="shared" si="98"/>
        <v>27</v>
      </c>
      <c r="P663" s="1">
        <f t="shared" si="99"/>
        <v>3</v>
      </c>
      <c r="Q663" s="1">
        <f t="shared" si="100"/>
        <v>22</v>
      </c>
      <c r="S663"/>
      <c r="T663"/>
      <c r="U663"/>
    </row>
    <row r="664" spans="1:21" s="1" customFormat="1" x14ac:dyDescent="0.25">
      <c r="A664" s="1">
        <v>695</v>
      </c>
      <c r="B664" s="1" t="s">
        <v>100</v>
      </c>
      <c r="C664" s="1" t="s">
        <v>676</v>
      </c>
      <c r="D664" s="2">
        <v>42048.171944444446</v>
      </c>
      <c r="E664" s="2">
        <v>42070.193958333337</v>
      </c>
      <c r="F664" s="1">
        <v>4</v>
      </c>
      <c r="G664" s="1">
        <v>3</v>
      </c>
      <c r="H664" s="1">
        <v>8</v>
      </c>
      <c r="I664" s="1">
        <v>10</v>
      </c>
      <c r="J664" s="1">
        <v>1</v>
      </c>
      <c r="K664" s="1">
        <v>4</v>
      </c>
      <c r="L664" s="4">
        <v>28.8</v>
      </c>
      <c r="M664" s="3" t="str">
        <f t="shared" si="97"/>
        <v>Feb</v>
      </c>
      <c r="N664" s="2">
        <v>42049.187847222223</v>
      </c>
      <c r="O664" s="1">
        <f t="shared" ref="O664:O707" si="101">DAY(N664)</f>
        <v>14</v>
      </c>
      <c r="P664" s="1">
        <f t="shared" ref="P664:P707" si="102">WEEKDAY(N664,1)</f>
        <v>7</v>
      </c>
      <c r="Q664" s="1">
        <f t="shared" ref="Q664:Q707" si="103">HOUR(N664)</f>
        <v>4</v>
      </c>
      <c r="S664"/>
      <c r="T664"/>
      <c r="U664"/>
    </row>
    <row r="665" spans="1:21" s="1" customFormat="1" x14ac:dyDescent="0.25">
      <c r="A665" s="1">
        <v>696</v>
      </c>
      <c r="B665" s="1" t="s">
        <v>89</v>
      </c>
      <c r="C665" s="1" t="s">
        <v>677</v>
      </c>
      <c r="D665" s="2">
        <v>42021.87740740741</v>
      </c>
      <c r="E665" s="2">
        <v>42021.877453703702</v>
      </c>
      <c r="F665" s="1">
        <v>1</v>
      </c>
      <c r="G665" s="1">
        <v>0</v>
      </c>
      <c r="H665" s="1">
        <v>4</v>
      </c>
      <c r="I665" s="1">
        <v>3</v>
      </c>
      <c r="J665" s="1">
        <v>1</v>
      </c>
      <c r="K665" s="1">
        <v>5</v>
      </c>
      <c r="L665" s="4">
        <v>45</v>
      </c>
      <c r="M665" s="3" t="str">
        <f t="shared" si="97"/>
        <v>Jan</v>
      </c>
      <c r="N665" s="2">
        <v>42021.877418981479</v>
      </c>
      <c r="O665" s="1">
        <f t="shared" si="101"/>
        <v>17</v>
      </c>
      <c r="P665" s="1">
        <f t="shared" si="102"/>
        <v>7</v>
      </c>
      <c r="Q665" s="1">
        <f t="shared" si="103"/>
        <v>21</v>
      </c>
      <c r="S665"/>
      <c r="T665"/>
      <c r="U665"/>
    </row>
    <row r="666" spans="1:21" s="1" customFormat="1" x14ac:dyDescent="0.25">
      <c r="A666" s="1">
        <v>697</v>
      </c>
      <c r="B666" s="1" t="s">
        <v>94</v>
      </c>
      <c r="C666" s="1" t="s">
        <v>678</v>
      </c>
      <c r="D666" s="2">
        <v>42025.709351851852</v>
      </c>
      <c r="E666" s="2">
        <v>42025.709398148145</v>
      </c>
      <c r="F666" s="1">
        <v>1</v>
      </c>
      <c r="G666" s="1">
        <v>4</v>
      </c>
      <c r="H666" s="1">
        <v>10</v>
      </c>
      <c r="I666" s="1">
        <v>2</v>
      </c>
      <c r="J666" s="1">
        <v>1</v>
      </c>
      <c r="K666" s="1">
        <v>5</v>
      </c>
      <c r="L666" s="4">
        <v>57.6</v>
      </c>
      <c r="M666" s="3" t="str">
        <f t="shared" si="97"/>
        <v>Jan</v>
      </c>
      <c r="N666" s="2">
        <v>42025.709363425929</v>
      </c>
      <c r="O666" s="1">
        <f t="shared" si="101"/>
        <v>21</v>
      </c>
      <c r="P666" s="1">
        <f t="shared" si="102"/>
        <v>4</v>
      </c>
      <c r="Q666" s="1">
        <f t="shared" si="103"/>
        <v>17</v>
      </c>
      <c r="S666"/>
      <c r="T666"/>
      <c r="U666"/>
    </row>
    <row r="667" spans="1:21" s="1" customFormat="1" x14ac:dyDescent="0.25">
      <c r="A667" s="1">
        <v>698</v>
      </c>
      <c r="B667" s="1" t="s">
        <v>123</v>
      </c>
      <c r="C667" s="1" t="s">
        <v>679</v>
      </c>
      <c r="D667" s="2">
        <v>42091.738333333335</v>
      </c>
      <c r="E667" s="2">
        <v>42091.738402777781</v>
      </c>
      <c r="F667" s="1">
        <v>1</v>
      </c>
      <c r="G667" s="1">
        <v>6</v>
      </c>
      <c r="H667" s="1">
        <v>10</v>
      </c>
      <c r="I667" s="1">
        <v>2</v>
      </c>
      <c r="J667" s="1">
        <v>1</v>
      </c>
      <c r="K667" s="1">
        <v>5</v>
      </c>
      <c r="L667" s="4">
        <v>36</v>
      </c>
      <c r="M667" s="3" t="str">
        <f t="shared" si="97"/>
        <v>Mar</v>
      </c>
      <c r="N667" s="2">
        <v>42091.738344907404</v>
      </c>
      <c r="O667" s="1">
        <f t="shared" si="101"/>
        <v>28</v>
      </c>
      <c r="P667" s="1">
        <f t="shared" si="102"/>
        <v>7</v>
      </c>
      <c r="Q667" s="1">
        <f t="shared" si="103"/>
        <v>17</v>
      </c>
      <c r="S667"/>
      <c r="T667"/>
      <c r="U667"/>
    </row>
    <row r="668" spans="1:21" s="1" customFormat="1" x14ac:dyDescent="0.25">
      <c r="A668" s="1">
        <v>699</v>
      </c>
      <c r="D668" s="2">
        <v>42196.829085648147</v>
      </c>
      <c r="E668" s="2">
        <v>42196.662430555552</v>
      </c>
      <c r="F668" s="1">
        <v>1</v>
      </c>
      <c r="G668" s="1">
        <v>2</v>
      </c>
      <c r="H668" s="1">
        <v>5</v>
      </c>
      <c r="I668" s="1">
        <v>3</v>
      </c>
      <c r="J668" s="1">
        <v>1</v>
      </c>
      <c r="K668" s="1">
        <v>4</v>
      </c>
      <c r="L668" s="3">
        <v>28.8</v>
      </c>
      <c r="M668" s="3" t="str">
        <f t="shared" si="97"/>
        <v>Jul</v>
      </c>
      <c r="N668" s="2">
        <v>42196.664583333331</v>
      </c>
      <c r="O668" s="1">
        <f t="shared" si="101"/>
        <v>11</v>
      </c>
      <c r="P668" s="1">
        <f t="shared" si="102"/>
        <v>7</v>
      </c>
      <c r="Q668" s="1">
        <f t="shared" si="103"/>
        <v>15</v>
      </c>
      <c r="S668"/>
      <c r="T668"/>
      <c r="U668"/>
    </row>
    <row r="669" spans="1:21" s="1" customFormat="1" x14ac:dyDescent="0.25">
      <c r="A669" s="1">
        <v>700</v>
      </c>
      <c r="B669" s="1" t="s">
        <v>119</v>
      </c>
      <c r="C669" s="1" t="s">
        <v>680</v>
      </c>
      <c r="D669" s="2">
        <v>42064.995555555557</v>
      </c>
      <c r="E669" s="2">
        <v>42064.995613425926</v>
      </c>
      <c r="F669" s="1">
        <v>1</v>
      </c>
      <c r="G669" s="1">
        <v>2</v>
      </c>
      <c r="H669" s="1">
        <v>2</v>
      </c>
      <c r="I669" s="1">
        <v>1</v>
      </c>
      <c r="J669" s="1">
        <v>1</v>
      </c>
      <c r="K669" s="1">
        <v>1</v>
      </c>
      <c r="L669" s="4">
        <v>28.8</v>
      </c>
      <c r="M669" s="3" t="str">
        <f t="shared" si="97"/>
        <v>Mar</v>
      </c>
      <c r="N669" s="2">
        <v>42064.995567129627</v>
      </c>
      <c r="O669" s="1">
        <f t="shared" si="101"/>
        <v>1</v>
      </c>
      <c r="P669" s="1">
        <f t="shared" si="102"/>
        <v>1</v>
      </c>
      <c r="Q669" s="1">
        <f t="shared" si="103"/>
        <v>23</v>
      </c>
      <c r="S669"/>
      <c r="T669"/>
      <c r="U669"/>
    </row>
    <row r="670" spans="1:21" s="1" customFormat="1" x14ac:dyDescent="0.25">
      <c r="A670" s="1">
        <v>701</v>
      </c>
      <c r="B670" s="1" t="s">
        <v>112</v>
      </c>
      <c r="C670" s="1" t="s">
        <v>681</v>
      </c>
      <c r="D670" s="2">
        <v>42110.493356481478</v>
      </c>
      <c r="E670" s="2">
        <v>42110.493402777778</v>
      </c>
      <c r="F670" s="1">
        <v>1</v>
      </c>
      <c r="G670" s="1">
        <v>4</v>
      </c>
      <c r="H670" s="1">
        <v>4</v>
      </c>
      <c r="I670" s="1">
        <v>1</v>
      </c>
      <c r="J670" s="1">
        <v>1</v>
      </c>
      <c r="K670" s="1">
        <v>2</v>
      </c>
      <c r="L670" s="4">
        <v>14.4</v>
      </c>
      <c r="M670" s="3" t="str">
        <f t="shared" si="97"/>
        <v>Apr</v>
      </c>
      <c r="N670" s="2">
        <v>42110.493368055555</v>
      </c>
      <c r="O670" s="1">
        <f t="shared" si="101"/>
        <v>16</v>
      </c>
      <c r="P670" s="1">
        <f t="shared" si="102"/>
        <v>5</v>
      </c>
      <c r="Q670" s="1">
        <f t="shared" si="103"/>
        <v>11</v>
      </c>
      <c r="S670"/>
      <c r="T670"/>
      <c r="U670"/>
    </row>
    <row r="671" spans="1:21" s="1" customFormat="1" x14ac:dyDescent="0.25">
      <c r="A671" s="1">
        <v>702</v>
      </c>
      <c r="B671" s="1" t="s">
        <v>234</v>
      </c>
      <c r="C671" s="1" t="s">
        <v>682</v>
      </c>
      <c r="D671" s="2">
        <v>42198.660960648151</v>
      </c>
      <c r="E671" s="2">
        <v>42198.494340277779</v>
      </c>
      <c r="F671" s="1">
        <v>1</v>
      </c>
      <c r="G671" s="1">
        <v>6</v>
      </c>
      <c r="H671" s="1">
        <v>8</v>
      </c>
      <c r="I671" s="1">
        <v>4</v>
      </c>
      <c r="J671" s="1">
        <v>1</v>
      </c>
      <c r="K671" s="1">
        <v>4</v>
      </c>
      <c r="L671" s="3">
        <v>28.8</v>
      </c>
      <c r="M671" s="3" t="str">
        <f t="shared" si="97"/>
        <v>Jul</v>
      </c>
      <c r="N671" s="2">
        <v>42198.494305555556</v>
      </c>
      <c r="O671" s="1">
        <f t="shared" si="101"/>
        <v>13</v>
      </c>
      <c r="P671" s="1">
        <f t="shared" si="102"/>
        <v>2</v>
      </c>
      <c r="Q671" s="1">
        <f t="shared" si="103"/>
        <v>11</v>
      </c>
      <c r="S671"/>
      <c r="T671"/>
      <c r="U671"/>
    </row>
    <row r="672" spans="1:21" s="1" customFormat="1" x14ac:dyDescent="0.25">
      <c r="A672" s="1">
        <v>703</v>
      </c>
      <c r="B672" s="1" t="s">
        <v>96</v>
      </c>
      <c r="C672" s="1" t="s">
        <v>683</v>
      </c>
      <c r="D672" s="2">
        <v>42053.441932870373</v>
      </c>
      <c r="E672" s="2">
        <v>42053.441979166666</v>
      </c>
      <c r="F672" s="1">
        <v>1</v>
      </c>
      <c r="G672" s="1">
        <v>0</v>
      </c>
      <c r="H672" s="1">
        <v>10</v>
      </c>
      <c r="I672" s="1">
        <v>2</v>
      </c>
      <c r="J672" s="1">
        <v>1</v>
      </c>
      <c r="K672" s="1">
        <v>4</v>
      </c>
      <c r="L672" s="4">
        <v>27</v>
      </c>
      <c r="M672" s="3" t="str">
        <f t="shared" si="97"/>
        <v>Feb</v>
      </c>
      <c r="N672" s="2">
        <v>42053.441944444443</v>
      </c>
      <c r="O672" s="1">
        <f t="shared" si="101"/>
        <v>18</v>
      </c>
      <c r="P672" s="1">
        <f t="shared" si="102"/>
        <v>4</v>
      </c>
      <c r="Q672" s="1">
        <f t="shared" si="103"/>
        <v>10</v>
      </c>
      <c r="S672"/>
      <c r="T672"/>
      <c r="U672"/>
    </row>
    <row r="673" spans="1:21" s="1" customFormat="1" x14ac:dyDescent="0.25">
      <c r="A673" s="1">
        <v>704</v>
      </c>
      <c r="B673" s="1" t="s">
        <v>100</v>
      </c>
      <c r="C673" s="1" t="s">
        <v>612</v>
      </c>
      <c r="D673" s="2">
        <v>42025.883796296293</v>
      </c>
      <c r="E673" s="2">
        <v>42025.883842592593</v>
      </c>
      <c r="F673" s="1">
        <v>1</v>
      </c>
      <c r="G673" s="1">
        <v>2</v>
      </c>
      <c r="H673" s="1">
        <v>10</v>
      </c>
      <c r="I673" s="1">
        <v>2</v>
      </c>
      <c r="J673" s="1">
        <v>1</v>
      </c>
      <c r="K673" s="1">
        <v>5</v>
      </c>
      <c r="L673" s="4">
        <v>36</v>
      </c>
      <c r="M673" s="3" t="str">
        <f t="shared" si="97"/>
        <v>Jan</v>
      </c>
      <c r="N673" s="2">
        <v>42025.88380787037</v>
      </c>
      <c r="O673" s="1">
        <f t="shared" si="101"/>
        <v>21</v>
      </c>
      <c r="P673" s="1">
        <f t="shared" si="102"/>
        <v>4</v>
      </c>
      <c r="Q673" s="1">
        <f t="shared" si="103"/>
        <v>21</v>
      </c>
      <c r="S673"/>
      <c r="T673"/>
      <c r="U673"/>
    </row>
    <row r="674" spans="1:21" s="1" customFormat="1" x14ac:dyDescent="0.25">
      <c r="A674" s="1">
        <v>705</v>
      </c>
      <c r="B674" s="1" t="s">
        <v>116</v>
      </c>
      <c r="C674" s="1" t="s">
        <v>684</v>
      </c>
      <c r="D674" s="2">
        <v>42073.91033564815</v>
      </c>
      <c r="E674" s="2">
        <v>42073.910393518519</v>
      </c>
      <c r="F674" s="1">
        <v>1</v>
      </c>
      <c r="G674" s="1">
        <v>0</v>
      </c>
      <c r="H674" s="1">
        <v>2</v>
      </c>
      <c r="I674" s="1">
        <v>1</v>
      </c>
      <c r="J674" s="1">
        <v>1</v>
      </c>
      <c r="K674" s="1">
        <v>1</v>
      </c>
      <c r="L674" s="4">
        <v>28.8</v>
      </c>
      <c r="M674" s="3" t="str">
        <f t="shared" si="97"/>
        <v>Mar</v>
      </c>
      <c r="N674" s="2">
        <v>42073.91034722222</v>
      </c>
      <c r="O674" s="1">
        <f t="shared" si="101"/>
        <v>10</v>
      </c>
      <c r="P674" s="1">
        <f t="shared" si="102"/>
        <v>3</v>
      </c>
      <c r="Q674" s="1">
        <f t="shared" si="103"/>
        <v>21</v>
      </c>
      <c r="S674"/>
      <c r="T674"/>
      <c r="U674"/>
    </row>
    <row r="675" spans="1:21" s="1" customFormat="1" x14ac:dyDescent="0.25">
      <c r="A675" s="1">
        <v>706</v>
      </c>
      <c r="B675" s="1" t="s">
        <v>80</v>
      </c>
      <c r="C675" s="1" t="s">
        <v>685</v>
      </c>
      <c r="D675" s="2">
        <v>42180.831585648149</v>
      </c>
      <c r="E675" s="2">
        <v>42180.831643518519</v>
      </c>
      <c r="F675" s="1">
        <v>1</v>
      </c>
      <c r="G675" s="1">
        <v>0</v>
      </c>
      <c r="H675" s="1">
        <v>6</v>
      </c>
      <c r="I675" s="1">
        <v>2</v>
      </c>
      <c r="J675" s="1">
        <v>1</v>
      </c>
      <c r="K675" s="1">
        <v>3</v>
      </c>
      <c r="L675" s="3">
        <v>86.4</v>
      </c>
      <c r="M675" s="3" t="str">
        <f t="shared" si="97"/>
        <v>Jun</v>
      </c>
      <c r="N675" s="2">
        <v>42180.831597222219</v>
      </c>
      <c r="O675" s="1">
        <f t="shared" si="101"/>
        <v>25</v>
      </c>
      <c r="P675" s="1">
        <f t="shared" si="102"/>
        <v>5</v>
      </c>
      <c r="Q675" s="1">
        <f t="shared" si="103"/>
        <v>19</v>
      </c>
      <c r="S675"/>
      <c r="T675"/>
      <c r="U675"/>
    </row>
    <row r="676" spans="1:21" s="1" customFormat="1" x14ac:dyDescent="0.25">
      <c r="A676" s="1">
        <v>707</v>
      </c>
      <c r="B676" s="1" t="s">
        <v>100</v>
      </c>
      <c r="C676" s="1" t="s">
        <v>686</v>
      </c>
      <c r="D676" s="2">
        <v>42087.55059027778</v>
      </c>
      <c r="E676" s="2">
        <v>42087.550636574073</v>
      </c>
      <c r="F676" s="1">
        <v>1</v>
      </c>
      <c r="G676" s="1">
        <v>2</v>
      </c>
      <c r="H676" s="1">
        <v>6</v>
      </c>
      <c r="I676" s="1">
        <v>1</v>
      </c>
      <c r="J676" s="1">
        <v>1</v>
      </c>
      <c r="K676" s="1">
        <v>4</v>
      </c>
      <c r="L676" s="4">
        <v>28.8</v>
      </c>
      <c r="M676" s="3" t="str">
        <f t="shared" si="97"/>
        <v>Mar</v>
      </c>
      <c r="N676" s="2">
        <v>42087.554837962962</v>
      </c>
      <c r="O676" s="1">
        <f t="shared" si="101"/>
        <v>24</v>
      </c>
      <c r="P676" s="1">
        <f t="shared" si="102"/>
        <v>3</v>
      </c>
      <c r="Q676" s="1">
        <f t="shared" si="103"/>
        <v>13</v>
      </c>
      <c r="S676"/>
      <c r="T676"/>
      <c r="U676"/>
    </row>
    <row r="677" spans="1:21" s="1" customFormat="1" x14ac:dyDescent="0.25">
      <c r="A677" s="1">
        <v>708</v>
      </c>
      <c r="B677" s="1" t="s">
        <v>100</v>
      </c>
      <c r="C677" s="1" t="s">
        <v>297</v>
      </c>
      <c r="D677" s="2">
        <v>42087.62572916667</v>
      </c>
      <c r="E677" s="2">
        <v>42087.625798611109</v>
      </c>
      <c r="F677" s="1">
        <v>1</v>
      </c>
      <c r="G677" s="1">
        <v>0</v>
      </c>
      <c r="H677" s="1">
        <v>10</v>
      </c>
      <c r="I677" s="1">
        <v>1</v>
      </c>
      <c r="J677" s="1">
        <v>1</v>
      </c>
      <c r="K677" s="1">
        <v>4</v>
      </c>
      <c r="L677" s="4">
        <v>28.8</v>
      </c>
      <c r="M677" s="3" t="str">
        <f t="shared" si="97"/>
        <v>Mar</v>
      </c>
      <c r="N677" s="2">
        <v>42087.625740740739</v>
      </c>
      <c r="O677" s="1">
        <f t="shared" si="101"/>
        <v>24</v>
      </c>
      <c r="P677" s="1">
        <f t="shared" si="102"/>
        <v>3</v>
      </c>
      <c r="Q677" s="1">
        <f t="shared" si="103"/>
        <v>15</v>
      </c>
      <c r="S677"/>
      <c r="T677"/>
      <c r="U677"/>
    </row>
    <row r="678" spans="1:21" s="1" customFormat="1" x14ac:dyDescent="0.25">
      <c r="A678" s="1">
        <v>709</v>
      </c>
      <c r="D678" s="2">
        <v>42064.436851851853</v>
      </c>
      <c r="E678" s="2">
        <v>42064.436886574076</v>
      </c>
      <c r="F678" s="1">
        <v>1</v>
      </c>
      <c r="G678" s="1">
        <v>2</v>
      </c>
      <c r="H678" s="1">
        <v>2</v>
      </c>
      <c r="I678" s="1">
        <v>2</v>
      </c>
      <c r="J678" s="1">
        <v>1</v>
      </c>
      <c r="K678" s="1">
        <v>1</v>
      </c>
      <c r="L678" s="4">
        <v>27</v>
      </c>
      <c r="M678" s="3" t="str">
        <f t="shared" si="97"/>
        <v>Mar</v>
      </c>
      <c r="N678" s="2">
        <v>42064.438796296294</v>
      </c>
      <c r="O678" s="1">
        <f t="shared" si="101"/>
        <v>1</v>
      </c>
      <c r="P678" s="1">
        <f t="shared" si="102"/>
        <v>1</v>
      </c>
      <c r="Q678" s="1">
        <f t="shared" si="103"/>
        <v>10</v>
      </c>
      <c r="S678"/>
      <c r="T678"/>
      <c r="U678"/>
    </row>
    <row r="679" spans="1:21" s="1" customFormat="1" x14ac:dyDescent="0.25">
      <c r="A679" s="1">
        <v>710</v>
      </c>
      <c r="D679" s="2">
        <v>42253.128796296296</v>
      </c>
      <c r="E679" s="2">
        <v>42253.128807870373</v>
      </c>
      <c r="F679" s="1">
        <v>1</v>
      </c>
      <c r="G679" s="1">
        <v>9</v>
      </c>
      <c r="H679" s="1">
        <v>9</v>
      </c>
      <c r="I679" s="1">
        <v>12</v>
      </c>
      <c r="J679" s="1">
        <v>2</v>
      </c>
      <c r="K679" s="1">
        <v>4</v>
      </c>
      <c r="L679" s="3">
        <v>13</v>
      </c>
      <c r="M679" s="3" t="str">
        <f t="shared" si="97"/>
        <v>Sep</v>
      </c>
      <c r="N679" s="2">
        <v>42253.138807870368</v>
      </c>
      <c r="O679" s="1">
        <f t="shared" si="101"/>
        <v>6</v>
      </c>
      <c r="P679" s="1">
        <f t="shared" si="102"/>
        <v>1</v>
      </c>
      <c r="Q679" s="1">
        <f t="shared" si="103"/>
        <v>3</v>
      </c>
      <c r="S679"/>
      <c r="T679"/>
      <c r="U679"/>
    </row>
    <row r="680" spans="1:21" s="1" customFormat="1" x14ac:dyDescent="0.25">
      <c r="A680" s="1">
        <v>711</v>
      </c>
      <c r="B680" s="1" t="s">
        <v>100</v>
      </c>
      <c r="C680" s="1" t="s">
        <v>687</v>
      </c>
      <c r="D680" s="2">
        <v>42023.593923611108</v>
      </c>
      <c r="E680" s="2">
        <v>42024.537534722222</v>
      </c>
      <c r="F680" s="1">
        <v>3</v>
      </c>
      <c r="G680" s="1">
        <v>0</v>
      </c>
      <c r="H680" s="1">
        <v>2</v>
      </c>
      <c r="I680" s="1">
        <v>3</v>
      </c>
      <c r="J680" s="1">
        <v>1</v>
      </c>
      <c r="K680" s="1">
        <v>1</v>
      </c>
      <c r="L680" s="4">
        <v>28.8</v>
      </c>
      <c r="M680" s="3" t="str">
        <f t="shared" si="97"/>
        <v>Jan</v>
      </c>
      <c r="N680" s="2">
        <v>42023.594085648147</v>
      </c>
      <c r="O680" s="1">
        <f t="shared" si="101"/>
        <v>19</v>
      </c>
      <c r="P680" s="1">
        <f t="shared" si="102"/>
        <v>2</v>
      </c>
      <c r="Q680" s="1">
        <f t="shared" si="103"/>
        <v>14</v>
      </c>
      <c r="S680"/>
      <c r="T680"/>
      <c r="U680"/>
    </row>
    <row r="681" spans="1:21" s="1" customFormat="1" x14ac:dyDescent="0.25">
      <c r="A681" s="1">
        <v>712</v>
      </c>
      <c r="D681" s="2">
        <v>42185.197858796295</v>
      </c>
      <c r="E681" s="2">
        <v>42185.0312037037</v>
      </c>
      <c r="F681" s="1">
        <v>1</v>
      </c>
      <c r="G681" s="1">
        <v>9</v>
      </c>
      <c r="H681" s="1">
        <v>9</v>
      </c>
      <c r="I681" s="1">
        <v>4</v>
      </c>
      <c r="J681" s="1">
        <v>1</v>
      </c>
      <c r="K681" s="1">
        <v>2</v>
      </c>
      <c r="L681" s="3">
        <v>12</v>
      </c>
      <c r="M681" s="3" t="str">
        <f t="shared" si="97"/>
        <v>Jun</v>
      </c>
      <c r="N681" s="2">
        <v>42185.035810185182</v>
      </c>
      <c r="O681" s="1">
        <f t="shared" si="101"/>
        <v>30</v>
      </c>
      <c r="P681" s="1">
        <f t="shared" si="102"/>
        <v>3</v>
      </c>
      <c r="Q681" s="1">
        <f t="shared" si="103"/>
        <v>0</v>
      </c>
      <c r="S681"/>
      <c r="T681"/>
      <c r="U681"/>
    </row>
    <row r="682" spans="1:21" s="1" customFormat="1" x14ac:dyDescent="0.25">
      <c r="A682" s="1">
        <v>713</v>
      </c>
      <c r="D682" s="2">
        <v>42067.555138888885</v>
      </c>
      <c r="E682" s="2">
        <v>42067.555231481485</v>
      </c>
      <c r="F682" s="1">
        <v>1</v>
      </c>
      <c r="G682" s="1">
        <v>4</v>
      </c>
      <c r="H682" s="1">
        <v>10</v>
      </c>
      <c r="I682" s="1">
        <v>4</v>
      </c>
      <c r="J682" s="1">
        <v>1</v>
      </c>
      <c r="K682" s="1">
        <v>4</v>
      </c>
      <c r="L682" s="4">
        <v>28.8</v>
      </c>
      <c r="M682" s="3" t="str">
        <f t="shared" si="97"/>
        <v>Mar</v>
      </c>
      <c r="N682" s="2">
        <v>42067.555162037039</v>
      </c>
      <c r="O682" s="1">
        <f t="shared" si="101"/>
        <v>4</v>
      </c>
      <c r="P682" s="1">
        <f t="shared" si="102"/>
        <v>4</v>
      </c>
      <c r="Q682" s="1">
        <f t="shared" si="103"/>
        <v>13</v>
      </c>
      <c r="S682"/>
      <c r="T682"/>
      <c r="U682"/>
    </row>
    <row r="683" spans="1:21" s="1" customFormat="1" x14ac:dyDescent="0.25">
      <c r="A683" s="1">
        <v>714</v>
      </c>
      <c r="D683" s="2">
        <v>42084.593854166669</v>
      </c>
      <c r="E683" s="2">
        <v>42084.593912037039</v>
      </c>
      <c r="F683" s="1">
        <v>1</v>
      </c>
      <c r="G683" s="1">
        <v>0</v>
      </c>
      <c r="H683" s="1">
        <v>4</v>
      </c>
      <c r="I683" s="1">
        <v>3</v>
      </c>
      <c r="J683" s="1">
        <v>1</v>
      </c>
      <c r="K683" s="1">
        <v>2</v>
      </c>
      <c r="L683" s="4">
        <v>14.4</v>
      </c>
      <c r="M683" s="3" t="str">
        <f t="shared" si="97"/>
        <v>Mar</v>
      </c>
      <c r="N683" s="2">
        <v>42084.593877314815</v>
      </c>
      <c r="O683" s="1">
        <f t="shared" si="101"/>
        <v>21</v>
      </c>
      <c r="P683" s="1">
        <f t="shared" si="102"/>
        <v>7</v>
      </c>
      <c r="Q683" s="1">
        <f t="shared" si="103"/>
        <v>14</v>
      </c>
      <c r="S683"/>
      <c r="T683"/>
      <c r="U683"/>
    </row>
    <row r="684" spans="1:21" s="1" customFormat="1" x14ac:dyDescent="0.25">
      <c r="A684" s="1">
        <v>715</v>
      </c>
      <c r="B684" s="1" t="s">
        <v>100</v>
      </c>
      <c r="C684" s="1" t="s">
        <v>688</v>
      </c>
      <c r="D684" s="2">
        <v>42057.488263888888</v>
      </c>
      <c r="E684" s="2">
        <v>42057.488333333335</v>
      </c>
      <c r="F684" s="1">
        <v>1</v>
      </c>
      <c r="G684" s="1">
        <v>0</v>
      </c>
      <c r="H684" s="1">
        <v>12</v>
      </c>
      <c r="I684" s="1">
        <v>1</v>
      </c>
      <c r="J684" s="1">
        <v>1</v>
      </c>
      <c r="K684" s="1">
        <v>6</v>
      </c>
      <c r="L684" s="4">
        <v>43.2</v>
      </c>
      <c r="M684" s="3" t="str">
        <f t="shared" si="97"/>
        <v>Feb</v>
      </c>
      <c r="N684" s="2">
        <v>42057.488287037035</v>
      </c>
      <c r="O684" s="1">
        <f t="shared" si="101"/>
        <v>22</v>
      </c>
      <c r="P684" s="1">
        <f t="shared" si="102"/>
        <v>1</v>
      </c>
      <c r="Q684" s="1">
        <f t="shared" si="103"/>
        <v>11</v>
      </c>
      <c r="S684"/>
      <c r="T684"/>
      <c r="U684"/>
    </row>
    <row r="685" spans="1:21" s="1" customFormat="1" x14ac:dyDescent="0.25">
      <c r="A685" s="1">
        <v>716</v>
      </c>
      <c r="D685" s="2">
        <v>42194.960150462961</v>
      </c>
      <c r="E685" s="2">
        <v>42194.793506944443</v>
      </c>
      <c r="F685" s="1">
        <v>1</v>
      </c>
      <c r="G685" s="1">
        <v>2</v>
      </c>
      <c r="H685" s="1">
        <v>6</v>
      </c>
      <c r="I685" s="1">
        <v>5</v>
      </c>
      <c r="J685" s="1">
        <v>1</v>
      </c>
      <c r="K685" s="1">
        <v>2</v>
      </c>
      <c r="L685" s="3">
        <v>57.6</v>
      </c>
      <c r="M685" s="3" t="str">
        <f t="shared" si="97"/>
        <v>Jul</v>
      </c>
      <c r="N685" s="2">
        <v>42194.795011574075</v>
      </c>
      <c r="O685" s="1">
        <f t="shared" si="101"/>
        <v>9</v>
      </c>
      <c r="P685" s="1">
        <f t="shared" si="102"/>
        <v>5</v>
      </c>
      <c r="Q685" s="1">
        <f t="shared" si="103"/>
        <v>19</v>
      </c>
      <c r="S685"/>
      <c r="T685"/>
      <c r="U685"/>
    </row>
    <row r="686" spans="1:21" s="1" customFormat="1" x14ac:dyDescent="0.25">
      <c r="A686" s="1">
        <v>717</v>
      </c>
      <c r="B686" s="1" t="s">
        <v>134</v>
      </c>
      <c r="C686" s="1" t="s">
        <v>689</v>
      </c>
      <c r="D686" s="2">
        <v>42145.726539351854</v>
      </c>
      <c r="E686" s="2">
        <v>42145.726574074077</v>
      </c>
      <c r="F686" s="1">
        <v>1</v>
      </c>
      <c r="G686" s="1">
        <v>4</v>
      </c>
      <c r="H686" s="1">
        <v>2</v>
      </c>
      <c r="I686" s="1">
        <v>2</v>
      </c>
      <c r="J686" s="1">
        <v>1</v>
      </c>
      <c r="K686" s="1">
        <v>1</v>
      </c>
      <c r="L686" s="4">
        <v>57.6</v>
      </c>
      <c r="M686" s="3" t="str">
        <f t="shared" si="97"/>
        <v>May</v>
      </c>
      <c r="N686" s="2">
        <v>42145.726539351854</v>
      </c>
      <c r="O686" s="1">
        <f t="shared" si="101"/>
        <v>21</v>
      </c>
      <c r="P686" s="1">
        <f t="shared" si="102"/>
        <v>5</v>
      </c>
      <c r="Q686" s="1">
        <f t="shared" si="103"/>
        <v>17</v>
      </c>
      <c r="S686"/>
      <c r="T686"/>
      <c r="U686"/>
    </row>
    <row r="687" spans="1:21" s="1" customFormat="1" x14ac:dyDescent="0.25">
      <c r="A687" s="1">
        <v>718</v>
      </c>
      <c r="B687" s="1" t="s">
        <v>96</v>
      </c>
      <c r="C687" s="1" t="s">
        <v>690</v>
      </c>
      <c r="D687" s="2">
        <v>42178.926990740743</v>
      </c>
      <c r="E687" s="2">
        <v>42179.449131944442</v>
      </c>
      <c r="F687" s="1">
        <v>2</v>
      </c>
      <c r="G687" s="1">
        <v>2</v>
      </c>
      <c r="H687" s="1">
        <v>2</v>
      </c>
      <c r="I687" s="1">
        <v>4</v>
      </c>
      <c r="J687" s="1">
        <v>1</v>
      </c>
      <c r="K687" s="1">
        <v>1</v>
      </c>
      <c r="L687" s="3">
        <v>38.4</v>
      </c>
      <c r="M687" s="3" t="str">
        <f t="shared" si="97"/>
        <v>Jun</v>
      </c>
      <c r="N687" s="2">
        <v>42178.762997685182</v>
      </c>
      <c r="O687" s="1">
        <f t="shared" si="101"/>
        <v>23</v>
      </c>
      <c r="P687" s="1">
        <f t="shared" si="102"/>
        <v>3</v>
      </c>
      <c r="Q687" s="1">
        <f t="shared" si="103"/>
        <v>18</v>
      </c>
      <c r="S687"/>
      <c r="T687"/>
      <c r="U687"/>
    </row>
    <row r="688" spans="1:21" s="1" customFormat="1" x14ac:dyDescent="0.25">
      <c r="A688" s="1">
        <v>719</v>
      </c>
      <c r="B688" s="1" t="s">
        <v>123</v>
      </c>
      <c r="C688" s="1" t="s">
        <v>691</v>
      </c>
      <c r="D688" s="2">
        <v>42131.870659722219</v>
      </c>
      <c r="E688" s="2">
        <v>42131.870706018519</v>
      </c>
      <c r="F688" s="1">
        <v>1</v>
      </c>
      <c r="G688" s="1">
        <v>0</v>
      </c>
      <c r="H688" s="1">
        <v>4</v>
      </c>
      <c r="I688" s="1">
        <v>2</v>
      </c>
      <c r="J688" s="1">
        <v>1</v>
      </c>
      <c r="K688" s="1">
        <v>2</v>
      </c>
      <c r="L688" s="4">
        <v>14.4</v>
      </c>
      <c r="M688" s="3" t="str">
        <f t="shared" si="97"/>
        <v>May</v>
      </c>
      <c r="N688" s="2">
        <v>42131.870671296296</v>
      </c>
      <c r="O688" s="1">
        <f t="shared" si="101"/>
        <v>7</v>
      </c>
      <c r="P688" s="1">
        <f t="shared" si="102"/>
        <v>5</v>
      </c>
      <c r="Q688" s="1">
        <f t="shared" si="103"/>
        <v>20</v>
      </c>
      <c r="S688"/>
      <c r="T688"/>
      <c r="U688"/>
    </row>
    <row r="689" spans="1:21" s="1" customFormat="1" x14ac:dyDescent="0.25">
      <c r="A689" s="1">
        <v>720</v>
      </c>
      <c r="B689" s="1" t="s">
        <v>76</v>
      </c>
      <c r="C689" s="1" t="s">
        <v>197</v>
      </c>
      <c r="D689" s="2">
        <v>42067.301307870373</v>
      </c>
      <c r="E689" s="2">
        <v>42073.751886574071</v>
      </c>
      <c r="F689" s="1">
        <v>3</v>
      </c>
      <c r="G689" s="1">
        <v>1</v>
      </c>
      <c r="H689" s="1">
        <v>1</v>
      </c>
      <c r="I689" s="1">
        <v>2</v>
      </c>
      <c r="J689" s="1">
        <v>1</v>
      </c>
      <c r="K689" s="1">
        <v>1</v>
      </c>
      <c r="L689" s="4">
        <v>36</v>
      </c>
      <c r="M689" s="3" t="str">
        <f t="shared" si="97"/>
        <v>Mar</v>
      </c>
      <c r="N689" s="2">
        <v>42067.306458333333</v>
      </c>
      <c r="O689" s="1">
        <f t="shared" si="101"/>
        <v>4</v>
      </c>
      <c r="P689" s="1">
        <f t="shared" si="102"/>
        <v>4</v>
      </c>
      <c r="Q689" s="1">
        <f t="shared" si="103"/>
        <v>7</v>
      </c>
      <c r="S689"/>
      <c r="T689"/>
      <c r="U689"/>
    </row>
    <row r="690" spans="1:21" s="1" customFormat="1" x14ac:dyDescent="0.25">
      <c r="A690" s="1">
        <v>721</v>
      </c>
      <c r="B690" s="1" t="s">
        <v>80</v>
      </c>
      <c r="C690" s="1" t="s">
        <v>692</v>
      </c>
      <c r="D690" s="2">
        <v>42217.579236111109</v>
      </c>
      <c r="E690" s="2">
        <v>42219.563576388886</v>
      </c>
      <c r="F690" s="1">
        <v>6</v>
      </c>
      <c r="G690" s="1">
        <v>6</v>
      </c>
      <c r="H690" s="1">
        <v>2</v>
      </c>
      <c r="I690" s="1">
        <v>3</v>
      </c>
      <c r="J690" s="1">
        <v>1</v>
      </c>
      <c r="K690" s="1">
        <v>1</v>
      </c>
      <c r="L690" s="3">
        <v>37.4</v>
      </c>
      <c r="M690" s="3" t="str">
        <f t="shared" si="97"/>
        <v>Aug</v>
      </c>
      <c r="N690" s="2">
        <v>42217.579247685186</v>
      </c>
      <c r="O690" s="1">
        <f t="shared" si="101"/>
        <v>1</v>
      </c>
      <c r="P690" s="1">
        <f t="shared" si="102"/>
        <v>7</v>
      </c>
      <c r="Q690" s="1">
        <f t="shared" si="103"/>
        <v>13</v>
      </c>
      <c r="S690"/>
      <c r="T690"/>
      <c r="U690"/>
    </row>
    <row r="691" spans="1:21" s="1" customFormat="1" x14ac:dyDescent="0.25">
      <c r="A691" s="1">
        <v>722</v>
      </c>
      <c r="B691" s="1" t="s">
        <v>96</v>
      </c>
      <c r="C691" s="1" t="s">
        <v>693</v>
      </c>
      <c r="D691" s="2">
        <v>42192.098437499997</v>
      </c>
      <c r="E691" s="2">
        <v>42191.931828703702</v>
      </c>
      <c r="F691" s="1">
        <v>1</v>
      </c>
      <c r="G691" s="1">
        <v>2</v>
      </c>
      <c r="H691" s="1">
        <v>2</v>
      </c>
      <c r="I691" s="1">
        <v>2</v>
      </c>
      <c r="J691" s="1">
        <v>1</v>
      </c>
      <c r="K691" s="1">
        <v>1</v>
      </c>
      <c r="L691" s="3">
        <v>72</v>
      </c>
      <c r="M691" s="3" t="str">
        <f t="shared" si="97"/>
        <v>Jul</v>
      </c>
      <c r="N691" s="2">
        <v>42191.93178240741</v>
      </c>
      <c r="O691" s="1">
        <f t="shared" si="101"/>
        <v>6</v>
      </c>
      <c r="P691" s="1">
        <f t="shared" si="102"/>
        <v>2</v>
      </c>
      <c r="Q691" s="1">
        <f t="shared" si="103"/>
        <v>22</v>
      </c>
      <c r="S691"/>
      <c r="T691"/>
      <c r="U691"/>
    </row>
    <row r="692" spans="1:21" s="1" customFormat="1" x14ac:dyDescent="0.25">
      <c r="A692" s="1">
        <v>723</v>
      </c>
      <c r="D692" s="2">
        <v>42098.450902777775</v>
      </c>
      <c r="E692" s="2">
        <v>42098.450925925928</v>
      </c>
      <c r="F692" s="1">
        <v>1</v>
      </c>
      <c r="G692" s="1">
        <v>1</v>
      </c>
      <c r="H692" s="1">
        <v>11</v>
      </c>
      <c r="I692" s="1">
        <v>3</v>
      </c>
      <c r="J692" s="1">
        <v>1</v>
      </c>
      <c r="K692" s="1">
        <v>7</v>
      </c>
      <c r="L692" s="4">
        <v>59</v>
      </c>
      <c r="M692" s="3" t="str">
        <f t="shared" si="97"/>
        <v>Apr</v>
      </c>
      <c r="N692" s="2">
        <v>42098.461458333331</v>
      </c>
      <c r="O692" s="1">
        <f t="shared" si="101"/>
        <v>4</v>
      </c>
      <c r="P692" s="1">
        <f t="shared" si="102"/>
        <v>7</v>
      </c>
      <c r="Q692" s="1">
        <f t="shared" si="103"/>
        <v>11</v>
      </c>
      <c r="S692"/>
      <c r="T692"/>
      <c r="U692"/>
    </row>
    <row r="693" spans="1:21" s="1" customFormat="1" x14ac:dyDescent="0.25">
      <c r="A693" s="1">
        <v>724</v>
      </c>
      <c r="D693" s="2">
        <v>42120.059548611112</v>
      </c>
      <c r="E693" s="2">
        <v>42124.342939814815</v>
      </c>
      <c r="F693" s="1">
        <v>3</v>
      </c>
      <c r="G693" s="1">
        <v>5</v>
      </c>
      <c r="H693" s="1">
        <v>12</v>
      </c>
      <c r="I693" s="1">
        <v>8</v>
      </c>
      <c r="J693" s="1">
        <v>1</v>
      </c>
      <c r="K693" s="1">
        <v>11</v>
      </c>
      <c r="L693" s="4">
        <v>79.2</v>
      </c>
      <c r="M693" s="3" t="str">
        <f t="shared" si="97"/>
        <v>Apr</v>
      </c>
      <c r="N693" s="2">
        <v>42124.390706018516</v>
      </c>
      <c r="O693" s="1">
        <f t="shared" si="101"/>
        <v>30</v>
      </c>
      <c r="P693" s="1">
        <f t="shared" si="102"/>
        <v>5</v>
      </c>
      <c r="Q693" s="1">
        <f t="shared" si="103"/>
        <v>9</v>
      </c>
      <c r="S693"/>
      <c r="T693"/>
      <c r="U693"/>
    </row>
    <row r="694" spans="1:21" s="1" customFormat="1" x14ac:dyDescent="0.25">
      <c r="A694" s="1">
        <v>725</v>
      </c>
      <c r="B694" s="1" t="s">
        <v>100</v>
      </c>
      <c r="C694" s="1" t="s">
        <v>694</v>
      </c>
      <c r="D694" s="2">
        <v>42007.130983796298</v>
      </c>
      <c r="E694" s="2">
        <v>42007.131053240744</v>
      </c>
      <c r="F694" s="1">
        <v>1</v>
      </c>
      <c r="G694" s="1">
        <v>6</v>
      </c>
      <c r="H694" s="1">
        <v>4</v>
      </c>
      <c r="I694" s="1">
        <v>3</v>
      </c>
      <c r="J694" s="1">
        <v>1</v>
      </c>
      <c r="K694" s="1">
        <v>4</v>
      </c>
      <c r="L694" s="4">
        <v>28.8</v>
      </c>
      <c r="M694" s="3" t="str">
        <f t="shared" si="97"/>
        <v>Jan</v>
      </c>
      <c r="N694" s="2">
        <v>42007.130995370368</v>
      </c>
      <c r="O694" s="1">
        <f t="shared" si="101"/>
        <v>3</v>
      </c>
      <c r="P694" s="1">
        <f t="shared" si="102"/>
        <v>7</v>
      </c>
      <c r="Q694" s="1">
        <f t="shared" si="103"/>
        <v>3</v>
      </c>
      <c r="S694"/>
      <c r="T694"/>
      <c r="U694"/>
    </row>
    <row r="695" spans="1:21" s="1" customFormat="1" x14ac:dyDescent="0.25">
      <c r="A695" s="1">
        <v>726</v>
      </c>
      <c r="B695" s="1" t="s">
        <v>100</v>
      </c>
      <c r="C695" s="1" t="s">
        <v>695</v>
      </c>
      <c r="D695" s="2">
        <v>42224.904178240744</v>
      </c>
      <c r="E695" s="2">
        <v>42224.737569444442</v>
      </c>
      <c r="F695" s="1">
        <v>1</v>
      </c>
      <c r="G695" s="1">
        <v>2</v>
      </c>
      <c r="H695" s="1">
        <v>4</v>
      </c>
      <c r="I695" s="1">
        <v>2</v>
      </c>
      <c r="J695" s="1">
        <v>1</v>
      </c>
      <c r="K695" s="1">
        <v>1</v>
      </c>
      <c r="L695" s="3">
        <v>37.4</v>
      </c>
      <c r="M695" s="3" t="str">
        <f t="shared" si="97"/>
        <v>Aug</v>
      </c>
      <c r="N695" s="2">
        <v>42224.737511574072</v>
      </c>
      <c r="O695" s="1">
        <f t="shared" si="101"/>
        <v>8</v>
      </c>
      <c r="P695" s="1">
        <f t="shared" si="102"/>
        <v>7</v>
      </c>
      <c r="Q695" s="1">
        <f t="shared" si="103"/>
        <v>17</v>
      </c>
      <c r="S695"/>
      <c r="T695"/>
      <c r="U695"/>
    </row>
    <row r="696" spans="1:21" s="1" customFormat="1" x14ac:dyDescent="0.25">
      <c r="A696" s="1">
        <v>727</v>
      </c>
      <c r="B696" s="1" t="s">
        <v>245</v>
      </c>
      <c r="C696" s="1" t="s">
        <v>696</v>
      </c>
      <c r="D696" s="2">
        <v>42085.879212962966</v>
      </c>
      <c r="E696" s="2">
        <v>42085.879305555558</v>
      </c>
      <c r="F696" s="1">
        <v>1</v>
      </c>
      <c r="G696" s="1">
        <v>2</v>
      </c>
      <c r="H696" s="1">
        <v>8</v>
      </c>
      <c r="I696" s="1">
        <v>1</v>
      </c>
      <c r="J696" s="1">
        <v>1</v>
      </c>
      <c r="K696" s="1">
        <v>4</v>
      </c>
      <c r="L696" s="4">
        <v>36</v>
      </c>
      <c r="M696" s="3" t="str">
        <f t="shared" si="97"/>
        <v>Mar</v>
      </c>
      <c r="N696" s="2">
        <v>42085.879236111112</v>
      </c>
      <c r="O696" s="1">
        <f t="shared" si="101"/>
        <v>22</v>
      </c>
      <c r="P696" s="1">
        <f t="shared" si="102"/>
        <v>1</v>
      </c>
      <c r="Q696" s="1">
        <f t="shared" si="103"/>
        <v>21</v>
      </c>
      <c r="S696"/>
      <c r="T696"/>
      <c r="U696"/>
    </row>
    <row r="697" spans="1:21" s="1" customFormat="1" x14ac:dyDescent="0.25">
      <c r="A697" s="1">
        <v>728</v>
      </c>
      <c r="B697" s="1" t="s">
        <v>103</v>
      </c>
      <c r="C697" s="1" t="s">
        <v>697</v>
      </c>
      <c r="D697" s="2">
        <v>42023.416400462964</v>
      </c>
      <c r="E697" s="2">
        <v>42023.416446759256</v>
      </c>
      <c r="F697" s="1">
        <v>1</v>
      </c>
      <c r="G697" s="1">
        <v>2</v>
      </c>
      <c r="H697" s="1">
        <v>4</v>
      </c>
      <c r="I697" s="1">
        <v>6</v>
      </c>
      <c r="J697" s="1">
        <v>1</v>
      </c>
      <c r="K697" s="1">
        <v>2</v>
      </c>
      <c r="L697" s="4">
        <v>9</v>
      </c>
      <c r="M697" s="3" t="str">
        <f t="shared" si="97"/>
        <v>Jan</v>
      </c>
      <c r="N697" s="2">
        <v>42023.416412037041</v>
      </c>
      <c r="O697" s="1">
        <f t="shared" si="101"/>
        <v>19</v>
      </c>
      <c r="P697" s="1">
        <f t="shared" si="102"/>
        <v>2</v>
      </c>
      <c r="Q697" s="1">
        <f t="shared" si="103"/>
        <v>9</v>
      </c>
      <c r="S697"/>
      <c r="T697"/>
      <c r="U697"/>
    </row>
    <row r="698" spans="1:21" s="1" customFormat="1" x14ac:dyDescent="0.25">
      <c r="A698" s="1">
        <v>729</v>
      </c>
      <c r="B698" s="1" t="s">
        <v>100</v>
      </c>
      <c r="C698" s="1" t="s">
        <v>698</v>
      </c>
      <c r="D698" s="2">
        <v>42210.120266203703</v>
      </c>
      <c r="E698" s="2">
        <v>42210.120300925926</v>
      </c>
      <c r="F698" s="1">
        <v>1</v>
      </c>
      <c r="G698" s="1">
        <v>5</v>
      </c>
      <c r="H698" s="1">
        <v>3</v>
      </c>
      <c r="I698" s="1">
        <v>3</v>
      </c>
      <c r="J698" s="1">
        <v>1</v>
      </c>
      <c r="K698" s="1">
        <v>1</v>
      </c>
      <c r="L698" s="3">
        <v>11</v>
      </c>
      <c r="M698" s="3" t="str">
        <f t="shared" si="97"/>
        <v>Jul</v>
      </c>
      <c r="N698" s="2">
        <v>42210.120266203703</v>
      </c>
      <c r="O698" s="1">
        <f t="shared" si="101"/>
        <v>25</v>
      </c>
      <c r="P698" s="1">
        <f t="shared" si="102"/>
        <v>7</v>
      </c>
      <c r="Q698" s="1">
        <f t="shared" si="103"/>
        <v>2</v>
      </c>
      <c r="S698"/>
      <c r="T698"/>
      <c r="U698"/>
    </row>
    <row r="699" spans="1:21" s="1" customFormat="1" x14ac:dyDescent="0.25">
      <c r="A699" s="1">
        <v>730</v>
      </c>
      <c r="B699" s="1" t="s">
        <v>112</v>
      </c>
      <c r="C699" s="1" t="s">
        <v>699</v>
      </c>
      <c r="D699" s="2">
        <v>42137.597210648149</v>
      </c>
      <c r="E699" s="2">
        <v>42137.597256944442</v>
      </c>
      <c r="F699" s="1">
        <v>1</v>
      </c>
      <c r="G699" s="1">
        <v>2</v>
      </c>
      <c r="H699" s="1">
        <v>6</v>
      </c>
      <c r="I699" s="1">
        <v>2</v>
      </c>
      <c r="J699" s="1">
        <v>1</v>
      </c>
      <c r="K699" s="1">
        <v>3</v>
      </c>
      <c r="L699" s="4">
        <v>18</v>
      </c>
      <c r="M699" s="3" t="str">
        <f t="shared" si="97"/>
        <v>May</v>
      </c>
      <c r="N699" s="2">
        <v>42137.597222222219</v>
      </c>
      <c r="O699" s="1">
        <f t="shared" si="101"/>
        <v>13</v>
      </c>
      <c r="P699" s="1">
        <f t="shared" si="102"/>
        <v>4</v>
      </c>
      <c r="Q699" s="1">
        <f t="shared" si="103"/>
        <v>14</v>
      </c>
      <c r="S699"/>
      <c r="T699"/>
      <c r="U699"/>
    </row>
    <row r="700" spans="1:21" s="1" customFormat="1" x14ac:dyDescent="0.25">
      <c r="A700" s="1">
        <v>731</v>
      </c>
      <c r="B700" s="1" t="s">
        <v>89</v>
      </c>
      <c r="C700" s="1" t="s">
        <v>700</v>
      </c>
      <c r="D700" s="2">
        <v>42171.760405092595</v>
      </c>
      <c r="E700" s="2">
        <v>42171.593888888892</v>
      </c>
      <c r="F700" s="1">
        <v>1</v>
      </c>
      <c r="G700" s="1">
        <v>0</v>
      </c>
      <c r="H700" s="1">
        <v>10</v>
      </c>
      <c r="I700" s="1">
        <v>7</v>
      </c>
      <c r="J700" s="1">
        <v>1</v>
      </c>
      <c r="K700" s="1">
        <v>5</v>
      </c>
      <c r="L700" s="3">
        <v>36</v>
      </c>
      <c r="M700" s="3" t="str">
        <f t="shared" si="97"/>
        <v>Jun</v>
      </c>
      <c r="N700" s="2">
        <v>42171.593819444446</v>
      </c>
      <c r="O700" s="1">
        <f t="shared" si="101"/>
        <v>16</v>
      </c>
      <c r="P700" s="1">
        <f t="shared" si="102"/>
        <v>3</v>
      </c>
      <c r="Q700" s="1">
        <f t="shared" si="103"/>
        <v>14</v>
      </c>
      <c r="S700"/>
      <c r="T700"/>
      <c r="U700"/>
    </row>
    <row r="701" spans="1:21" s="1" customFormat="1" x14ac:dyDescent="0.25">
      <c r="A701" s="1">
        <v>732</v>
      </c>
      <c r="B701" s="1" t="s">
        <v>100</v>
      </c>
      <c r="C701" s="1" t="s">
        <v>701</v>
      </c>
      <c r="D701" s="2">
        <v>42191.037789351853</v>
      </c>
      <c r="E701" s="2">
        <v>42191.037847222222</v>
      </c>
      <c r="F701" s="1">
        <v>1</v>
      </c>
      <c r="G701" s="1">
        <v>10</v>
      </c>
      <c r="H701" s="1">
        <v>14</v>
      </c>
      <c r="I701" s="1">
        <v>3</v>
      </c>
      <c r="J701" s="1">
        <v>1</v>
      </c>
      <c r="K701" s="1">
        <v>7</v>
      </c>
      <c r="L701" s="3">
        <v>74.400000000000006</v>
      </c>
      <c r="M701" s="3" t="str">
        <f t="shared" si="97"/>
        <v>Jul</v>
      </c>
      <c r="N701" s="2">
        <v>42191.037789351853</v>
      </c>
      <c r="O701" s="1">
        <f t="shared" si="101"/>
        <v>6</v>
      </c>
      <c r="P701" s="1">
        <f t="shared" si="102"/>
        <v>2</v>
      </c>
      <c r="Q701" s="1">
        <f t="shared" si="103"/>
        <v>0</v>
      </c>
      <c r="S701"/>
      <c r="T701"/>
      <c r="U701"/>
    </row>
    <row r="702" spans="1:21" s="1" customFormat="1" x14ac:dyDescent="0.25">
      <c r="A702" s="1">
        <v>733</v>
      </c>
      <c r="B702" s="1" t="s">
        <v>100</v>
      </c>
      <c r="C702" s="1" t="s">
        <v>702</v>
      </c>
      <c r="D702" s="2">
        <v>42091.538449074076</v>
      </c>
      <c r="E702" s="2">
        <v>42091.538483796299</v>
      </c>
      <c r="F702" s="1">
        <v>1</v>
      </c>
      <c r="G702" s="1">
        <v>0</v>
      </c>
      <c r="H702" s="1">
        <v>2</v>
      </c>
      <c r="I702" s="1">
        <v>3</v>
      </c>
      <c r="J702" s="1">
        <v>1</v>
      </c>
      <c r="K702" s="1">
        <v>1</v>
      </c>
      <c r="L702" s="4">
        <v>9</v>
      </c>
      <c r="M702" s="3" t="str">
        <f t="shared" si="97"/>
        <v>Mar</v>
      </c>
      <c r="N702" s="2">
        <v>42091.540671296294</v>
      </c>
      <c r="O702" s="1">
        <f t="shared" si="101"/>
        <v>28</v>
      </c>
      <c r="P702" s="1">
        <f t="shared" si="102"/>
        <v>7</v>
      </c>
      <c r="Q702" s="1">
        <f t="shared" si="103"/>
        <v>12</v>
      </c>
      <c r="S702"/>
      <c r="T702"/>
      <c r="U702"/>
    </row>
    <row r="703" spans="1:21" s="1" customFormat="1" x14ac:dyDescent="0.25">
      <c r="A703" s="1">
        <v>734</v>
      </c>
      <c r="B703" s="1" t="s">
        <v>119</v>
      </c>
      <c r="C703" s="1" t="s">
        <v>660</v>
      </c>
      <c r="D703" s="2">
        <v>42067.006851851853</v>
      </c>
      <c r="E703" s="2">
        <v>42067.006898148145</v>
      </c>
      <c r="F703" s="1">
        <v>1</v>
      </c>
      <c r="G703" s="1">
        <v>2</v>
      </c>
      <c r="H703" s="1">
        <v>6</v>
      </c>
      <c r="I703" s="1">
        <v>1</v>
      </c>
      <c r="J703" s="1">
        <v>1</v>
      </c>
      <c r="K703" s="1">
        <v>2</v>
      </c>
      <c r="L703" s="4">
        <v>72</v>
      </c>
      <c r="M703" s="3" t="str">
        <f t="shared" si="97"/>
        <v>Mar</v>
      </c>
      <c r="N703" s="2">
        <v>42067.006863425922</v>
      </c>
      <c r="O703" s="1">
        <f t="shared" si="101"/>
        <v>4</v>
      </c>
      <c r="P703" s="1">
        <f t="shared" si="102"/>
        <v>4</v>
      </c>
      <c r="Q703" s="1">
        <f t="shared" si="103"/>
        <v>0</v>
      </c>
      <c r="S703"/>
      <c r="T703"/>
      <c r="U703"/>
    </row>
    <row r="704" spans="1:21" s="1" customFormat="1" x14ac:dyDescent="0.25">
      <c r="A704" s="1">
        <v>735</v>
      </c>
      <c r="B704" s="1" t="s">
        <v>123</v>
      </c>
      <c r="C704" s="1" t="s">
        <v>703</v>
      </c>
      <c r="D704" s="2">
        <v>42160.614212962966</v>
      </c>
      <c r="E704" s="2">
        <v>42160.447569444441</v>
      </c>
      <c r="F704" s="1">
        <v>1</v>
      </c>
      <c r="G704" s="1">
        <v>0</v>
      </c>
      <c r="H704" s="1">
        <v>2</v>
      </c>
      <c r="I704" s="1">
        <v>1</v>
      </c>
      <c r="J704" s="1">
        <v>1</v>
      </c>
      <c r="K704" s="1">
        <v>1</v>
      </c>
      <c r="L704" s="3">
        <v>28.8</v>
      </c>
      <c r="M704" s="3" t="str">
        <f t="shared" si="97"/>
        <v>Jun</v>
      </c>
      <c r="N704" s="2">
        <v>42160.454456018517</v>
      </c>
      <c r="O704" s="1">
        <f t="shared" si="101"/>
        <v>5</v>
      </c>
      <c r="P704" s="1">
        <f t="shared" si="102"/>
        <v>6</v>
      </c>
      <c r="Q704" s="1">
        <f t="shared" si="103"/>
        <v>10</v>
      </c>
      <c r="S704"/>
      <c r="T704"/>
      <c r="U704"/>
    </row>
    <row r="705" spans="1:21" s="1" customFormat="1" x14ac:dyDescent="0.25">
      <c r="A705" s="1">
        <v>736</v>
      </c>
      <c r="B705" s="1" t="s">
        <v>123</v>
      </c>
      <c r="C705" s="1" t="s">
        <v>630</v>
      </c>
      <c r="D705" s="2">
        <v>42259.660740740743</v>
      </c>
      <c r="E705" s="2">
        <v>42259.494131944448</v>
      </c>
      <c r="F705" s="1">
        <v>1</v>
      </c>
      <c r="G705" s="1">
        <v>2</v>
      </c>
      <c r="H705" s="1">
        <v>4</v>
      </c>
      <c r="I705" s="1">
        <v>2</v>
      </c>
      <c r="J705" s="1">
        <v>1</v>
      </c>
      <c r="K705" s="1">
        <v>2</v>
      </c>
      <c r="L705" s="3">
        <v>38.72</v>
      </c>
      <c r="M705" s="3" t="str">
        <f t="shared" si="97"/>
        <v>Sep</v>
      </c>
      <c r="N705" s="2">
        <v>42259.494085648148</v>
      </c>
      <c r="O705" s="1">
        <f t="shared" si="101"/>
        <v>12</v>
      </c>
      <c r="P705" s="1">
        <f t="shared" si="102"/>
        <v>7</v>
      </c>
      <c r="Q705" s="1">
        <f t="shared" si="103"/>
        <v>11</v>
      </c>
      <c r="S705"/>
      <c r="T705"/>
      <c r="U705"/>
    </row>
    <row r="706" spans="1:21" s="1" customFormat="1" x14ac:dyDescent="0.25">
      <c r="A706" s="1">
        <v>737</v>
      </c>
      <c r="B706" s="1" t="s">
        <v>100</v>
      </c>
      <c r="C706" s="1" t="s">
        <v>704</v>
      </c>
      <c r="D706" s="2">
        <v>42133.001168981478</v>
      </c>
      <c r="E706" s="2">
        <v>42133.001215277778</v>
      </c>
      <c r="F706" s="1">
        <v>1</v>
      </c>
      <c r="G706" s="1">
        <v>0</v>
      </c>
      <c r="H706" s="1">
        <v>4</v>
      </c>
      <c r="I706" s="1">
        <v>2</v>
      </c>
      <c r="J706" s="1">
        <v>1</v>
      </c>
      <c r="K706" s="1">
        <v>2</v>
      </c>
      <c r="L706" s="4">
        <v>57.6</v>
      </c>
      <c r="M706" s="3" t="str">
        <f t="shared" si="97"/>
        <v>May</v>
      </c>
      <c r="N706" s="2">
        <v>42133.001180555555</v>
      </c>
      <c r="O706" s="1">
        <f t="shared" si="101"/>
        <v>9</v>
      </c>
      <c r="P706" s="1">
        <f t="shared" si="102"/>
        <v>7</v>
      </c>
      <c r="Q706" s="1">
        <f t="shared" si="103"/>
        <v>0</v>
      </c>
      <c r="S706"/>
      <c r="T706"/>
      <c r="U706"/>
    </row>
    <row r="707" spans="1:21" s="1" customFormat="1" x14ac:dyDescent="0.25">
      <c r="A707" s="1">
        <v>738</v>
      </c>
      <c r="B707" s="1" t="s">
        <v>100</v>
      </c>
      <c r="C707" s="1" t="s">
        <v>705</v>
      </c>
      <c r="D707" s="2">
        <v>42207.672939814816</v>
      </c>
      <c r="E707" s="2">
        <v>42207.672986111109</v>
      </c>
      <c r="F707" s="1">
        <v>1</v>
      </c>
      <c r="G707" s="1">
        <v>0</v>
      </c>
      <c r="H707" s="1">
        <v>2</v>
      </c>
      <c r="I707" s="1">
        <v>3</v>
      </c>
      <c r="J707" s="1">
        <v>1</v>
      </c>
      <c r="K707" s="1">
        <v>2</v>
      </c>
      <c r="L707" s="3">
        <v>19.2</v>
      </c>
      <c r="M707" s="3" t="str">
        <f t="shared" ref="M707:M770" si="104">TEXT(N707,"mmm")</f>
        <v>Jul</v>
      </c>
      <c r="N707" s="2">
        <v>42207.672951388886</v>
      </c>
      <c r="O707" s="1">
        <f t="shared" si="101"/>
        <v>22</v>
      </c>
      <c r="P707" s="1">
        <f t="shared" si="102"/>
        <v>4</v>
      </c>
      <c r="Q707" s="1">
        <f t="shared" si="103"/>
        <v>16</v>
      </c>
      <c r="S707"/>
      <c r="T707"/>
      <c r="U707"/>
    </row>
    <row r="708" spans="1:21" s="1" customFormat="1" x14ac:dyDescent="0.25">
      <c r="A708" s="1">
        <v>740</v>
      </c>
      <c r="B708" s="1" t="s">
        <v>96</v>
      </c>
      <c r="C708" s="1" t="s">
        <v>156</v>
      </c>
      <c r="D708" s="2">
        <v>42234.796354166669</v>
      </c>
      <c r="E708" s="2">
        <v>42234.629733796297</v>
      </c>
      <c r="F708" s="1">
        <v>1</v>
      </c>
      <c r="G708" s="1">
        <v>0</v>
      </c>
      <c r="H708" s="1">
        <v>8</v>
      </c>
      <c r="I708" s="1">
        <v>2</v>
      </c>
      <c r="J708" s="1">
        <v>1</v>
      </c>
      <c r="K708" s="1">
        <v>4</v>
      </c>
      <c r="L708" s="3">
        <v>44</v>
      </c>
      <c r="M708" s="3" t="str">
        <f t="shared" si="104"/>
        <v>Aug</v>
      </c>
      <c r="N708" s="2">
        <v>42234.629699074074</v>
      </c>
      <c r="O708" s="1">
        <f t="shared" ref="O708:O727" si="105">DAY(N708)</f>
        <v>18</v>
      </c>
      <c r="P708" s="1">
        <f t="shared" ref="P708:P727" si="106">WEEKDAY(N708,1)</f>
        <v>3</v>
      </c>
      <c r="Q708" s="1">
        <f t="shared" ref="Q708:Q727" si="107">HOUR(N708)</f>
        <v>15</v>
      </c>
      <c r="S708"/>
      <c r="T708"/>
      <c r="U708"/>
    </row>
    <row r="709" spans="1:21" s="1" customFormat="1" x14ac:dyDescent="0.25">
      <c r="A709" s="1">
        <v>741</v>
      </c>
      <c r="B709" s="1" t="s">
        <v>91</v>
      </c>
      <c r="C709" s="1" t="s">
        <v>92</v>
      </c>
      <c r="D709" s="2">
        <v>42201.586342592593</v>
      </c>
      <c r="E709" s="2">
        <v>42201.586388888885</v>
      </c>
      <c r="F709" s="1">
        <v>1</v>
      </c>
      <c r="G709" s="1">
        <v>0</v>
      </c>
      <c r="H709" s="1">
        <v>2</v>
      </c>
      <c r="I709" s="1">
        <v>2</v>
      </c>
      <c r="J709" s="1">
        <v>1</v>
      </c>
      <c r="K709" s="1">
        <v>1</v>
      </c>
      <c r="L709" s="3">
        <v>29.92</v>
      </c>
      <c r="M709" s="3" t="str">
        <f t="shared" si="104"/>
        <v>Jul</v>
      </c>
      <c r="N709" s="2">
        <v>42201.586342592593</v>
      </c>
      <c r="O709" s="1">
        <f t="shared" si="105"/>
        <v>16</v>
      </c>
      <c r="P709" s="1">
        <f t="shared" si="106"/>
        <v>5</v>
      </c>
      <c r="Q709" s="1">
        <f t="shared" si="107"/>
        <v>14</v>
      </c>
      <c r="S709"/>
      <c r="T709"/>
      <c r="U709"/>
    </row>
    <row r="710" spans="1:21" s="1" customFormat="1" x14ac:dyDescent="0.25">
      <c r="A710" s="1">
        <v>742</v>
      </c>
      <c r="B710" s="1" t="s">
        <v>103</v>
      </c>
      <c r="C710" s="1" t="s">
        <v>706</v>
      </c>
      <c r="D710" s="2">
        <v>42164.645740740743</v>
      </c>
      <c r="E710" s="2">
        <v>42164.645879629628</v>
      </c>
      <c r="F710" s="1">
        <v>1</v>
      </c>
      <c r="G710" s="1">
        <v>4</v>
      </c>
      <c r="H710" s="1">
        <v>8</v>
      </c>
      <c r="I710" s="1">
        <v>9</v>
      </c>
      <c r="J710" s="1">
        <v>1</v>
      </c>
      <c r="K710" s="1">
        <v>4</v>
      </c>
      <c r="L710" s="3">
        <v>24.75</v>
      </c>
      <c r="M710" s="3" t="str">
        <f t="shared" si="104"/>
        <v>Jun</v>
      </c>
      <c r="N710" s="2">
        <v>42164.645844907405</v>
      </c>
      <c r="O710" s="1">
        <f t="shared" si="105"/>
        <v>9</v>
      </c>
      <c r="P710" s="1">
        <f t="shared" si="106"/>
        <v>3</v>
      </c>
      <c r="Q710" s="1">
        <f t="shared" si="107"/>
        <v>15</v>
      </c>
      <c r="S710"/>
      <c r="T710"/>
      <c r="U710"/>
    </row>
    <row r="711" spans="1:21" s="1" customFormat="1" x14ac:dyDescent="0.25">
      <c r="A711" s="1">
        <v>743</v>
      </c>
      <c r="B711" s="1" t="s">
        <v>285</v>
      </c>
      <c r="C711" s="1" t="s">
        <v>707</v>
      </c>
      <c r="D711" s="2">
        <v>42009.83556712963</v>
      </c>
      <c r="E711" s="2">
        <v>42045.67559027778</v>
      </c>
      <c r="F711" s="1">
        <v>3</v>
      </c>
      <c r="G711" s="1">
        <v>2</v>
      </c>
      <c r="H711" s="1">
        <v>14</v>
      </c>
      <c r="I711" s="1">
        <v>7</v>
      </c>
      <c r="J711" s="1">
        <v>2</v>
      </c>
      <c r="K711" s="1">
        <v>6</v>
      </c>
      <c r="L711" s="4">
        <v>28.8</v>
      </c>
      <c r="M711" s="3" t="str">
        <f t="shared" si="104"/>
        <v>Jan</v>
      </c>
      <c r="N711" s="2">
        <v>42009.835578703707</v>
      </c>
      <c r="O711" s="1">
        <f t="shared" si="105"/>
        <v>5</v>
      </c>
      <c r="P711" s="1">
        <f t="shared" si="106"/>
        <v>2</v>
      </c>
      <c r="Q711" s="1">
        <f t="shared" si="107"/>
        <v>20</v>
      </c>
      <c r="S711"/>
      <c r="T711"/>
      <c r="U711"/>
    </row>
    <row r="712" spans="1:21" s="1" customFormat="1" x14ac:dyDescent="0.25">
      <c r="A712" s="1">
        <v>744</v>
      </c>
      <c r="B712" s="1" t="s">
        <v>708</v>
      </c>
      <c r="C712" s="1" t="s">
        <v>709</v>
      </c>
      <c r="D712" s="2">
        <v>42172.728530092594</v>
      </c>
      <c r="E712" s="2">
        <v>42172.561874999999</v>
      </c>
      <c r="F712" s="1">
        <v>1</v>
      </c>
      <c r="G712" s="1">
        <v>0</v>
      </c>
      <c r="H712" s="1">
        <v>1</v>
      </c>
      <c r="I712" s="1">
        <v>1</v>
      </c>
      <c r="J712" s="1">
        <v>1</v>
      </c>
      <c r="K712" s="1">
        <v>1</v>
      </c>
      <c r="L712" s="3">
        <v>38.4</v>
      </c>
      <c r="M712" s="3" t="str">
        <f t="shared" si="104"/>
        <v>Jun</v>
      </c>
      <c r="N712" s="2">
        <v>42172.565659722219</v>
      </c>
      <c r="O712" s="1">
        <f t="shared" si="105"/>
        <v>17</v>
      </c>
      <c r="P712" s="1">
        <f t="shared" si="106"/>
        <v>4</v>
      </c>
      <c r="Q712" s="1">
        <f t="shared" si="107"/>
        <v>13</v>
      </c>
      <c r="S712"/>
      <c r="T712"/>
      <c r="U712"/>
    </row>
    <row r="713" spans="1:21" s="1" customFormat="1" x14ac:dyDescent="0.25">
      <c r="A713" s="1">
        <v>745</v>
      </c>
      <c r="D713" s="2">
        <v>41971.977199074077</v>
      </c>
      <c r="E713" s="2">
        <v>42020.788229166668</v>
      </c>
      <c r="F713" s="1">
        <v>3</v>
      </c>
      <c r="G713" s="1">
        <v>1</v>
      </c>
      <c r="H713" s="1">
        <v>18</v>
      </c>
      <c r="I713" s="1">
        <v>5</v>
      </c>
      <c r="J713" s="1">
        <v>1</v>
      </c>
      <c r="K713" s="1">
        <v>6</v>
      </c>
      <c r="L713" s="4">
        <v>43.2</v>
      </c>
      <c r="M713" s="3" t="str">
        <f t="shared" si="104"/>
        <v>Jan</v>
      </c>
      <c r="N713" s="2">
        <v>42012.919965277775</v>
      </c>
      <c r="O713" s="1">
        <f t="shared" si="105"/>
        <v>8</v>
      </c>
      <c r="P713" s="1">
        <f t="shared" si="106"/>
        <v>5</v>
      </c>
      <c r="Q713" s="1">
        <f t="shared" si="107"/>
        <v>22</v>
      </c>
      <c r="S713"/>
      <c r="T713"/>
      <c r="U713"/>
    </row>
    <row r="714" spans="1:21" s="1" customFormat="1" x14ac:dyDescent="0.25">
      <c r="A714" s="1">
        <v>746</v>
      </c>
      <c r="B714" s="1" t="s">
        <v>112</v>
      </c>
      <c r="C714" s="1" t="s">
        <v>710</v>
      </c>
      <c r="D714" s="2">
        <v>42181.862951388888</v>
      </c>
      <c r="E714" s="2">
        <v>42181.696377314816</v>
      </c>
      <c r="F714" s="1">
        <v>1</v>
      </c>
      <c r="G714" s="1">
        <v>14</v>
      </c>
      <c r="H714" s="1">
        <v>6</v>
      </c>
      <c r="I714" s="1">
        <v>3</v>
      </c>
      <c r="J714" s="1">
        <v>1</v>
      </c>
      <c r="K714" s="1">
        <v>3</v>
      </c>
      <c r="L714" s="3">
        <v>138</v>
      </c>
      <c r="M714" s="3" t="str">
        <f t="shared" si="104"/>
        <v>Jun</v>
      </c>
      <c r="N714" s="2">
        <v>42181.696319444447</v>
      </c>
      <c r="O714" s="1">
        <f t="shared" si="105"/>
        <v>26</v>
      </c>
      <c r="P714" s="1">
        <f t="shared" si="106"/>
        <v>6</v>
      </c>
      <c r="Q714" s="1">
        <f t="shared" si="107"/>
        <v>16</v>
      </c>
      <c r="S714"/>
      <c r="T714"/>
      <c r="U714"/>
    </row>
    <row r="715" spans="1:21" s="1" customFormat="1" x14ac:dyDescent="0.25">
      <c r="A715" s="1">
        <v>747</v>
      </c>
      <c r="D715" s="2">
        <v>42198.649155092593</v>
      </c>
      <c r="E715" s="2">
        <v>42198.482499999998</v>
      </c>
      <c r="F715" s="1">
        <v>1</v>
      </c>
      <c r="G715" s="1">
        <v>2</v>
      </c>
      <c r="H715" s="1">
        <v>2</v>
      </c>
      <c r="I715" s="1">
        <v>4</v>
      </c>
      <c r="J715" s="1">
        <v>1</v>
      </c>
      <c r="K715" s="1">
        <v>4</v>
      </c>
      <c r="L715" s="3">
        <v>28.8</v>
      </c>
      <c r="M715" s="3" t="str">
        <f t="shared" si="104"/>
        <v>Jul</v>
      </c>
      <c r="N715" s="2">
        <v>42198.483263888891</v>
      </c>
      <c r="O715" s="1">
        <f t="shared" si="105"/>
        <v>13</v>
      </c>
      <c r="P715" s="1">
        <f t="shared" si="106"/>
        <v>2</v>
      </c>
      <c r="Q715" s="1">
        <f t="shared" si="107"/>
        <v>11</v>
      </c>
      <c r="S715"/>
      <c r="T715"/>
      <c r="U715"/>
    </row>
    <row r="716" spans="1:21" s="1" customFormat="1" x14ac:dyDescent="0.25">
      <c r="A716" s="1">
        <v>748</v>
      </c>
      <c r="B716" s="1" t="s">
        <v>107</v>
      </c>
      <c r="C716" s="1" t="s">
        <v>711</v>
      </c>
      <c r="D716" s="2">
        <v>42059.906493055554</v>
      </c>
      <c r="E716" s="2">
        <v>42059.906550925924</v>
      </c>
      <c r="F716" s="1">
        <v>1</v>
      </c>
      <c r="G716" s="1">
        <v>0</v>
      </c>
      <c r="H716" s="1">
        <v>8</v>
      </c>
      <c r="I716" s="1">
        <v>1</v>
      </c>
      <c r="J716" s="1">
        <v>1</v>
      </c>
      <c r="K716" s="1">
        <v>4</v>
      </c>
      <c r="L716" s="4">
        <v>28.8</v>
      </c>
      <c r="M716" s="3" t="str">
        <f t="shared" si="104"/>
        <v>Feb</v>
      </c>
      <c r="N716" s="2">
        <v>42059.906504629631</v>
      </c>
      <c r="O716" s="1">
        <f t="shared" si="105"/>
        <v>24</v>
      </c>
      <c r="P716" s="1">
        <f t="shared" si="106"/>
        <v>3</v>
      </c>
      <c r="Q716" s="1">
        <f t="shared" si="107"/>
        <v>21</v>
      </c>
      <c r="S716"/>
      <c r="T716"/>
      <c r="U716"/>
    </row>
    <row r="717" spans="1:21" s="1" customFormat="1" x14ac:dyDescent="0.25">
      <c r="A717" s="1">
        <v>749</v>
      </c>
      <c r="B717" s="1" t="s">
        <v>215</v>
      </c>
      <c r="C717" s="1" t="s">
        <v>712</v>
      </c>
      <c r="D717" s="2">
        <v>42244.811909722222</v>
      </c>
      <c r="E717" s="2">
        <v>42244.811932870369</v>
      </c>
      <c r="F717" s="1">
        <v>1</v>
      </c>
      <c r="G717" s="1">
        <v>4</v>
      </c>
      <c r="H717" s="1">
        <v>4</v>
      </c>
      <c r="I717" s="1">
        <v>6</v>
      </c>
      <c r="J717" s="1">
        <v>1</v>
      </c>
      <c r="K717" s="1">
        <v>1</v>
      </c>
      <c r="L717" s="3">
        <v>52.8</v>
      </c>
      <c r="M717" s="3" t="str">
        <f t="shared" si="104"/>
        <v>Aug</v>
      </c>
      <c r="N717" s="2">
        <v>42244.814687500002</v>
      </c>
      <c r="O717" s="1">
        <f t="shared" si="105"/>
        <v>28</v>
      </c>
      <c r="P717" s="1">
        <f t="shared" si="106"/>
        <v>6</v>
      </c>
      <c r="Q717" s="1">
        <f t="shared" si="107"/>
        <v>19</v>
      </c>
      <c r="S717"/>
      <c r="T717"/>
      <c r="U717"/>
    </row>
    <row r="718" spans="1:21" s="1" customFormat="1" x14ac:dyDescent="0.25">
      <c r="A718" s="1">
        <v>750</v>
      </c>
      <c r="D718" s="2">
        <v>42066.802407407406</v>
      </c>
      <c r="E718" s="2">
        <v>42066.802465277775</v>
      </c>
      <c r="F718" s="1">
        <v>1</v>
      </c>
      <c r="G718" s="1">
        <v>0</v>
      </c>
      <c r="H718" s="1">
        <v>2</v>
      </c>
      <c r="I718" s="1">
        <v>1</v>
      </c>
      <c r="J718" s="1">
        <v>1</v>
      </c>
      <c r="K718" s="1">
        <v>3</v>
      </c>
      <c r="L718" s="4">
        <v>27</v>
      </c>
      <c r="M718" s="3" t="str">
        <f t="shared" si="104"/>
        <v>Mar</v>
      </c>
      <c r="N718" s="2">
        <v>42066.805509259262</v>
      </c>
      <c r="O718" s="1">
        <f t="shared" si="105"/>
        <v>3</v>
      </c>
      <c r="P718" s="1">
        <f t="shared" si="106"/>
        <v>3</v>
      </c>
      <c r="Q718" s="1">
        <f t="shared" si="107"/>
        <v>19</v>
      </c>
      <c r="S718"/>
      <c r="T718"/>
      <c r="U718"/>
    </row>
    <row r="719" spans="1:21" s="1" customFormat="1" x14ac:dyDescent="0.25">
      <c r="A719" s="1">
        <v>751</v>
      </c>
      <c r="B719" s="1" t="s">
        <v>96</v>
      </c>
      <c r="C719" s="1" t="s">
        <v>632</v>
      </c>
      <c r="D719" s="2">
        <v>42247.681689814817</v>
      </c>
      <c r="E719" s="2">
        <v>42247.515081018515</v>
      </c>
      <c r="F719" s="1">
        <v>1</v>
      </c>
      <c r="G719" s="1">
        <v>4</v>
      </c>
      <c r="H719" s="1">
        <v>4</v>
      </c>
      <c r="I719" s="1">
        <v>2</v>
      </c>
      <c r="J719" s="1">
        <v>1</v>
      </c>
      <c r="K719" s="1">
        <v>2</v>
      </c>
      <c r="L719" s="3">
        <v>56.1</v>
      </c>
      <c r="M719" s="3" t="str">
        <f t="shared" si="104"/>
        <v>Aug</v>
      </c>
      <c r="N719" s="2">
        <v>42247.515034722222</v>
      </c>
      <c r="O719" s="1">
        <f t="shared" si="105"/>
        <v>31</v>
      </c>
      <c r="P719" s="1">
        <f t="shared" si="106"/>
        <v>2</v>
      </c>
      <c r="Q719" s="1">
        <f t="shared" si="107"/>
        <v>12</v>
      </c>
      <c r="S719"/>
      <c r="T719"/>
      <c r="U719"/>
    </row>
    <row r="720" spans="1:21" s="1" customFormat="1" x14ac:dyDescent="0.25">
      <c r="A720" s="1">
        <v>752</v>
      </c>
      <c r="B720" s="1" t="s">
        <v>103</v>
      </c>
      <c r="C720" s="1" t="s">
        <v>713</v>
      </c>
      <c r="D720" s="2">
        <v>42224.976284722223</v>
      </c>
      <c r="E720" s="2">
        <v>42226.857129629629</v>
      </c>
      <c r="F720" s="1">
        <v>7</v>
      </c>
      <c r="G720" s="1">
        <v>5</v>
      </c>
      <c r="H720" s="1">
        <v>5</v>
      </c>
      <c r="I720" s="1">
        <v>7</v>
      </c>
      <c r="J720" s="1">
        <v>1</v>
      </c>
      <c r="K720" s="1">
        <v>2</v>
      </c>
      <c r="L720" s="3">
        <v>17.600000000000001</v>
      </c>
      <c r="M720" s="3" t="str">
        <f t="shared" si="104"/>
        <v>Aug</v>
      </c>
      <c r="N720" s="2">
        <v>42224.9762962963</v>
      </c>
      <c r="O720" s="1">
        <f t="shared" si="105"/>
        <v>8</v>
      </c>
      <c r="P720" s="1">
        <f t="shared" si="106"/>
        <v>7</v>
      </c>
      <c r="Q720" s="1">
        <f t="shared" si="107"/>
        <v>23</v>
      </c>
      <c r="S720"/>
      <c r="T720"/>
      <c r="U720"/>
    </row>
    <row r="721" spans="1:21" s="1" customFormat="1" x14ac:dyDescent="0.25">
      <c r="A721" s="1">
        <v>753</v>
      </c>
      <c r="B721" s="1" t="s">
        <v>134</v>
      </c>
      <c r="C721" s="1" t="s">
        <v>714</v>
      </c>
      <c r="D721" s="2">
        <v>42217.184189814812</v>
      </c>
      <c r="E721" s="2">
        <v>42217.017592592594</v>
      </c>
      <c r="F721" s="1">
        <v>1</v>
      </c>
      <c r="G721" s="1">
        <v>6</v>
      </c>
      <c r="H721" s="1">
        <v>6</v>
      </c>
      <c r="I721" s="1">
        <v>2</v>
      </c>
      <c r="J721" s="1">
        <v>1</v>
      </c>
      <c r="K721" s="1">
        <v>4</v>
      </c>
      <c r="L721" s="3">
        <v>35.200000000000003</v>
      </c>
      <c r="M721" s="3" t="str">
        <f t="shared" si="104"/>
        <v>Aug</v>
      </c>
      <c r="N721" s="2">
        <v>42217.017534722225</v>
      </c>
      <c r="O721" s="1">
        <f t="shared" si="105"/>
        <v>1</v>
      </c>
      <c r="P721" s="1">
        <f t="shared" si="106"/>
        <v>7</v>
      </c>
      <c r="Q721" s="1">
        <f t="shared" si="107"/>
        <v>0</v>
      </c>
      <c r="S721"/>
      <c r="T721"/>
      <c r="U721"/>
    </row>
    <row r="722" spans="1:21" s="1" customFormat="1" x14ac:dyDescent="0.25">
      <c r="A722" s="1">
        <v>754</v>
      </c>
      <c r="B722" s="1" t="s">
        <v>107</v>
      </c>
      <c r="C722" s="1" t="s">
        <v>715</v>
      </c>
      <c r="D722" s="2">
        <v>42068.704722222225</v>
      </c>
      <c r="E722" s="2">
        <v>42068.704791666663</v>
      </c>
      <c r="F722" s="1">
        <v>1</v>
      </c>
      <c r="G722" s="1">
        <v>0</v>
      </c>
      <c r="H722" s="1">
        <v>10</v>
      </c>
      <c r="I722" s="1">
        <v>1</v>
      </c>
      <c r="J722" s="1">
        <v>1</v>
      </c>
      <c r="K722" s="1">
        <v>5</v>
      </c>
      <c r="L722" s="4">
        <v>36</v>
      </c>
      <c r="M722" s="3" t="str">
        <f t="shared" si="104"/>
        <v>Mar</v>
      </c>
      <c r="N722" s="2">
        <v>42068.704745370371</v>
      </c>
      <c r="O722" s="1">
        <f t="shared" si="105"/>
        <v>5</v>
      </c>
      <c r="P722" s="1">
        <f t="shared" si="106"/>
        <v>5</v>
      </c>
      <c r="Q722" s="1">
        <f t="shared" si="107"/>
        <v>16</v>
      </c>
      <c r="S722"/>
      <c r="T722"/>
      <c r="U722"/>
    </row>
    <row r="723" spans="1:21" s="1" customFormat="1" x14ac:dyDescent="0.25">
      <c r="A723" s="1">
        <v>755</v>
      </c>
      <c r="B723" s="1" t="s">
        <v>134</v>
      </c>
      <c r="C723" s="1" t="s">
        <v>716</v>
      </c>
      <c r="D723" s="2">
        <v>42059.966180555559</v>
      </c>
      <c r="E723" s="2">
        <v>42079.873414351852</v>
      </c>
      <c r="F723" s="1">
        <v>5</v>
      </c>
      <c r="G723" s="1">
        <v>4</v>
      </c>
      <c r="H723" s="1">
        <v>6</v>
      </c>
      <c r="I723" s="1">
        <v>4</v>
      </c>
      <c r="J723" s="1">
        <v>1</v>
      </c>
      <c r="K723" s="1">
        <v>3</v>
      </c>
      <c r="L723" s="4">
        <v>21.6</v>
      </c>
      <c r="M723" s="3" t="str">
        <f t="shared" si="104"/>
        <v>Feb</v>
      </c>
      <c r="N723" s="2">
        <v>42059.966192129628</v>
      </c>
      <c r="O723" s="1">
        <f t="shared" si="105"/>
        <v>24</v>
      </c>
      <c r="P723" s="1">
        <f t="shared" si="106"/>
        <v>3</v>
      </c>
      <c r="Q723" s="1">
        <f t="shared" si="107"/>
        <v>23</v>
      </c>
      <c r="S723"/>
      <c r="T723"/>
      <c r="U723"/>
    </row>
    <row r="724" spans="1:21" s="1" customFormat="1" x14ac:dyDescent="0.25">
      <c r="A724" s="1">
        <v>756</v>
      </c>
      <c r="B724" s="1" t="s">
        <v>100</v>
      </c>
      <c r="C724" s="1" t="s">
        <v>534</v>
      </c>
      <c r="D724" s="2">
        <v>42169.984837962962</v>
      </c>
      <c r="E724" s="2">
        <v>42169.984884259262</v>
      </c>
      <c r="F724" s="1">
        <v>1</v>
      </c>
      <c r="G724" s="1">
        <v>0</v>
      </c>
      <c r="H724" s="1">
        <v>8</v>
      </c>
      <c r="I724" s="1">
        <v>2</v>
      </c>
      <c r="J724" s="1">
        <v>1</v>
      </c>
      <c r="K724" s="1">
        <v>4</v>
      </c>
      <c r="L724" s="3">
        <v>28.8</v>
      </c>
      <c r="M724" s="3" t="str">
        <f t="shared" si="104"/>
        <v>Jun</v>
      </c>
      <c r="N724" s="2">
        <v>42169.984849537039</v>
      </c>
      <c r="O724" s="1">
        <f t="shared" si="105"/>
        <v>14</v>
      </c>
      <c r="P724" s="1">
        <f t="shared" si="106"/>
        <v>1</v>
      </c>
      <c r="Q724" s="1">
        <f t="shared" si="107"/>
        <v>23</v>
      </c>
      <c r="S724"/>
      <c r="T724"/>
      <c r="U724"/>
    </row>
    <row r="725" spans="1:21" s="1" customFormat="1" x14ac:dyDescent="0.25">
      <c r="A725" s="1">
        <v>757</v>
      </c>
      <c r="B725" s="1" t="s">
        <v>83</v>
      </c>
      <c r="C725" s="1" t="s">
        <v>717</v>
      </c>
      <c r="D725" s="2">
        <v>42044.880624999998</v>
      </c>
      <c r="E725" s="2">
        <v>42045.263958333337</v>
      </c>
      <c r="F725" s="1">
        <v>3</v>
      </c>
      <c r="G725" s="1">
        <v>0</v>
      </c>
      <c r="H725" s="1">
        <v>8</v>
      </c>
      <c r="I725" s="1">
        <v>3</v>
      </c>
      <c r="J725" s="1">
        <v>1</v>
      </c>
      <c r="K725" s="1">
        <v>3</v>
      </c>
      <c r="L725" s="4">
        <v>18</v>
      </c>
      <c r="M725" s="3" t="str">
        <f t="shared" si="104"/>
        <v>Feb</v>
      </c>
      <c r="N725" s="2">
        <v>42044.880636574075</v>
      </c>
      <c r="O725" s="1">
        <f t="shared" si="105"/>
        <v>9</v>
      </c>
      <c r="P725" s="1">
        <f t="shared" si="106"/>
        <v>2</v>
      </c>
      <c r="Q725" s="1">
        <f t="shared" si="107"/>
        <v>21</v>
      </c>
      <c r="S725"/>
      <c r="T725"/>
      <c r="U725"/>
    </row>
    <row r="726" spans="1:21" s="1" customFormat="1" x14ac:dyDescent="0.25">
      <c r="A726" s="1">
        <v>758</v>
      </c>
      <c r="C726" s="1" t="s">
        <v>718</v>
      </c>
      <c r="D726" s="2">
        <v>41537.812268518515</v>
      </c>
      <c r="E726" s="2">
        <v>42088.155381944445</v>
      </c>
      <c r="F726" s="1">
        <v>1</v>
      </c>
      <c r="G726" s="1">
        <v>3</v>
      </c>
      <c r="H726" s="1">
        <v>8</v>
      </c>
      <c r="I726" s="1">
        <v>1</v>
      </c>
      <c r="J726" s="1">
        <v>1</v>
      </c>
      <c r="K726" s="1">
        <v>4</v>
      </c>
      <c r="L726" s="4">
        <v>36</v>
      </c>
      <c r="M726" s="3" t="str">
        <f t="shared" si="104"/>
        <v>Mar</v>
      </c>
      <c r="N726" s="2">
        <v>42088.15834490741</v>
      </c>
      <c r="O726" s="1">
        <f t="shared" si="105"/>
        <v>25</v>
      </c>
      <c r="P726" s="1">
        <f t="shared" si="106"/>
        <v>4</v>
      </c>
      <c r="Q726" s="1">
        <f t="shared" si="107"/>
        <v>3</v>
      </c>
      <c r="S726"/>
      <c r="T726"/>
      <c r="U726"/>
    </row>
    <row r="727" spans="1:21" s="1" customFormat="1" x14ac:dyDescent="0.25">
      <c r="A727" s="1">
        <v>759</v>
      </c>
      <c r="D727" s="2">
        <v>42144.507581018515</v>
      </c>
      <c r="E727" s="2">
        <v>42144.507627314815</v>
      </c>
      <c r="F727" s="1">
        <v>1</v>
      </c>
      <c r="G727" s="1">
        <v>2</v>
      </c>
      <c r="H727" s="1">
        <v>4</v>
      </c>
      <c r="I727" s="1">
        <v>2</v>
      </c>
      <c r="J727" s="1">
        <v>1</v>
      </c>
      <c r="K727" s="1">
        <v>2</v>
      </c>
      <c r="L727" s="4">
        <v>18</v>
      </c>
      <c r="M727" s="3" t="str">
        <f t="shared" si="104"/>
        <v>May</v>
      </c>
      <c r="N727" s="2">
        <v>42144.507604166669</v>
      </c>
      <c r="O727" s="1">
        <f t="shared" si="105"/>
        <v>20</v>
      </c>
      <c r="P727" s="1">
        <f t="shared" si="106"/>
        <v>4</v>
      </c>
      <c r="Q727" s="1">
        <f t="shared" si="107"/>
        <v>12</v>
      </c>
      <c r="S727"/>
      <c r="T727"/>
      <c r="U727"/>
    </row>
    <row r="728" spans="1:21" s="1" customFormat="1" x14ac:dyDescent="0.25">
      <c r="A728" s="1">
        <v>761</v>
      </c>
      <c r="B728" s="1" t="s">
        <v>91</v>
      </c>
      <c r="C728" s="1" t="s">
        <v>719</v>
      </c>
      <c r="D728" s="2">
        <v>42117.97011574074</v>
      </c>
      <c r="E728" s="2">
        <v>42117.970185185186</v>
      </c>
      <c r="F728" s="1">
        <v>1</v>
      </c>
      <c r="G728" s="1">
        <v>2</v>
      </c>
      <c r="H728" s="1">
        <v>2</v>
      </c>
      <c r="I728" s="1">
        <v>1</v>
      </c>
      <c r="J728" s="1">
        <v>1</v>
      </c>
      <c r="K728" s="1">
        <v>1</v>
      </c>
      <c r="L728" s="4">
        <v>36</v>
      </c>
      <c r="M728" s="3" t="str">
        <f t="shared" si="104"/>
        <v>Apr</v>
      </c>
      <c r="N728" s="2">
        <v>42117.970127314817</v>
      </c>
      <c r="O728" s="1">
        <f t="shared" ref="O728:O730" si="108">DAY(N728)</f>
        <v>23</v>
      </c>
      <c r="P728" s="1">
        <f t="shared" ref="P728:P730" si="109">WEEKDAY(N728,1)</f>
        <v>5</v>
      </c>
      <c r="Q728" s="1">
        <f t="shared" ref="Q728:Q730" si="110">HOUR(N728)</f>
        <v>23</v>
      </c>
      <c r="S728"/>
      <c r="T728"/>
      <c r="U728"/>
    </row>
    <row r="729" spans="1:21" s="1" customFormat="1" x14ac:dyDescent="0.25">
      <c r="A729" s="1">
        <v>762</v>
      </c>
      <c r="B729" s="1" t="s">
        <v>91</v>
      </c>
      <c r="C729" s="1" t="s">
        <v>720</v>
      </c>
      <c r="D729" s="2">
        <v>42019.641053240739</v>
      </c>
      <c r="E729" s="2">
        <v>42044.59033564815</v>
      </c>
      <c r="F729" s="1">
        <v>2</v>
      </c>
      <c r="G729" s="1">
        <v>0</v>
      </c>
      <c r="H729" s="1">
        <v>4</v>
      </c>
      <c r="I729" s="1">
        <v>4</v>
      </c>
      <c r="J729" s="1">
        <v>2</v>
      </c>
      <c r="K729" s="1">
        <v>15</v>
      </c>
      <c r="L729" s="4">
        <v>27</v>
      </c>
      <c r="M729" s="3" t="str">
        <f t="shared" si="104"/>
        <v>Jan</v>
      </c>
      <c r="N729" s="2">
        <v>42019.641076388885</v>
      </c>
      <c r="O729" s="1">
        <f t="shared" si="108"/>
        <v>15</v>
      </c>
      <c r="P729" s="1">
        <f t="shared" si="109"/>
        <v>5</v>
      </c>
      <c r="Q729" s="1">
        <f t="shared" si="110"/>
        <v>15</v>
      </c>
      <c r="S729"/>
      <c r="T729"/>
      <c r="U729"/>
    </row>
    <row r="730" spans="1:21" s="1" customFormat="1" x14ac:dyDescent="0.25">
      <c r="A730" s="1">
        <v>763</v>
      </c>
      <c r="B730" s="1" t="s">
        <v>112</v>
      </c>
      <c r="C730" s="1" t="s">
        <v>721</v>
      </c>
      <c r="D730" s="2">
        <v>42252.964988425927</v>
      </c>
      <c r="E730" s="2">
        <v>42252.96503472222</v>
      </c>
      <c r="F730" s="1">
        <v>1</v>
      </c>
      <c r="G730" s="1">
        <v>2</v>
      </c>
      <c r="H730" s="1">
        <v>2</v>
      </c>
      <c r="I730" s="1">
        <v>2</v>
      </c>
      <c r="J730" s="1">
        <v>1</v>
      </c>
      <c r="K730" s="1">
        <v>1</v>
      </c>
      <c r="L730" s="3">
        <v>56.32</v>
      </c>
      <c r="M730" s="3" t="str">
        <f t="shared" si="104"/>
        <v>Sep</v>
      </c>
      <c r="N730" s="2">
        <v>42252.964988425927</v>
      </c>
      <c r="O730" s="1">
        <f t="shared" si="108"/>
        <v>5</v>
      </c>
      <c r="P730" s="1">
        <f t="shared" si="109"/>
        <v>7</v>
      </c>
      <c r="Q730" s="1">
        <f t="shared" si="110"/>
        <v>23</v>
      </c>
      <c r="S730"/>
      <c r="T730"/>
      <c r="U730"/>
    </row>
    <row r="731" spans="1:21" s="1" customFormat="1" x14ac:dyDescent="0.25">
      <c r="A731" s="1">
        <v>765</v>
      </c>
      <c r="B731" s="1" t="s">
        <v>109</v>
      </c>
      <c r="C731" s="1" t="s">
        <v>722</v>
      </c>
      <c r="D731" s="2">
        <v>42258.002199074072</v>
      </c>
      <c r="E731" s="2">
        <v>42258.002222222225</v>
      </c>
      <c r="F731" s="1">
        <v>1</v>
      </c>
      <c r="G731" s="1">
        <v>6</v>
      </c>
      <c r="H731" s="1">
        <v>5</v>
      </c>
      <c r="I731" s="1">
        <v>4</v>
      </c>
      <c r="J731" s="1">
        <v>1</v>
      </c>
      <c r="K731" s="1">
        <v>3</v>
      </c>
      <c r="L731" s="3">
        <v>47.52</v>
      </c>
      <c r="M731" s="3" t="str">
        <f t="shared" si="104"/>
        <v>Sep</v>
      </c>
      <c r="N731" s="2">
        <v>42258.018935185188</v>
      </c>
      <c r="O731" s="1">
        <f t="shared" ref="O731:O735" si="111">DAY(N731)</f>
        <v>11</v>
      </c>
      <c r="P731" s="1">
        <f t="shared" ref="P731:P735" si="112">WEEKDAY(N731,1)</f>
        <v>6</v>
      </c>
      <c r="Q731" s="1">
        <f t="shared" ref="Q731:Q735" si="113">HOUR(N731)</f>
        <v>0</v>
      </c>
      <c r="S731"/>
      <c r="T731"/>
      <c r="U731"/>
    </row>
    <row r="732" spans="1:21" s="1" customFormat="1" x14ac:dyDescent="0.25">
      <c r="A732" s="1">
        <v>766</v>
      </c>
      <c r="B732" s="1" t="s">
        <v>285</v>
      </c>
      <c r="C732" s="1" t="s">
        <v>723</v>
      </c>
      <c r="D732" s="2">
        <v>42099.323287037034</v>
      </c>
      <c r="E732" s="2">
        <v>42099.323368055557</v>
      </c>
      <c r="F732" s="1">
        <v>1</v>
      </c>
      <c r="G732" s="1">
        <v>0</v>
      </c>
      <c r="H732" s="1">
        <v>4</v>
      </c>
      <c r="I732" s="1">
        <v>1</v>
      </c>
      <c r="J732" s="1">
        <v>1</v>
      </c>
      <c r="K732" s="1">
        <v>4</v>
      </c>
      <c r="L732" s="4">
        <v>28.8</v>
      </c>
      <c r="M732" s="3" t="str">
        <f t="shared" si="104"/>
        <v>Apr</v>
      </c>
      <c r="N732" s="2">
        <v>42099.323287037034</v>
      </c>
      <c r="O732" s="1">
        <f t="shared" si="111"/>
        <v>5</v>
      </c>
      <c r="P732" s="1">
        <f t="shared" si="112"/>
        <v>1</v>
      </c>
      <c r="Q732" s="1">
        <f t="shared" si="113"/>
        <v>7</v>
      </c>
      <c r="S732"/>
      <c r="T732"/>
      <c r="U732"/>
    </row>
    <row r="733" spans="1:21" s="1" customFormat="1" x14ac:dyDescent="0.25">
      <c r="A733" s="1">
        <v>767</v>
      </c>
      <c r="B733" s="1" t="s">
        <v>724</v>
      </c>
      <c r="C733" s="1" t="s">
        <v>725</v>
      </c>
      <c r="D733" s="2">
        <v>42166.632152777776</v>
      </c>
      <c r="E733" s="2">
        <v>42166.465543981481</v>
      </c>
      <c r="F733" s="1">
        <v>1</v>
      </c>
      <c r="G733" s="1">
        <v>4</v>
      </c>
      <c r="H733" s="1">
        <v>4</v>
      </c>
      <c r="I733" s="1">
        <v>2</v>
      </c>
      <c r="J733" s="1">
        <v>1</v>
      </c>
      <c r="K733" s="1">
        <v>2</v>
      </c>
      <c r="L733" s="3">
        <v>57.6</v>
      </c>
      <c r="M733" s="3" t="str">
        <f t="shared" si="104"/>
        <v>Jun</v>
      </c>
      <c r="N733" s="2">
        <v>42166.465497685182</v>
      </c>
      <c r="O733" s="1">
        <f t="shared" si="111"/>
        <v>11</v>
      </c>
      <c r="P733" s="1">
        <f t="shared" si="112"/>
        <v>5</v>
      </c>
      <c r="Q733" s="1">
        <f t="shared" si="113"/>
        <v>11</v>
      </c>
      <c r="S733"/>
      <c r="T733"/>
      <c r="U733"/>
    </row>
    <row r="734" spans="1:21" s="1" customFormat="1" x14ac:dyDescent="0.25">
      <c r="A734" s="1">
        <v>768</v>
      </c>
      <c r="B734" s="1" t="s">
        <v>76</v>
      </c>
      <c r="C734" s="1" t="s">
        <v>726</v>
      </c>
      <c r="D734" s="2">
        <v>42007.721446759257</v>
      </c>
      <c r="E734" s="2">
        <v>42008.546597222223</v>
      </c>
      <c r="F734" s="1">
        <v>3</v>
      </c>
      <c r="G734" s="1">
        <v>0</v>
      </c>
      <c r="H734" s="1">
        <v>12</v>
      </c>
      <c r="I734" s="1">
        <v>2</v>
      </c>
      <c r="J734" s="1">
        <v>1</v>
      </c>
      <c r="K734" s="1">
        <v>4</v>
      </c>
      <c r="L734" s="4">
        <v>36</v>
      </c>
      <c r="M734" s="3" t="str">
        <f t="shared" si="104"/>
        <v>Jan</v>
      </c>
      <c r="N734" s="2">
        <v>42007.721458333333</v>
      </c>
      <c r="O734" s="1">
        <f t="shared" si="111"/>
        <v>3</v>
      </c>
      <c r="P734" s="1">
        <f t="shared" si="112"/>
        <v>7</v>
      </c>
      <c r="Q734" s="1">
        <f t="shared" si="113"/>
        <v>17</v>
      </c>
      <c r="S734"/>
      <c r="T734"/>
      <c r="U734"/>
    </row>
    <row r="735" spans="1:21" s="1" customFormat="1" x14ac:dyDescent="0.25">
      <c r="A735" s="1">
        <v>769</v>
      </c>
      <c r="B735" s="1" t="s">
        <v>85</v>
      </c>
      <c r="C735" s="1" t="s">
        <v>727</v>
      </c>
      <c r="D735" s="2">
        <v>42070.966377314813</v>
      </c>
      <c r="E735" s="2">
        <v>42070.966423611113</v>
      </c>
      <c r="F735" s="1">
        <v>1</v>
      </c>
      <c r="G735" s="1">
        <v>0</v>
      </c>
      <c r="H735" s="1">
        <v>8</v>
      </c>
      <c r="I735" s="1">
        <v>3</v>
      </c>
      <c r="J735" s="1">
        <v>1</v>
      </c>
      <c r="K735" s="1">
        <v>2</v>
      </c>
      <c r="L735" s="4">
        <v>18</v>
      </c>
      <c r="M735" s="3" t="str">
        <f t="shared" si="104"/>
        <v>Mar</v>
      </c>
      <c r="N735" s="2">
        <v>42070.967974537038</v>
      </c>
      <c r="O735" s="1">
        <f t="shared" si="111"/>
        <v>7</v>
      </c>
      <c r="P735" s="1">
        <f t="shared" si="112"/>
        <v>7</v>
      </c>
      <c r="Q735" s="1">
        <f t="shared" si="113"/>
        <v>23</v>
      </c>
      <c r="S735"/>
      <c r="T735"/>
      <c r="U735"/>
    </row>
    <row r="736" spans="1:21" s="1" customFormat="1" x14ac:dyDescent="0.25">
      <c r="A736" s="1">
        <v>771</v>
      </c>
      <c r="B736" s="1" t="s">
        <v>134</v>
      </c>
      <c r="C736" s="1" t="s">
        <v>135</v>
      </c>
      <c r="D736" s="2">
        <v>42016.528402777774</v>
      </c>
      <c r="E736" s="2">
        <v>42045.517384259256</v>
      </c>
      <c r="F736" s="1">
        <v>6</v>
      </c>
      <c r="G736" s="1">
        <v>0</v>
      </c>
      <c r="H736" s="1">
        <v>11</v>
      </c>
      <c r="I736" s="1">
        <v>8</v>
      </c>
      <c r="J736" s="1">
        <v>2</v>
      </c>
      <c r="K736" s="1">
        <v>8</v>
      </c>
      <c r="L736" s="4">
        <v>9</v>
      </c>
      <c r="M736" s="3" t="str">
        <f t="shared" si="104"/>
        <v>Jan</v>
      </c>
      <c r="N736" s="2">
        <v>42016.528425925928</v>
      </c>
      <c r="O736" s="1">
        <f t="shared" ref="O736:O740" si="114">DAY(N736)</f>
        <v>12</v>
      </c>
      <c r="P736" s="1">
        <f t="shared" ref="P736:P740" si="115">WEEKDAY(N736,1)</f>
        <v>2</v>
      </c>
      <c r="Q736" s="1">
        <f t="shared" ref="Q736:Q740" si="116">HOUR(N736)</f>
        <v>12</v>
      </c>
      <c r="S736"/>
      <c r="T736"/>
      <c r="U736"/>
    </row>
    <row r="737" spans="1:21" s="1" customFormat="1" x14ac:dyDescent="0.25">
      <c r="A737" s="1">
        <v>772</v>
      </c>
      <c r="B737" s="1" t="s">
        <v>85</v>
      </c>
      <c r="C737" s="1" t="s">
        <v>728</v>
      </c>
      <c r="D737" s="2">
        <v>42076.833564814813</v>
      </c>
      <c r="E737" s="2">
        <v>42076.833645833336</v>
      </c>
      <c r="F737" s="1">
        <v>1</v>
      </c>
      <c r="G737" s="1">
        <v>0</v>
      </c>
      <c r="H737" s="1">
        <v>8</v>
      </c>
      <c r="I737" s="1">
        <v>1</v>
      </c>
      <c r="J737" s="1">
        <v>1</v>
      </c>
      <c r="K737" s="1">
        <v>4</v>
      </c>
      <c r="L737" s="4">
        <v>28.8</v>
      </c>
      <c r="M737" s="3" t="str">
        <f t="shared" si="104"/>
        <v>Mar</v>
      </c>
      <c r="N737" s="2">
        <v>42076.833587962959</v>
      </c>
      <c r="O737" s="1">
        <f t="shared" si="114"/>
        <v>13</v>
      </c>
      <c r="P737" s="1">
        <f t="shared" si="115"/>
        <v>6</v>
      </c>
      <c r="Q737" s="1">
        <f t="shared" si="116"/>
        <v>20</v>
      </c>
      <c r="S737"/>
      <c r="T737"/>
      <c r="U737"/>
    </row>
    <row r="738" spans="1:21" s="1" customFormat="1" x14ac:dyDescent="0.25">
      <c r="A738" s="1">
        <v>773</v>
      </c>
      <c r="D738" s="2">
        <v>42041.916284722225</v>
      </c>
      <c r="E738" s="2">
        <v>42041.916342592594</v>
      </c>
      <c r="F738" s="1">
        <v>1</v>
      </c>
      <c r="G738" s="1">
        <v>0</v>
      </c>
      <c r="H738" s="1">
        <v>4</v>
      </c>
      <c r="I738" s="1">
        <v>2</v>
      </c>
      <c r="J738" s="1">
        <v>1</v>
      </c>
      <c r="K738" s="1">
        <v>2</v>
      </c>
      <c r="L738" s="4">
        <v>52.7</v>
      </c>
      <c r="M738" s="3" t="str">
        <f t="shared" si="104"/>
        <v>Feb</v>
      </c>
      <c r="N738" s="2">
        <v>42041.916307870371</v>
      </c>
      <c r="O738" s="1">
        <f t="shared" si="114"/>
        <v>6</v>
      </c>
      <c r="P738" s="1">
        <f t="shared" si="115"/>
        <v>6</v>
      </c>
      <c r="Q738" s="1">
        <f t="shared" si="116"/>
        <v>21</v>
      </c>
      <c r="S738"/>
      <c r="T738"/>
      <c r="U738"/>
    </row>
    <row r="739" spans="1:21" s="1" customFormat="1" x14ac:dyDescent="0.25">
      <c r="A739" s="1">
        <v>774</v>
      </c>
      <c r="B739" s="1" t="s">
        <v>100</v>
      </c>
      <c r="C739" s="1" t="s">
        <v>729</v>
      </c>
      <c r="D739" s="2">
        <v>42198.808275462965</v>
      </c>
      <c r="E739" s="2">
        <v>42198.738645833335</v>
      </c>
      <c r="F739" s="1">
        <v>3</v>
      </c>
      <c r="G739" s="1">
        <v>4</v>
      </c>
      <c r="H739" s="1">
        <v>4</v>
      </c>
      <c r="I739" s="1">
        <v>2</v>
      </c>
      <c r="J739" s="1">
        <v>1</v>
      </c>
      <c r="K739" s="1">
        <v>2</v>
      </c>
      <c r="L739" s="3">
        <v>72</v>
      </c>
      <c r="M739" s="3" t="str">
        <f t="shared" si="104"/>
        <v>Jul</v>
      </c>
      <c r="N739" s="2">
        <v>42198.64162037037</v>
      </c>
      <c r="O739" s="1">
        <f t="shared" si="114"/>
        <v>13</v>
      </c>
      <c r="P739" s="1">
        <f t="shared" si="115"/>
        <v>2</v>
      </c>
      <c r="Q739" s="1">
        <f t="shared" si="116"/>
        <v>15</v>
      </c>
      <c r="S739"/>
      <c r="T739"/>
      <c r="U739"/>
    </row>
    <row r="740" spans="1:21" s="1" customFormat="1" x14ac:dyDescent="0.25">
      <c r="A740" s="1">
        <v>775</v>
      </c>
      <c r="B740" s="1" t="s">
        <v>274</v>
      </c>
      <c r="C740" s="1" t="s">
        <v>730</v>
      </c>
      <c r="D740" s="2">
        <v>42272.025856481479</v>
      </c>
      <c r="E740" s="2">
        <v>42271.859236111108</v>
      </c>
      <c r="F740" s="1">
        <v>1</v>
      </c>
      <c r="G740" s="1">
        <v>2</v>
      </c>
      <c r="H740" s="1">
        <v>2</v>
      </c>
      <c r="I740" s="1">
        <v>2</v>
      </c>
      <c r="J740" s="1">
        <v>1</v>
      </c>
      <c r="K740" s="1">
        <v>1</v>
      </c>
      <c r="L740" s="3">
        <v>29.92</v>
      </c>
      <c r="M740" s="3" t="str">
        <f t="shared" si="104"/>
        <v>Sep</v>
      </c>
      <c r="N740" s="2">
        <v>42271.859201388892</v>
      </c>
      <c r="O740" s="1">
        <f t="shared" si="114"/>
        <v>24</v>
      </c>
      <c r="P740" s="1">
        <f t="shared" si="115"/>
        <v>5</v>
      </c>
      <c r="Q740" s="1">
        <f t="shared" si="116"/>
        <v>20</v>
      </c>
      <c r="S740"/>
      <c r="T740"/>
      <c r="U740"/>
    </row>
    <row r="741" spans="1:21" s="1" customFormat="1" x14ac:dyDescent="0.25">
      <c r="A741" s="1">
        <v>777</v>
      </c>
      <c r="B741" s="1" t="s">
        <v>100</v>
      </c>
      <c r="C741" s="1" t="s">
        <v>308</v>
      </c>
      <c r="D741" s="2">
        <v>42156.631724537037</v>
      </c>
      <c r="E741" s="2">
        <v>42156.631782407407</v>
      </c>
      <c r="F741" s="1">
        <v>1</v>
      </c>
      <c r="G741" s="1">
        <v>18</v>
      </c>
      <c r="H741" s="1">
        <v>10</v>
      </c>
      <c r="I741" s="1">
        <v>7</v>
      </c>
      <c r="J741" s="1">
        <v>1</v>
      </c>
      <c r="K741" s="1">
        <v>6</v>
      </c>
      <c r="L741" s="3">
        <v>60.75</v>
      </c>
      <c r="M741" s="3" t="str">
        <f t="shared" si="104"/>
        <v>Jun</v>
      </c>
      <c r="N741" s="2">
        <v>42156.631736111114</v>
      </c>
      <c r="O741" s="1">
        <f t="shared" ref="O741:O803" si="117">DAY(N741)</f>
        <v>1</v>
      </c>
      <c r="P741" s="1">
        <f t="shared" ref="P741:P803" si="118">WEEKDAY(N741,1)</f>
        <v>2</v>
      </c>
      <c r="Q741" s="1">
        <f t="shared" ref="Q741:Q803" si="119">HOUR(N741)</f>
        <v>15</v>
      </c>
      <c r="S741"/>
      <c r="T741"/>
      <c r="U741"/>
    </row>
    <row r="742" spans="1:21" s="1" customFormat="1" x14ac:dyDescent="0.25">
      <c r="A742" s="1">
        <v>778</v>
      </c>
      <c r="B742" s="1" t="s">
        <v>100</v>
      </c>
      <c r="C742" s="1" t="s">
        <v>731</v>
      </c>
      <c r="D742" s="2">
        <v>42081.892314814817</v>
      </c>
      <c r="E742" s="2">
        <v>42081.892361111109</v>
      </c>
      <c r="F742" s="1">
        <v>1</v>
      </c>
      <c r="G742" s="1">
        <v>2</v>
      </c>
      <c r="H742" s="1">
        <v>4</v>
      </c>
      <c r="I742" s="1">
        <v>1</v>
      </c>
      <c r="J742" s="1">
        <v>1</v>
      </c>
      <c r="K742" s="1">
        <v>4</v>
      </c>
      <c r="L742" s="4">
        <v>28.8</v>
      </c>
      <c r="M742" s="3" t="str">
        <f t="shared" si="104"/>
        <v>Mar</v>
      </c>
      <c r="N742" s="2">
        <v>42081.892326388886</v>
      </c>
      <c r="O742" s="1">
        <f t="shared" si="117"/>
        <v>18</v>
      </c>
      <c r="P742" s="1">
        <f t="shared" si="118"/>
        <v>4</v>
      </c>
      <c r="Q742" s="1">
        <f t="shared" si="119"/>
        <v>21</v>
      </c>
      <c r="S742"/>
      <c r="T742"/>
      <c r="U742"/>
    </row>
    <row r="743" spans="1:21" s="1" customFormat="1" x14ac:dyDescent="0.25">
      <c r="A743" s="1">
        <v>779</v>
      </c>
      <c r="B743" s="1" t="s">
        <v>100</v>
      </c>
      <c r="C743" s="1" t="s">
        <v>732</v>
      </c>
      <c r="D743" s="2">
        <v>42087.821145833332</v>
      </c>
      <c r="E743" s="2">
        <v>42087.821180555555</v>
      </c>
      <c r="F743" s="1">
        <v>1</v>
      </c>
      <c r="G743" s="1">
        <v>0</v>
      </c>
      <c r="H743" s="1">
        <v>2</v>
      </c>
      <c r="I743" s="1">
        <v>2</v>
      </c>
      <c r="J743" s="1">
        <v>1</v>
      </c>
      <c r="K743" s="1">
        <v>1</v>
      </c>
      <c r="L743" s="4">
        <v>72</v>
      </c>
      <c r="M743" s="3" t="str">
        <f t="shared" si="104"/>
        <v>Mar</v>
      </c>
      <c r="N743" s="2">
        <v>42087.823113425926</v>
      </c>
      <c r="O743" s="1">
        <f t="shared" si="117"/>
        <v>24</v>
      </c>
      <c r="P743" s="1">
        <f t="shared" si="118"/>
        <v>3</v>
      </c>
      <c r="Q743" s="1">
        <f t="shared" si="119"/>
        <v>19</v>
      </c>
      <c r="S743"/>
      <c r="T743"/>
      <c r="U743"/>
    </row>
    <row r="744" spans="1:21" s="1" customFormat="1" x14ac:dyDescent="0.25">
      <c r="A744" s="1">
        <v>780</v>
      </c>
      <c r="B744" s="1" t="s">
        <v>239</v>
      </c>
      <c r="C744" s="1" t="s">
        <v>733</v>
      </c>
      <c r="D744" s="2">
        <v>42055.496759259258</v>
      </c>
      <c r="E744" s="2">
        <v>42055.496805555558</v>
      </c>
      <c r="F744" s="1">
        <v>1</v>
      </c>
      <c r="G744" s="1">
        <v>0</v>
      </c>
      <c r="H744" s="1">
        <v>2</v>
      </c>
      <c r="I744" s="1">
        <v>1</v>
      </c>
      <c r="J744" s="1">
        <v>1</v>
      </c>
      <c r="K744" s="1">
        <v>4</v>
      </c>
      <c r="L744" s="4">
        <v>28.8</v>
      </c>
      <c r="M744" s="3" t="str">
        <f t="shared" si="104"/>
        <v>Feb</v>
      </c>
      <c r="N744" s="2">
        <v>42055.496770833335</v>
      </c>
      <c r="O744" s="1">
        <f t="shared" si="117"/>
        <v>20</v>
      </c>
      <c r="P744" s="1">
        <f t="shared" si="118"/>
        <v>6</v>
      </c>
      <c r="Q744" s="1">
        <f t="shared" si="119"/>
        <v>11</v>
      </c>
      <c r="S744"/>
      <c r="T744"/>
      <c r="U744"/>
    </row>
    <row r="745" spans="1:21" s="1" customFormat="1" x14ac:dyDescent="0.25">
      <c r="A745" s="1">
        <v>781</v>
      </c>
      <c r="B745" s="1" t="s">
        <v>123</v>
      </c>
      <c r="C745" s="1" t="s">
        <v>734</v>
      </c>
      <c r="D745" s="2">
        <v>42041.985821759263</v>
      </c>
      <c r="E745" s="2">
        <v>42042.567696759259</v>
      </c>
      <c r="F745" s="1">
        <v>2</v>
      </c>
      <c r="G745" s="1">
        <v>1</v>
      </c>
      <c r="H745" s="1">
        <v>2</v>
      </c>
      <c r="I745" s="1">
        <v>2</v>
      </c>
      <c r="J745" s="1">
        <v>1</v>
      </c>
      <c r="K745" s="1">
        <v>1</v>
      </c>
      <c r="L745" s="4">
        <v>30.6</v>
      </c>
      <c r="M745" s="3" t="str">
        <f t="shared" si="104"/>
        <v>Feb</v>
      </c>
      <c r="N745" s="2">
        <v>42041.985833333332</v>
      </c>
      <c r="O745" s="1">
        <f t="shared" si="117"/>
        <v>6</v>
      </c>
      <c r="P745" s="1">
        <f t="shared" si="118"/>
        <v>6</v>
      </c>
      <c r="Q745" s="1">
        <f t="shared" si="119"/>
        <v>23</v>
      </c>
      <c r="S745"/>
      <c r="T745"/>
      <c r="U745"/>
    </row>
    <row r="746" spans="1:21" s="1" customFormat="1" x14ac:dyDescent="0.25">
      <c r="A746" s="1">
        <v>782</v>
      </c>
      <c r="D746" s="2">
        <v>42163.938275462962</v>
      </c>
      <c r="E746" s="2">
        <v>42163.771631944444</v>
      </c>
      <c r="F746" s="1">
        <v>1</v>
      </c>
      <c r="G746" s="1">
        <v>4</v>
      </c>
      <c r="H746" s="1">
        <v>4</v>
      </c>
      <c r="I746" s="1">
        <v>2</v>
      </c>
      <c r="J746" s="1">
        <v>1</v>
      </c>
      <c r="K746" s="1">
        <v>2</v>
      </c>
      <c r="L746" s="3">
        <v>38.4</v>
      </c>
      <c r="M746" s="3" t="str">
        <f t="shared" si="104"/>
        <v>Jun</v>
      </c>
      <c r="N746" s="2">
        <v>42163.773379629631</v>
      </c>
      <c r="O746" s="1">
        <f t="shared" si="117"/>
        <v>8</v>
      </c>
      <c r="P746" s="1">
        <f t="shared" si="118"/>
        <v>2</v>
      </c>
      <c r="Q746" s="1">
        <f t="shared" si="119"/>
        <v>18</v>
      </c>
      <c r="S746"/>
      <c r="T746"/>
      <c r="U746"/>
    </row>
    <row r="747" spans="1:21" s="1" customFormat="1" x14ac:dyDescent="0.25">
      <c r="A747" s="1">
        <v>783</v>
      </c>
      <c r="B747" s="1" t="s">
        <v>87</v>
      </c>
      <c r="C747" s="1" t="s">
        <v>735</v>
      </c>
      <c r="D747" s="2">
        <v>42014.658784722225</v>
      </c>
      <c r="E747" s="2">
        <v>42069.915914351855</v>
      </c>
      <c r="F747" s="1">
        <v>2</v>
      </c>
      <c r="G747" s="1">
        <v>5</v>
      </c>
      <c r="H747" s="1">
        <v>3</v>
      </c>
      <c r="I747" s="1">
        <v>6</v>
      </c>
      <c r="J747" s="1">
        <v>2</v>
      </c>
      <c r="K747" s="1">
        <v>2</v>
      </c>
      <c r="L747" s="4">
        <v>72</v>
      </c>
      <c r="M747" s="3" t="str">
        <f t="shared" si="104"/>
        <v>Jan</v>
      </c>
      <c r="N747" s="2">
        <v>42014.658796296295</v>
      </c>
      <c r="O747" s="1">
        <f t="shared" si="117"/>
        <v>10</v>
      </c>
      <c r="P747" s="1">
        <f t="shared" si="118"/>
        <v>7</v>
      </c>
      <c r="Q747" s="1">
        <f t="shared" si="119"/>
        <v>15</v>
      </c>
      <c r="S747"/>
      <c r="T747"/>
      <c r="U747"/>
    </row>
    <row r="748" spans="1:21" s="1" customFormat="1" x14ac:dyDescent="0.25">
      <c r="A748" s="1">
        <v>784</v>
      </c>
      <c r="D748" s="2">
        <v>42158.750763888886</v>
      </c>
      <c r="E748" s="2">
        <v>42158.584201388891</v>
      </c>
      <c r="F748" s="1">
        <v>1</v>
      </c>
      <c r="G748" s="1">
        <v>2</v>
      </c>
      <c r="H748" s="1">
        <v>10</v>
      </c>
      <c r="I748" s="1">
        <v>7</v>
      </c>
      <c r="J748" s="1">
        <v>1</v>
      </c>
      <c r="K748" s="1">
        <v>3</v>
      </c>
      <c r="L748" s="3">
        <v>81.599999999999994</v>
      </c>
      <c r="M748" s="3" t="str">
        <f t="shared" si="104"/>
        <v>Jun</v>
      </c>
      <c r="N748" s="2">
        <v>42158.596354166664</v>
      </c>
      <c r="O748" s="1">
        <f t="shared" si="117"/>
        <v>3</v>
      </c>
      <c r="P748" s="1">
        <f t="shared" si="118"/>
        <v>4</v>
      </c>
      <c r="Q748" s="1">
        <f t="shared" si="119"/>
        <v>14</v>
      </c>
      <c r="S748"/>
      <c r="T748"/>
      <c r="U748"/>
    </row>
    <row r="749" spans="1:21" s="1" customFormat="1" x14ac:dyDescent="0.25">
      <c r="A749" s="1">
        <v>785</v>
      </c>
      <c r="B749" s="1" t="s">
        <v>116</v>
      </c>
      <c r="C749" s="1" t="s">
        <v>736</v>
      </c>
      <c r="D749" s="2">
        <v>42052.646678240744</v>
      </c>
      <c r="E749" s="2">
        <v>42052.646736111114</v>
      </c>
      <c r="F749" s="1">
        <v>1</v>
      </c>
      <c r="G749" s="1">
        <v>0</v>
      </c>
      <c r="H749" s="1">
        <v>4</v>
      </c>
      <c r="I749" s="1">
        <v>1</v>
      </c>
      <c r="J749" s="1">
        <v>1</v>
      </c>
      <c r="K749" s="1">
        <v>2</v>
      </c>
      <c r="L749" s="4">
        <v>9</v>
      </c>
      <c r="M749" s="3" t="str">
        <f t="shared" si="104"/>
        <v>Feb</v>
      </c>
      <c r="N749" s="2">
        <v>42052.646701388891</v>
      </c>
      <c r="O749" s="1">
        <f t="shared" si="117"/>
        <v>17</v>
      </c>
      <c r="P749" s="1">
        <f t="shared" si="118"/>
        <v>3</v>
      </c>
      <c r="Q749" s="1">
        <f t="shared" si="119"/>
        <v>15</v>
      </c>
      <c r="S749"/>
      <c r="T749"/>
      <c r="U749"/>
    </row>
    <row r="750" spans="1:21" s="1" customFormat="1" x14ac:dyDescent="0.25">
      <c r="A750" s="1">
        <v>786</v>
      </c>
      <c r="B750" s="1" t="s">
        <v>123</v>
      </c>
      <c r="C750" s="1" t="s">
        <v>737</v>
      </c>
      <c r="D750" s="2">
        <v>42214.822337962964</v>
      </c>
      <c r="E750" s="2">
        <v>42214.822384259256</v>
      </c>
      <c r="F750" s="1">
        <v>1</v>
      </c>
      <c r="G750" s="1">
        <v>4</v>
      </c>
      <c r="H750" s="1">
        <v>10</v>
      </c>
      <c r="I750" s="1">
        <v>5</v>
      </c>
      <c r="J750" s="1">
        <v>1</v>
      </c>
      <c r="K750" s="1">
        <v>5</v>
      </c>
      <c r="L750" s="3">
        <v>187</v>
      </c>
      <c r="M750" s="3" t="str">
        <f t="shared" si="104"/>
        <v>Jul</v>
      </c>
      <c r="N750" s="2">
        <v>42214.822337962964</v>
      </c>
      <c r="O750" s="1">
        <f t="shared" si="117"/>
        <v>29</v>
      </c>
      <c r="P750" s="1">
        <f t="shared" si="118"/>
        <v>4</v>
      </c>
      <c r="Q750" s="1">
        <f t="shared" si="119"/>
        <v>19</v>
      </c>
      <c r="S750"/>
      <c r="T750"/>
      <c r="U750"/>
    </row>
    <row r="751" spans="1:21" s="1" customFormat="1" x14ac:dyDescent="0.25">
      <c r="A751" s="1">
        <v>787</v>
      </c>
      <c r="D751" s="2">
        <v>42039.507997685185</v>
      </c>
      <c r="E751" s="2">
        <v>42039.730682870373</v>
      </c>
      <c r="F751" s="1">
        <v>2</v>
      </c>
      <c r="G751" s="1">
        <v>0</v>
      </c>
      <c r="H751" s="1">
        <v>9</v>
      </c>
      <c r="I751" s="1">
        <v>17</v>
      </c>
      <c r="J751" s="1">
        <v>1</v>
      </c>
      <c r="K751" s="1">
        <v>4</v>
      </c>
      <c r="L751" s="4">
        <v>30.6</v>
      </c>
      <c r="M751" s="3" t="str">
        <f t="shared" si="104"/>
        <v>Feb</v>
      </c>
      <c r="N751" s="2">
        <v>42039.738136574073</v>
      </c>
      <c r="O751" s="1">
        <f t="shared" si="117"/>
        <v>4</v>
      </c>
      <c r="P751" s="1">
        <f t="shared" si="118"/>
        <v>4</v>
      </c>
      <c r="Q751" s="1">
        <f t="shared" si="119"/>
        <v>17</v>
      </c>
      <c r="S751"/>
      <c r="T751"/>
      <c r="U751"/>
    </row>
    <row r="752" spans="1:21" s="1" customFormat="1" x14ac:dyDescent="0.25">
      <c r="A752" s="1">
        <v>788</v>
      </c>
      <c r="B752" s="1" t="s">
        <v>134</v>
      </c>
      <c r="C752" s="1" t="s">
        <v>167</v>
      </c>
      <c r="D752" s="2">
        <v>42065.957245370373</v>
      </c>
      <c r="E752" s="2">
        <v>42065.957268518519</v>
      </c>
      <c r="F752" s="1">
        <v>1</v>
      </c>
      <c r="G752" s="1">
        <v>1</v>
      </c>
      <c r="H752" s="1">
        <v>2</v>
      </c>
      <c r="I752" s="1">
        <v>1</v>
      </c>
      <c r="J752" s="1">
        <v>1</v>
      </c>
      <c r="K752" s="1">
        <v>2</v>
      </c>
      <c r="L752" s="4">
        <v>36</v>
      </c>
      <c r="M752" s="3" t="str">
        <f t="shared" si="104"/>
        <v>Mar</v>
      </c>
      <c r="N752" s="2">
        <v>42065.963020833333</v>
      </c>
      <c r="O752" s="1">
        <f t="shared" si="117"/>
        <v>2</v>
      </c>
      <c r="P752" s="1">
        <f t="shared" si="118"/>
        <v>2</v>
      </c>
      <c r="Q752" s="1">
        <f t="shared" si="119"/>
        <v>23</v>
      </c>
      <c r="S752"/>
      <c r="T752"/>
      <c r="U752"/>
    </row>
    <row r="753" spans="1:21" s="1" customFormat="1" x14ac:dyDescent="0.25">
      <c r="A753" s="1">
        <v>789</v>
      </c>
      <c r="B753" s="1" t="s">
        <v>78</v>
      </c>
      <c r="C753" s="1" t="s">
        <v>738</v>
      </c>
      <c r="D753" s="2">
        <v>42182.826284722221</v>
      </c>
      <c r="E753" s="2">
        <v>42182.826365740744</v>
      </c>
      <c r="F753" s="1">
        <v>1</v>
      </c>
      <c r="G753" s="1">
        <v>10</v>
      </c>
      <c r="H753" s="1">
        <v>4</v>
      </c>
      <c r="I753" s="1">
        <v>2</v>
      </c>
      <c r="J753" s="1">
        <v>1</v>
      </c>
      <c r="K753" s="1">
        <v>2</v>
      </c>
      <c r="L753" s="3">
        <v>38.4</v>
      </c>
      <c r="M753" s="3" t="str">
        <f t="shared" si="104"/>
        <v>Jun</v>
      </c>
      <c r="N753" s="2">
        <v>42182.826296296298</v>
      </c>
      <c r="O753" s="1">
        <f t="shared" si="117"/>
        <v>27</v>
      </c>
      <c r="P753" s="1">
        <f t="shared" si="118"/>
        <v>7</v>
      </c>
      <c r="Q753" s="1">
        <f t="shared" si="119"/>
        <v>19</v>
      </c>
      <c r="S753"/>
      <c r="T753"/>
      <c r="U753"/>
    </row>
    <row r="754" spans="1:21" s="1" customFormat="1" x14ac:dyDescent="0.25">
      <c r="A754" s="1">
        <v>791</v>
      </c>
      <c r="B754" s="1" t="s">
        <v>100</v>
      </c>
      <c r="C754" s="1" t="s">
        <v>739</v>
      </c>
      <c r="D754" s="2">
        <v>42065.901585648149</v>
      </c>
      <c r="E754" s="2">
        <v>42065.901666666665</v>
      </c>
      <c r="F754" s="1">
        <v>1</v>
      </c>
      <c r="G754" s="1">
        <v>0</v>
      </c>
      <c r="H754" s="1">
        <v>12</v>
      </c>
      <c r="I754" s="1">
        <v>1</v>
      </c>
      <c r="J754" s="1">
        <v>1</v>
      </c>
      <c r="K754" s="1">
        <v>15</v>
      </c>
      <c r="L754" s="4">
        <v>108</v>
      </c>
      <c r="M754" s="3" t="str">
        <f t="shared" si="104"/>
        <v>Mar</v>
      </c>
      <c r="N754" s="2">
        <v>42065.901597222219</v>
      </c>
      <c r="O754" s="1">
        <f t="shared" si="117"/>
        <v>2</v>
      </c>
      <c r="P754" s="1">
        <f t="shared" si="118"/>
        <v>2</v>
      </c>
      <c r="Q754" s="1">
        <f t="shared" si="119"/>
        <v>21</v>
      </c>
      <c r="S754"/>
      <c r="T754"/>
      <c r="U754"/>
    </row>
    <row r="755" spans="1:21" s="1" customFormat="1" x14ac:dyDescent="0.25">
      <c r="A755" s="1">
        <v>792</v>
      </c>
      <c r="D755" s="2">
        <v>42141.753900462965</v>
      </c>
      <c r="E755" s="2">
        <v>42141.587256944447</v>
      </c>
      <c r="F755" s="1">
        <v>1</v>
      </c>
      <c r="G755" s="1">
        <v>3</v>
      </c>
      <c r="H755" s="1">
        <v>5</v>
      </c>
      <c r="I755" s="1">
        <v>3</v>
      </c>
      <c r="J755" s="1">
        <v>1</v>
      </c>
      <c r="K755" s="1">
        <v>2</v>
      </c>
      <c r="L755" s="4">
        <v>18</v>
      </c>
      <c r="M755" s="3" t="str">
        <f t="shared" si="104"/>
        <v>May</v>
      </c>
      <c r="N755" s="2">
        <v>42141.59269675926</v>
      </c>
      <c r="O755" s="1">
        <f t="shared" si="117"/>
        <v>17</v>
      </c>
      <c r="P755" s="1">
        <f t="shared" si="118"/>
        <v>1</v>
      </c>
      <c r="Q755" s="1">
        <f t="shared" si="119"/>
        <v>14</v>
      </c>
      <c r="S755"/>
      <c r="T755"/>
      <c r="U755"/>
    </row>
    <row r="756" spans="1:21" s="1" customFormat="1" x14ac:dyDescent="0.25">
      <c r="A756" s="1">
        <v>793</v>
      </c>
      <c r="B756" s="1" t="s">
        <v>83</v>
      </c>
      <c r="C756" s="1" t="s">
        <v>740</v>
      </c>
      <c r="D756" s="2">
        <v>41909.918333333335</v>
      </c>
      <c r="E756" s="2">
        <v>42071.0159375</v>
      </c>
      <c r="F756" s="1">
        <v>6</v>
      </c>
      <c r="G756" s="1">
        <v>7</v>
      </c>
      <c r="H756" s="1">
        <v>3</v>
      </c>
      <c r="I756" s="1">
        <v>8</v>
      </c>
      <c r="J756" s="1">
        <v>2</v>
      </c>
      <c r="K756" s="1">
        <v>2</v>
      </c>
      <c r="L756" s="4">
        <v>36</v>
      </c>
      <c r="M756" s="3" t="str">
        <f t="shared" si="104"/>
        <v>Feb</v>
      </c>
      <c r="N756" s="2">
        <v>42044.480740740742</v>
      </c>
      <c r="O756" s="1">
        <f t="shared" si="117"/>
        <v>9</v>
      </c>
      <c r="P756" s="1">
        <f t="shared" si="118"/>
        <v>2</v>
      </c>
      <c r="Q756" s="1">
        <f t="shared" si="119"/>
        <v>11</v>
      </c>
      <c r="S756"/>
      <c r="T756"/>
      <c r="U756"/>
    </row>
    <row r="757" spans="1:21" s="1" customFormat="1" x14ac:dyDescent="0.25">
      <c r="A757" s="1">
        <v>794</v>
      </c>
      <c r="B757" s="1" t="s">
        <v>285</v>
      </c>
      <c r="C757" s="1" t="s">
        <v>741</v>
      </c>
      <c r="D757" s="2">
        <v>42187.56931712963</v>
      </c>
      <c r="E757" s="2">
        <v>42187.402696759258</v>
      </c>
      <c r="F757" s="1">
        <v>1</v>
      </c>
      <c r="G757" s="1">
        <v>0</v>
      </c>
      <c r="H757" s="1">
        <v>2</v>
      </c>
      <c r="I757" s="1">
        <v>2</v>
      </c>
      <c r="J757" s="1">
        <v>1</v>
      </c>
      <c r="K757" s="1">
        <v>1</v>
      </c>
      <c r="L757" s="3">
        <v>38.4</v>
      </c>
      <c r="M757" s="3" t="str">
        <f t="shared" si="104"/>
        <v>Jul</v>
      </c>
      <c r="N757" s="2">
        <v>42187.402662037035</v>
      </c>
      <c r="O757" s="1">
        <f t="shared" si="117"/>
        <v>2</v>
      </c>
      <c r="P757" s="1">
        <f t="shared" si="118"/>
        <v>5</v>
      </c>
      <c r="Q757" s="1">
        <f t="shared" si="119"/>
        <v>9</v>
      </c>
      <c r="S757"/>
      <c r="T757"/>
      <c r="U757"/>
    </row>
    <row r="758" spans="1:21" s="1" customFormat="1" x14ac:dyDescent="0.25">
      <c r="A758" s="1">
        <v>795</v>
      </c>
      <c r="B758" s="1" t="s">
        <v>134</v>
      </c>
      <c r="C758" s="1" t="s">
        <v>326</v>
      </c>
      <c r="D758" s="2">
        <v>42145.880613425928</v>
      </c>
      <c r="E758" s="2">
        <v>42145.880648148152</v>
      </c>
      <c r="F758" s="1">
        <v>1</v>
      </c>
      <c r="G758" s="1">
        <v>0</v>
      </c>
      <c r="H758" s="1">
        <v>4</v>
      </c>
      <c r="I758" s="1">
        <v>5</v>
      </c>
      <c r="J758" s="1">
        <v>1</v>
      </c>
      <c r="K758" s="1">
        <v>1</v>
      </c>
      <c r="L758" s="4">
        <v>28.8</v>
      </c>
      <c r="M758" s="3" t="str">
        <f t="shared" si="104"/>
        <v>May</v>
      </c>
      <c r="N758" s="2">
        <v>42145.880624999998</v>
      </c>
      <c r="O758" s="1">
        <f t="shared" si="117"/>
        <v>21</v>
      </c>
      <c r="P758" s="1">
        <f t="shared" si="118"/>
        <v>5</v>
      </c>
      <c r="Q758" s="1">
        <f t="shared" si="119"/>
        <v>21</v>
      </c>
      <c r="S758"/>
      <c r="T758"/>
      <c r="U758"/>
    </row>
    <row r="759" spans="1:21" s="1" customFormat="1" x14ac:dyDescent="0.25">
      <c r="A759" s="1">
        <v>796</v>
      </c>
      <c r="B759" s="1" t="s">
        <v>210</v>
      </c>
      <c r="C759" s="1" t="s">
        <v>742</v>
      </c>
      <c r="D759" s="2">
        <v>42074.952731481484</v>
      </c>
      <c r="E759" s="2">
        <v>42074.9528125</v>
      </c>
      <c r="F759" s="1">
        <v>1</v>
      </c>
      <c r="G759" s="1">
        <v>0</v>
      </c>
      <c r="H759" s="1">
        <v>10</v>
      </c>
      <c r="I759" s="1">
        <v>1</v>
      </c>
      <c r="J759" s="1">
        <v>1</v>
      </c>
      <c r="K759" s="1">
        <v>5</v>
      </c>
      <c r="L759" s="4">
        <v>36</v>
      </c>
      <c r="M759" s="3" t="str">
        <f t="shared" si="104"/>
        <v>Mar</v>
      </c>
      <c r="N759" s="2">
        <v>42074.952743055554</v>
      </c>
      <c r="O759" s="1">
        <f t="shared" si="117"/>
        <v>11</v>
      </c>
      <c r="P759" s="1">
        <f t="shared" si="118"/>
        <v>4</v>
      </c>
      <c r="Q759" s="1">
        <f t="shared" si="119"/>
        <v>22</v>
      </c>
      <c r="S759"/>
      <c r="T759"/>
      <c r="U759"/>
    </row>
    <row r="760" spans="1:21" s="1" customFormat="1" x14ac:dyDescent="0.25">
      <c r="A760" s="1">
        <v>797</v>
      </c>
      <c r="B760" s="1" t="s">
        <v>441</v>
      </c>
      <c r="C760" s="1" t="s">
        <v>743</v>
      </c>
      <c r="D760" s="2">
        <v>42027.518564814818</v>
      </c>
      <c r="E760" s="2">
        <v>42027.518657407411</v>
      </c>
      <c r="F760" s="1">
        <v>1</v>
      </c>
      <c r="G760" s="1">
        <v>0</v>
      </c>
      <c r="H760" s="1">
        <v>2</v>
      </c>
      <c r="I760" s="1">
        <v>2</v>
      </c>
      <c r="J760" s="1">
        <v>1</v>
      </c>
      <c r="K760" s="1">
        <v>1</v>
      </c>
      <c r="L760" s="4">
        <v>115.2</v>
      </c>
      <c r="M760" s="3" t="str">
        <f t="shared" si="104"/>
        <v>Jan</v>
      </c>
      <c r="N760" s="2">
        <v>42027.518634259257</v>
      </c>
      <c r="O760" s="1">
        <f t="shared" si="117"/>
        <v>23</v>
      </c>
      <c r="P760" s="1">
        <f t="shared" si="118"/>
        <v>6</v>
      </c>
      <c r="Q760" s="1">
        <f t="shared" si="119"/>
        <v>12</v>
      </c>
      <c r="S760"/>
      <c r="T760"/>
      <c r="U760"/>
    </row>
    <row r="761" spans="1:21" s="1" customFormat="1" x14ac:dyDescent="0.25">
      <c r="A761" s="1">
        <v>798</v>
      </c>
      <c r="B761" s="1" t="s">
        <v>103</v>
      </c>
      <c r="C761" s="1" t="s">
        <v>744</v>
      </c>
      <c r="D761" s="2">
        <v>42200.595011574071</v>
      </c>
      <c r="E761" s="2">
        <v>42200.595046296294</v>
      </c>
      <c r="F761" s="1">
        <v>1</v>
      </c>
      <c r="G761" s="1">
        <v>2</v>
      </c>
      <c r="H761" s="1">
        <v>6</v>
      </c>
      <c r="I761" s="1">
        <v>2</v>
      </c>
      <c r="J761" s="1">
        <v>1</v>
      </c>
      <c r="K761" s="1">
        <v>4</v>
      </c>
      <c r="L761" s="3">
        <v>46</v>
      </c>
      <c r="M761" s="3" t="str">
        <f t="shared" si="104"/>
        <v>Jul</v>
      </c>
      <c r="N761" s="2">
        <v>42200.595011574071</v>
      </c>
      <c r="O761" s="1">
        <f t="shared" si="117"/>
        <v>15</v>
      </c>
      <c r="P761" s="1">
        <f t="shared" si="118"/>
        <v>4</v>
      </c>
      <c r="Q761" s="1">
        <f t="shared" si="119"/>
        <v>14</v>
      </c>
      <c r="S761"/>
      <c r="T761"/>
      <c r="U761"/>
    </row>
    <row r="762" spans="1:21" s="1" customFormat="1" x14ac:dyDescent="0.25">
      <c r="A762" s="1">
        <v>799</v>
      </c>
      <c r="B762" s="1" t="s">
        <v>341</v>
      </c>
      <c r="C762" s="1" t="s">
        <v>745</v>
      </c>
      <c r="D762" s="2">
        <v>42258.347986111112</v>
      </c>
      <c r="E762" s="2">
        <v>42258.348032407404</v>
      </c>
      <c r="F762" s="1">
        <v>1</v>
      </c>
      <c r="G762" s="1">
        <v>2</v>
      </c>
      <c r="H762" s="1">
        <v>2</v>
      </c>
      <c r="I762" s="1">
        <v>2</v>
      </c>
      <c r="J762" s="1">
        <v>1</v>
      </c>
      <c r="K762" s="1">
        <v>1</v>
      </c>
      <c r="L762" s="3">
        <v>28.05</v>
      </c>
      <c r="M762" s="3" t="str">
        <f t="shared" si="104"/>
        <v>Sep</v>
      </c>
      <c r="N762" s="2">
        <v>42258.347986111112</v>
      </c>
      <c r="O762" s="1">
        <f t="shared" si="117"/>
        <v>11</v>
      </c>
      <c r="P762" s="1">
        <f t="shared" si="118"/>
        <v>6</v>
      </c>
      <c r="Q762" s="1">
        <f t="shared" si="119"/>
        <v>8</v>
      </c>
      <c r="S762"/>
      <c r="T762"/>
      <c r="U762"/>
    </row>
    <row r="763" spans="1:21" s="1" customFormat="1" x14ac:dyDescent="0.25">
      <c r="A763" s="1">
        <v>800</v>
      </c>
      <c r="B763" s="1" t="s">
        <v>274</v>
      </c>
      <c r="C763" s="1" t="s">
        <v>746</v>
      </c>
      <c r="D763" s="2">
        <v>42087.870347222219</v>
      </c>
      <c r="E763" s="2">
        <v>42087.870416666665</v>
      </c>
      <c r="F763" s="1">
        <v>1</v>
      </c>
      <c r="G763" s="1">
        <v>0</v>
      </c>
      <c r="H763" s="1">
        <v>2</v>
      </c>
      <c r="I763" s="1">
        <v>1</v>
      </c>
      <c r="J763" s="1">
        <v>1</v>
      </c>
      <c r="K763" s="1">
        <v>1</v>
      </c>
      <c r="L763" s="4">
        <v>57.6</v>
      </c>
      <c r="M763" s="3" t="str">
        <f t="shared" si="104"/>
        <v>Mar</v>
      </c>
      <c r="N763" s="2">
        <v>42087.870370370372</v>
      </c>
      <c r="O763" s="1">
        <f t="shared" si="117"/>
        <v>24</v>
      </c>
      <c r="P763" s="1">
        <f t="shared" si="118"/>
        <v>3</v>
      </c>
      <c r="Q763" s="1">
        <f t="shared" si="119"/>
        <v>20</v>
      </c>
      <c r="S763"/>
      <c r="T763"/>
      <c r="U763"/>
    </row>
    <row r="764" spans="1:21" s="1" customFormat="1" x14ac:dyDescent="0.25">
      <c r="A764" s="1">
        <v>801</v>
      </c>
      <c r="B764" s="1" t="s">
        <v>182</v>
      </c>
      <c r="C764" s="1" t="s">
        <v>747</v>
      </c>
      <c r="D764" s="2">
        <v>42187.412268518521</v>
      </c>
      <c r="E764" s="2">
        <v>42187.412314814814</v>
      </c>
      <c r="F764" s="1">
        <v>1</v>
      </c>
      <c r="G764" s="1">
        <v>0</v>
      </c>
      <c r="H764" s="1">
        <v>8</v>
      </c>
      <c r="I764" s="1">
        <v>2</v>
      </c>
      <c r="J764" s="1">
        <v>1</v>
      </c>
      <c r="K764" s="1">
        <v>4</v>
      </c>
      <c r="L764" s="3">
        <v>36</v>
      </c>
      <c r="M764" s="3" t="str">
        <f t="shared" si="104"/>
        <v>Jul</v>
      </c>
      <c r="N764" s="2">
        <v>42187.412268518521</v>
      </c>
      <c r="O764" s="1">
        <f t="shared" si="117"/>
        <v>2</v>
      </c>
      <c r="P764" s="1">
        <f t="shared" si="118"/>
        <v>5</v>
      </c>
      <c r="Q764" s="1">
        <f t="shared" si="119"/>
        <v>9</v>
      </c>
      <c r="S764"/>
      <c r="T764"/>
      <c r="U764"/>
    </row>
    <row r="765" spans="1:21" s="1" customFormat="1" x14ac:dyDescent="0.25">
      <c r="A765" s="1">
        <v>802</v>
      </c>
      <c r="B765" s="1" t="s">
        <v>208</v>
      </c>
      <c r="C765" s="1" t="s">
        <v>748</v>
      </c>
      <c r="D765" s="2">
        <v>42067.616273148145</v>
      </c>
      <c r="E765" s="2">
        <v>42067.616331018522</v>
      </c>
      <c r="F765" s="1">
        <v>1</v>
      </c>
      <c r="G765" s="1">
        <v>0</v>
      </c>
      <c r="H765" s="1">
        <v>16</v>
      </c>
      <c r="I765" s="1">
        <v>1</v>
      </c>
      <c r="J765" s="1">
        <v>1</v>
      </c>
      <c r="K765" s="1">
        <v>4</v>
      </c>
      <c r="L765" s="4">
        <v>28.8</v>
      </c>
      <c r="M765" s="3" t="str">
        <f t="shared" si="104"/>
        <v>Mar</v>
      </c>
      <c r="N765" s="2">
        <v>42067.616284722222</v>
      </c>
      <c r="O765" s="1">
        <f t="shared" si="117"/>
        <v>4</v>
      </c>
      <c r="P765" s="1">
        <f t="shared" si="118"/>
        <v>4</v>
      </c>
      <c r="Q765" s="1">
        <f t="shared" si="119"/>
        <v>14</v>
      </c>
      <c r="S765"/>
      <c r="T765"/>
      <c r="U765"/>
    </row>
    <row r="766" spans="1:21" s="1" customFormat="1" x14ac:dyDescent="0.25">
      <c r="A766" s="1">
        <v>803</v>
      </c>
      <c r="B766" s="1" t="s">
        <v>123</v>
      </c>
      <c r="C766" s="1" t="s">
        <v>749</v>
      </c>
      <c r="D766" s="2">
        <v>42026.667604166665</v>
      </c>
      <c r="E766" s="2">
        <v>42026.667650462965</v>
      </c>
      <c r="F766" s="1">
        <v>1</v>
      </c>
      <c r="G766" s="1">
        <v>0</v>
      </c>
      <c r="H766" s="1">
        <v>4</v>
      </c>
      <c r="I766" s="1">
        <v>3</v>
      </c>
      <c r="J766" s="1">
        <v>1</v>
      </c>
      <c r="K766" s="1">
        <v>2</v>
      </c>
      <c r="L766" s="4">
        <v>9</v>
      </c>
      <c r="M766" s="3" t="str">
        <f t="shared" si="104"/>
        <v>Jan</v>
      </c>
      <c r="N766" s="2">
        <v>42026.667615740742</v>
      </c>
      <c r="O766" s="1">
        <f t="shared" si="117"/>
        <v>22</v>
      </c>
      <c r="P766" s="1">
        <f t="shared" si="118"/>
        <v>5</v>
      </c>
      <c r="Q766" s="1">
        <f t="shared" si="119"/>
        <v>16</v>
      </c>
      <c r="S766"/>
      <c r="T766"/>
      <c r="U766"/>
    </row>
    <row r="767" spans="1:21" s="1" customFormat="1" x14ac:dyDescent="0.25">
      <c r="A767" s="1">
        <v>804</v>
      </c>
      <c r="B767" s="1" t="s">
        <v>76</v>
      </c>
      <c r="C767" s="1" t="s">
        <v>750</v>
      </c>
      <c r="D767" s="2">
        <v>42237.739421296297</v>
      </c>
      <c r="E767" s="2">
        <v>42237.572800925926</v>
      </c>
      <c r="F767" s="1">
        <v>1</v>
      </c>
      <c r="G767" s="1">
        <v>4</v>
      </c>
      <c r="H767" s="1">
        <v>2</v>
      </c>
      <c r="I767" s="1">
        <v>2</v>
      </c>
      <c r="J767" s="1">
        <v>1</v>
      </c>
      <c r="K767" s="1">
        <v>1</v>
      </c>
      <c r="L767" s="3">
        <v>29.92</v>
      </c>
      <c r="M767" s="3" t="str">
        <f t="shared" si="104"/>
        <v>Aug</v>
      </c>
      <c r="N767" s="2">
        <v>42237.572766203702</v>
      </c>
      <c r="O767" s="1">
        <f t="shared" si="117"/>
        <v>21</v>
      </c>
      <c r="P767" s="1">
        <f t="shared" si="118"/>
        <v>6</v>
      </c>
      <c r="Q767" s="1">
        <f t="shared" si="119"/>
        <v>13</v>
      </c>
      <c r="S767"/>
      <c r="T767"/>
      <c r="U767"/>
    </row>
    <row r="768" spans="1:21" s="1" customFormat="1" x14ac:dyDescent="0.25">
      <c r="A768" s="1">
        <v>805</v>
      </c>
      <c r="B768" s="1" t="s">
        <v>239</v>
      </c>
      <c r="C768" s="1" t="s">
        <v>240</v>
      </c>
      <c r="D768" s="2">
        <v>42039.807812500003</v>
      </c>
      <c r="E768" s="2">
        <v>42053.968425925923</v>
      </c>
      <c r="F768" s="1">
        <v>5</v>
      </c>
      <c r="G768" s="1">
        <v>0</v>
      </c>
      <c r="H768" s="1">
        <v>9</v>
      </c>
      <c r="I768" s="1">
        <v>6</v>
      </c>
      <c r="J768" s="1">
        <v>2</v>
      </c>
      <c r="K768" s="1">
        <v>4</v>
      </c>
      <c r="L768" s="4">
        <v>9</v>
      </c>
      <c r="M768" s="3" t="str">
        <f t="shared" si="104"/>
        <v>Feb</v>
      </c>
      <c r="N768" s="2">
        <v>42039.807835648149</v>
      </c>
      <c r="O768" s="1">
        <f t="shared" si="117"/>
        <v>4</v>
      </c>
      <c r="P768" s="1">
        <f t="shared" si="118"/>
        <v>4</v>
      </c>
      <c r="Q768" s="1">
        <f t="shared" si="119"/>
        <v>19</v>
      </c>
      <c r="S768"/>
      <c r="T768"/>
      <c r="U768"/>
    </row>
    <row r="769" spans="1:21" s="1" customFormat="1" x14ac:dyDescent="0.25">
      <c r="A769" s="1">
        <v>806</v>
      </c>
      <c r="B769" s="1" t="s">
        <v>100</v>
      </c>
      <c r="C769" s="1" t="s">
        <v>751</v>
      </c>
      <c r="D769" s="2">
        <v>42074.028124999997</v>
      </c>
      <c r="E769" s="2">
        <v>42074.028182870374</v>
      </c>
      <c r="F769" s="1">
        <v>1</v>
      </c>
      <c r="G769" s="1">
        <v>2</v>
      </c>
      <c r="H769" s="1">
        <v>2</v>
      </c>
      <c r="I769" s="1">
        <v>1</v>
      </c>
      <c r="J769" s="1">
        <v>1</v>
      </c>
      <c r="K769" s="1">
        <v>1</v>
      </c>
      <c r="L769" s="4">
        <v>115.2</v>
      </c>
      <c r="M769" s="3" t="str">
        <f t="shared" si="104"/>
        <v>Mar</v>
      </c>
      <c r="N769" s="2">
        <v>42074.028136574074</v>
      </c>
      <c r="O769" s="1">
        <f t="shared" si="117"/>
        <v>11</v>
      </c>
      <c r="P769" s="1">
        <f t="shared" si="118"/>
        <v>4</v>
      </c>
      <c r="Q769" s="1">
        <f t="shared" si="119"/>
        <v>0</v>
      </c>
      <c r="S769"/>
      <c r="T769"/>
      <c r="U769"/>
    </row>
    <row r="770" spans="1:21" s="1" customFormat="1" x14ac:dyDescent="0.25">
      <c r="A770" s="1">
        <v>807</v>
      </c>
      <c r="B770" s="1" t="s">
        <v>80</v>
      </c>
      <c r="C770" s="1" t="s">
        <v>752</v>
      </c>
      <c r="D770" s="2">
        <v>42021.517002314817</v>
      </c>
      <c r="E770" s="2">
        <v>42021.517048611109</v>
      </c>
      <c r="F770" s="1">
        <v>1</v>
      </c>
      <c r="G770" s="1">
        <v>0</v>
      </c>
      <c r="H770" s="1">
        <v>6</v>
      </c>
      <c r="I770" s="1">
        <v>2</v>
      </c>
      <c r="J770" s="1">
        <v>1</v>
      </c>
      <c r="K770" s="1">
        <v>2</v>
      </c>
      <c r="L770" s="4">
        <v>9</v>
      </c>
      <c r="M770" s="3" t="str">
        <f t="shared" si="104"/>
        <v>Jan</v>
      </c>
      <c r="N770" s="2">
        <v>42021.517013888886</v>
      </c>
      <c r="O770" s="1">
        <f t="shared" si="117"/>
        <v>17</v>
      </c>
      <c r="P770" s="1">
        <f t="shared" si="118"/>
        <v>7</v>
      </c>
      <c r="Q770" s="1">
        <f t="shared" si="119"/>
        <v>12</v>
      </c>
      <c r="S770"/>
      <c r="T770"/>
      <c r="U770"/>
    </row>
    <row r="771" spans="1:21" s="1" customFormat="1" x14ac:dyDescent="0.25">
      <c r="A771" s="1">
        <v>808</v>
      </c>
      <c r="B771" s="1" t="s">
        <v>134</v>
      </c>
      <c r="C771" s="1" t="s">
        <v>753</v>
      </c>
      <c r="D771" s="2">
        <v>42156.756736111114</v>
      </c>
      <c r="E771" s="2">
        <v>42158.620636574073</v>
      </c>
      <c r="F771" s="1">
        <v>5</v>
      </c>
      <c r="G771" s="1">
        <v>0</v>
      </c>
      <c r="H771" s="1">
        <v>6</v>
      </c>
      <c r="I771" s="1">
        <v>8</v>
      </c>
      <c r="J771" s="1">
        <v>1</v>
      </c>
      <c r="K771" s="1">
        <v>3</v>
      </c>
      <c r="L771" s="3">
        <v>21.6</v>
      </c>
      <c r="M771" s="3" t="str">
        <f t="shared" ref="M771:M834" si="120">TEXT(N771,"mmm")</f>
        <v>Jun</v>
      </c>
      <c r="N771" s="2">
        <v>42156.591134259259</v>
      </c>
      <c r="O771" s="1">
        <f t="shared" si="117"/>
        <v>1</v>
      </c>
      <c r="P771" s="1">
        <f t="shared" si="118"/>
        <v>2</v>
      </c>
      <c r="Q771" s="1">
        <f t="shared" si="119"/>
        <v>14</v>
      </c>
      <c r="S771"/>
      <c r="T771"/>
      <c r="U771"/>
    </row>
    <row r="772" spans="1:21" s="1" customFormat="1" x14ac:dyDescent="0.25">
      <c r="A772" s="1">
        <v>809</v>
      </c>
      <c r="B772" s="1" t="s">
        <v>98</v>
      </c>
      <c r="C772" s="1" t="s">
        <v>754</v>
      </c>
      <c r="D772" s="2">
        <v>42149.482453703706</v>
      </c>
      <c r="E772" s="2">
        <v>42149.482499999998</v>
      </c>
      <c r="F772" s="1">
        <v>1</v>
      </c>
      <c r="G772" s="1">
        <v>2</v>
      </c>
      <c r="H772" s="1">
        <v>2</v>
      </c>
      <c r="I772" s="1">
        <v>2</v>
      </c>
      <c r="J772" s="1">
        <v>1</v>
      </c>
      <c r="K772" s="1">
        <v>1</v>
      </c>
      <c r="L772" s="3">
        <v>28.8</v>
      </c>
      <c r="M772" s="3" t="str">
        <f t="shared" si="120"/>
        <v>May</v>
      </c>
      <c r="N772" s="2">
        <v>42149.482465277775</v>
      </c>
      <c r="O772" s="1">
        <f t="shared" si="117"/>
        <v>25</v>
      </c>
      <c r="P772" s="1">
        <f t="shared" si="118"/>
        <v>2</v>
      </c>
      <c r="Q772" s="1">
        <f t="shared" si="119"/>
        <v>11</v>
      </c>
      <c r="S772"/>
      <c r="T772"/>
      <c r="U772"/>
    </row>
    <row r="773" spans="1:21" s="1" customFormat="1" x14ac:dyDescent="0.25">
      <c r="A773" s="1">
        <v>810</v>
      </c>
      <c r="B773" s="1" t="s">
        <v>89</v>
      </c>
      <c r="C773" s="1" t="s">
        <v>755</v>
      </c>
      <c r="D773" s="2">
        <v>42022.687835648147</v>
      </c>
      <c r="E773" s="2">
        <v>42023.359907407408</v>
      </c>
      <c r="F773" s="1">
        <v>2</v>
      </c>
      <c r="G773" s="1">
        <v>0</v>
      </c>
      <c r="H773" s="1">
        <v>2</v>
      </c>
      <c r="I773" s="1">
        <v>3</v>
      </c>
      <c r="J773" s="1">
        <v>1</v>
      </c>
      <c r="K773" s="1">
        <v>4</v>
      </c>
      <c r="L773" s="4">
        <v>28.8</v>
      </c>
      <c r="M773" s="3" t="str">
        <f t="shared" si="120"/>
        <v>Jan</v>
      </c>
      <c r="N773" s="2">
        <v>42022.687939814816</v>
      </c>
      <c r="O773" s="1">
        <f t="shared" si="117"/>
        <v>18</v>
      </c>
      <c r="P773" s="1">
        <f t="shared" si="118"/>
        <v>1</v>
      </c>
      <c r="Q773" s="1">
        <f t="shared" si="119"/>
        <v>16</v>
      </c>
      <c r="S773"/>
      <c r="T773"/>
      <c r="U773"/>
    </row>
    <row r="774" spans="1:21" s="1" customFormat="1" x14ac:dyDescent="0.25">
      <c r="A774" s="1">
        <v>811</v>
      </c>
      <c r="B774" s="1" t="s">
        <v>195</v>
      </c>
      <c r="C774" s="1" t="s">
        <v>756</v>
      </c>
      <c r="D774" s="2">
        <v>42193.519270833334</v>
      </c>
      <c r="E774" s="2">
        <v>42193.352650462963</v>
      </c>
      <c r="F774" s="1">
        <v>1</v>
      </c>
      <c r="G774" s="1">
        <v>4</v>
      </c>
      <c r="H774" s="1">
        <v>4</v>
      </c>
      <c r="I774" s="1">
        <v>2</v>
      </c>
      <c r="J774" s="1">
        <v>1</v>
      </c>
      <c r="K774" s="1">
        <v>2</v>
      </c>
      <c r="L774" s="3">
        <v>86.4</v>
      </c>
      <c r="M774" s="3" t="str">
        <f t="shared" si="120"/>
        <v>Jul</v>
      </c>
      <c r="N774" s="2">
        <v>42193.35261574074</v>
      </c>
      <c r="O774" s="1">
        <f t="shared" si="117"/>
        <v>8</v>
      </c>
      <c r="P774" s="1">
        <f t="shared" si="118"/>
        <v>4</v>
      </c>
      <c r="Q774" s="1">
        <f t="shared" si="119"/>
        <v>8</v>
      </c>
      <c r="S774"/>
      <c r="T774"/>
      <c r="U774"/>
    </row>
    <row r="775" spans="1:21" s="1" customFormat="1" x14ac:dyDescent="0.25">
      <c r="A775" s="1">
        <v>812</v>
      </c>
      <c r="B775" s="1" t="s">
        <v>96</v>
      </c>
      <c r="C775" s="1" t="s">
        <v>416</v>
      </c>
      <c r="D775" s="2">
        <v>42198.667395833334</v>
      </c>
      <c r="E775" s="2">
        <v>42198.667430555557</v>
      </c>
      <c r="F775" s="1">
        <v>1</v>
      </c>
      <c r="G775" s="1">
        <v>2</v>
      </c>
      <c r="H775" s="1">
        <v>2</v>
      </c>
      <c r="I775" s="1">
        <v>2</v>
      </c>
      <c r="J775" s="1">
        <v>1</v>
      </c>
      <c r="K775" s="1">
        <v>8</v>
      </c>
      <c r="L775" s="3">
        <v>72</v>
      </c>
      <c r="M775" s="3" t="str">
        <f t="shared" si="120"/>
        <v>Jul</v>
      </c>
      <c r="N775" s="2">
        <v>42198.667395833334</v>
      </c>
      <c r="O775" s="1">
        <f t="shared" si="117"/>
        <v>13</v>
      </c>
      <c r="P775" s="1">
        <f t="shared" si="118"/>
        <v>2</v>
      </c>
      <c r="Q775" s="1">
        <f t="shared" si="119"/>
        <v>16</v>
      </c>
      <c r="S775"/>
      <c r="T775"/>
      <c r="U775"/>
    </row>
    <row r="776" spans="1:21" s="1" customFormat="1" x14ac:dyDescent="0.25">
      <c r="A776" s="1">
        <v>813</v>
      </c>
      <c r="D776" s="2">
        <v>42191.739120370374</v>
      </c>
      <c r="E776" s="2">
        <v>42191.572465277779</v>
      </c>
      <c r="F776" s="1">
        <v>1</v>
      </c>
      <c r="G776" s="1">
        <v>2</v>
      </c>
      <c r="H776" s="1">
        <v>4</v>
      </c>
      <c r="I776" s="1">
        <v>4</v>
      </c>
      <c r="J776" s="1">
        <v>1</v>
      </c>
      <c r="K776" s="1">
        <v>1</v>
      </c>
      <c r="L776" s="3">
        <v>28.8</v>
      </c>
      <c r="M776" s="3" t="str">
        <f t="shared" si="120"/>
        <v>Jul</v>
      </c>
      <c r="N776" s="2">
        <v>42191.573553240742</v>
      </c>
      <c r="O776" s="1">
        <f t="shared" si="117"/>
        <v>6</v>
      </c>
      <c r="P776" s="1">
        <f t="shared" si="118"/>
        <v>2</v>
      </c>
      <c r="Q776" s="1">
        <f t="shared" si="119"/>
        <v>13</v>
      </c>
      <c r="S776"/>
      <c r="T776"/>
      <c r="U776"/>
    </row>
    <row r="777" spans="1:21" s="1" customFormat="1" x14ac:dyDescent="0.25">
      <c r="A777" s="1">
        <v>814</v>
      </c>
      <c r="B777" s="1" t="s">
        <v>134</v>
      </c>
      <c r="C777" s="1" t="s">
        <v>757</v>
      </c>
      <c r="D777" s="2">
        <v>42026.495381944442</v>
      </c>
      <c r="E777" s="2">
        <v>42026.495428240742</v>
      </c>
      <c r="F777" s="1">
        <v>1</v>
      </c>
      <c r="G777" s="1">
        <v>0</v>
      </c>
      <c r="H777" s="1">
        <v>2</v>
      </c>
      <c r="I777" s="1">
        <v>2</v>
      </c>
      <c r="J777" s="1">
        <v>1</v>
      </c>
      <c r="K777" s="1">
        <v>2</v>
      </c>
      <c r="L777" s="4">
        <v>9</v>
      </c>
      <c r="M777" s="3" t="str">
        <f t="shared" si="120"/>
        <v>Jan</v>
      </c>
      <c r="N777" s="2">
        <v>42026.495393518519</v>
      </c>
      <c r="O777" s="1">
        <f t="shared" si="117"/>
        <v>22</v>
      </c>
      <c r="P777" s="1">
        <f t="shared" si="118"/>
        <v>5</v>
      </c>
      <c r="Q777" s="1">
        <f t="shared" si="119"/>
        <v>11</v>
      </c>
      <c r="S777"/>
      <c r="T777"/>
      <c r="U777"/>
    </row>
    <row r="778" spans="1:21" s="1" customFormat="1" x14ac:dyDescent="0.25">
      <c r="A778" s="1">
        <v>815</v>
      </c>
      <c r="D778" s="2">
        <v>42255.828888888886</v>
      </c>
      <c r="E778" s="2">
        <v>42255.828900462962</v>
      </c>
      <c r="F778" s="1">
        <v>1</v>
      </c>
      <c r="G778" s="1">
        <v>2</v>
      </c>
      <c r="H778" s="1">
        <v>2</v>
      </c>
      <c r="I778" s="1">
        <v>2</v>
      </c>
      <c r="J778" s="1">
        <v>1</v>
      </c>
      <c r="K778" s="1">
        <v>1</v>
      </c>
      <c r="L778" s="3">
        <v>29.92</v>
      </c>
      <c r="M778" s="3" t="str">
        <f t="shared" si="120"/>
        <v>Sep</v>
      </c>
      <c r="N778" s="2">
        <v>42255.830949074072</v>
      </c>
      <c r="O778" s="1">
        <f t="shared" si="117"/>
        <v>8</v>
      </c>
      <c r="P778" s="1">
        <f t="shared" si="118"/>
        <v>3</v>
      </c>
      <c r="Q778" s="1">
        <f t="shared" si="119"/>
        <v>19</v>
      </c>
      <c r="S778"/>
      <c r="T778"/>
      <c r="U778"/>
    </row>
    <row r="779" spans="1:21" s="1" customFormat="1" x14ac:dyDescent="0.25">
      <c r="A779" s="1">
        <v>816</v>
      </c>
      <c r="B779" s="1" t="s">
        <v>80</v>
      </c>
      <c r="C779" s="1" t="s">
        <v>758</v>
      </c>
      <c r="D779" s="2">
        <v>42188.599039351851</v>
      </c>
      <c r="E779" s="2">
        <v>42188.599085648151</v>
      </c>
      <c r="F779" s="1">
        <v>1</v>
      </c>
      <c r="G779" s="1">
        <v>6</v>
      </c>
      <c r="H779" s="1">
        <v>10</v>
      </c>
      <c r="I779" s="1">
        <v>2</v>
      </c>
      <c r="J779" s="1">
        <v>1</v>
      </c>
      <c r="K779" s="1">
        <v>5</v>
      </c>
      <c r="L779" s="3">
        <v>36</v>
      </c>
      <c r="M779" s="3" t="str">
        <f t="shared" si="120"/>
        <v>Jul</v>
      </c>
      <c r="N779" s="2">
        <v>42188.599039351851</v>
      </c>
      <c r="O779" s="1">
        <f t="shared" si="117"/>
        <v>3</v>
      </c>
      <c r="P779" s="1">
        <f t="shared" si="118"/>
        <v>6</v>
      </c>
      <c r="Q779" s="1">
        <f t="shared" si="119"/>
        <v>14</v>
      </c>
      <c r="S779"/>
      <c r="T779"/>
      <c r="U779"/>
    </row>
    <row r="780" spans="1:21" s="1" customFormat="1" x14ac:dyDescent="0.25">
      <c r="A780" s="1">
        <v>817</v>
      </c>
      <c r="B780" s="1" t="s">
        <v>123</v>
      </c>
      <c r="C780" s="1" t="s">
        <v>759</v>
      </c>
      <c r="D780" s="2">
        <v>42180.25472222222</v>
      </c>
      <c r="E780" s="2">
        <v>42180.25476851852</v>
      </c>
      <c r="F780" s="1">
        <v>1</v>
      </c>
      <c r="G780" s="1">
        <v>2</v>
      </c>
      <c r="H780" s="1">
        <v>2</v>
      </c>
      <c r="I780" s="1">
        <v>3</v>
      </c>
      <c r="J780" s="1">
        <v>1</v>
      </c>
      <c r="K780" s="1">
        <v>4</v>
      </c>
      <c r="L780" s="3">
        <v>28.8</v>
      </c>
      <c r="M780" s="3" t="str">
        <f t="shared" si="120"/>
        <v>Jun</v>
      </c>
      <c r="N780" s="2">
        <v>42180.254733796297</v>
      </c>
      <c r="O780" s="1">
        <f t="shared" si="117"/>
        <v>25</v>
      </c>
      <c r="P780" s="1">
        <f t="shared" si="118"/>
        <v>5</v>
      </c>
      <c r="Q780" s="1">
        <f t="shared" si="119"/>
        <v>6</v>
      </c>
      <c r="S780"/>
      <c r="T780"/>
      <c r="U780"/>
    </row>
    <row r="781" spans="1:21" s="1" customFormat="1" x14ac:dyDescent="0.25">
      <c r="A781" s="1">
        <v>818</v>
      </c>
      <c r="B781" s="1" t="s">
        <v>119</v>
      </c>
      <c r="C781" s="1" t="s">
        <v>760</v>
      </c>
      <c r="D781" s="2">
        <v>42102.559733796297</v>
      </c>
      <c r="E781" s="2">
        <v>42102.559756944444</v>
      </c>
      <c r="F781" s="1">
        <v>1</v>
      </c>
      <c r="G781" s="1">
        <v>0</v>
      </c>
      <c r="H781" s="1">
        <v>2</v>
      </c>
      <c r="I781" s="1">
        <v>1</v>
      </c>
      <c r="J781" s="1">
        <v>1</v>
      </c>
      <c r="K781" s="1">
        <v>1</v>
      </c>
      <c r="L781" s="4">
        <v>28.8</v>
      </c>
      <c r="M781" s="3" t="str">
        <f t="shared" si="120"/>
        <v>Apr</v>
      </c>
      <c r="N781" s="2">
        <v>42102.565717592595</v>
      </c>
      <c r="O781" s="1">
        <f t="shared" si="117"/>
        <v>8</v>
      </c>
      <c r="P781" s="1">
        <f t="shared" si="118"/>
        <v>4</v>
      </c>
      <c r="Q781" s="1">
        <f t="shared" si="119"/>
        <v>13</v>
      </c>
      <c r="S781"/>
      <c r="T781"/>
      <c r="U781"/>
    </row>
    <row r="782" spans="1:21" s="1" customFormat="1" x14ac:dyDescent="0.25">
      <c r="A782" s="1">
        <v>819</v>
      </c>
      <c r="D782" s="2">
        <v>42070.670439814814</v>
      </c>
      <c r="E782" s="2">
        <v>42070.670497685183</v>
      </c>
      <c r="F782" s="1">
        <v>1</v>
      </c>
      <c r="G782" s="1">
        <v>2</v>
      </c>
      <c r="H782" s="1">
        <v>2</v>
      </c>
      <c r="I782" s="1">
        <v>3</v>
      </c>
      <c r="J782" s="1">
        <v>1</v>
      </c>
      <c r="K782" s="1">
        <v>1</v>
      </c>
      <c r="L782" s="4">
        <v>57.6</v>
      </c>
      <c r="M782" s="3" t="str">
        <f t="shared" si="120"/>
        <v>Mar</v>
      </c>
      <c r="N782" s="2">
        <v>42070.670451388891</v>
      </c>
      <c r="O782" s="1">
        <f t="shared" si="117"/>
        <v>7</v>
      </c>
      <c r="P782" s="1">
        <f t="shared" si="118"/>
        <v>7</v>
      </c>
      <c r="Q782" s="1">
        <f t="shared" si="119"/>
        <v>16</v>
      </c>
      <c r="S782"/>
      <c r="T782"/>
      <c r="U782"/>
    </row>
    <row r="783" spans="1:21" s="1" customFormat="1" x14ac:dyDescent="0.25">
      <c r="A783" s="1">
        <v>820</v>
      </c>
      <c r="B783" s="1" t="s">
        <v>96</v>
      </c>
      <c r="C783" s="1" t="s">
        <v>761</v>
      </c>
      <c r="D783" s="2">
        <v>42262.888668981483</v>
      </c>
      <c r="E783" s="2">
        <v>42262.888703703706</v>
      </c>
      <c r="F783" s="1">
        <v>1</v>
      </c>
      <c r="G783" s="1">
        <v>4</v>
      </c>
      <c r="H783" s="1">
        <v>2</v>
      </c>
      <c r="I783" s="1">
        <v>3</v>
      </c>
      <c r="J783" s="1">
        <v>1</v>
      </c>
      <c r="K783" s="1">
        <v>1</v>
      </c>
      <c r="L783" s="3">
        <v>29.92</v>
      </c>
      <c r="M783" s="3" t="str">
        <f t="shared" si="120"/>
        <v>Sep</v>
      </c>
      <c r="N783" s="2">
        <v>42262.888668981483</v>
      </c>
      <c r="O783" s="1">
        <f t="shared" si="117"/>
        <v>15</v>
      </c>
      <c r="P783" s="1">
        <f t="shared" si="118"/>
        <v>3</v>
      </c>
      <c r="Q783" s="1">
        <f t="shared" si="119"/>
        <v>21</v>
      </c>
      <c r="S783"/>
      <c r="T783"/>
      <c r="U783"/>
    </row>
    <row r="784" spans="1:21" s="1" customFormat="1" x14ac:dyDescent="0.25">
      <c r="A784" s="1">
        <v>821</v>
      </c>
      <c r="B784" s="1" t="s">
        <v>274</v>
      </c>
      <c r="C784" s="1" t="s">
        <v>762</v>
      </c>
      <c r="D784" s="2">
        <v>42023.794687499998</v>
      </c>
      <c r="E784" s="2">
        <v>42023.794745370367</v>
      </c>
      <c r="F784" s="1">
        <v>1</v>
      </c>
      <c r="G784" s="1">
        <v>0</v>
      </c>
      <c r="H784" s="1">
        <v>2</v>
      </c>
      <c r="I784" s="1">
        <v>2</v>
      </c>
      <c r="J784" s="1">
        <v>1</v>
      </c>
      <c r="K784" s="1">
        <v>1</v>
      </c>
      <c r="L784" s="4">
        <v>57.6</v>
      </c>
      <c r="M784" s="3" t="str">
        <f t="shared" si="120"/>
        <v>Jan</v>
      </c>
      <c r="N784" s="2">
        <v>42023.794710648152</v>
      </c>
      <c r="O784" s="1">
        <f t="shared" si="117"/>
        <v>19</v>
      </c>
      <c r="P784" s="1">
        <f t="shared" si="118"/>
        <v>2</v>
      </c>
      <c r="Q784" s="1">
        <f t="shared" si="119"/>
        <v>19</v>
      </c>
      <c r="S784"/>
      <c r="T784"/>
      <c r="U784"/>
    </row>
    <row r="785" spans="1:21" s="1" customFormat="1" x14ac:dyDescent="0.25">
      <c r="A785" s="1">
        <v>822</v>
      </c>
      <c r="B785" s="1" t="s">
        <v>212</v>
      </c>
      <c r="C785" s="1" t="s">
        <v>763</v>
      </c>
      <c r="D785" s="2">
        <v>42048.414074074077</v>
      </c>
      <c r="E785" s="2">
        <v>42048.414120370369</v>
      </c>
      <c r="F785" s="1">
        <v>1</v>
      </c>
      <c r="G785" s="1">
        <v>0</v>
      </c>
      <c r="H785" s="1">
        <v>4</v>
      </c>
      <c r="I785" s="1">
        <v>3</v>
      </c>
      <c r="J785" s="1">
        <v>1</v>
      </c>
      <c r="K785" s="1">
        <v>2</v>
      </c>
      <c r="L785" s="4">
        <v>14.4</v>
      </c>
      <c r="M785" s="3" t="str">
        <f t="shared" si="120"/>
        <v>Feb</v>
      </c>
      <c r="N785" s="2">
        <v>42048.414085648146</v>
      </c>
      <c r="O785" s="1">
        <f t="shared" si="117"/>
        <v>13</v>
      </c>
      <c r="P785" s="1">
        <f t="shared" si="118"/>
        <v>6</v>
      </c>
      <c r="Q785" s="1">
        <f t="shared" si="119"/>
        <v>9</v>
      </c>
      <c r="S785"/>
      <c r="T785"/>
      <c r="U785"/>
    </row>
    <row r="786" spans="1:21" s="1" customFormat="1" x14ac:dyDescent="0.25">
      <c r="A786" s="1">
        <v>823</v>
      </c>
      <c r="B786" s="1" t="s">
        <v>764</v>
      </c>
      <c r="C786" s="1" t="s">
        <v>765</v>
      </c>
      <c r="D786" s="2">
        <v>42034.235462962963</v>
      </c>
      <c r="E786" s="2">
        <v>42039.569988425923</v>
      </c>
      <c r="F786" s="1">
        <v>6</v>
      </c>
      <c r="G786" s="1">
        <v>2</v>
      </c>
      <c r="H786" s="1">
        <v>2</v>
      </c>
      <c r="I786" s="1">
        <v>2</v>
      </c>
      <c r="J786" s="1">
        <v>1</v>
      </c>
      <c r="K786" s="1">
        <v>1</v>
      </c>
      <c r="L786" s="4">
        <v>57.6</v>
      </c>
      <c r="M786" s="3" t="str">
        <f t="shared" si="120"/>
        <v>Jan</v>
      </c>
      <c r="N786" s="2">
        <v>42034.235497685186</v>
      </c>
      <c r="O786" s="1">
        <f t="shared" si="117"/>
        <v>30</v>
      </c>
      <c r="P786" s="1">
        <f t="shared" si="118"/>
        <v>6</v>
      </c>
      <c r="Q786" s="1">
        <f t="shared" si="119"/>
        <v>5</v>
      </c>
      <c r="S786"/>
      <c r="T786"/>
      <c r="U786"/>
    </row>
    <row r="787" spans="1:21" s="1" customFormat="1" x14ac:dyDescent="0.25">
      <c r="A787" s="1">
        <v>824</v>
      </c>
      <c r="B787" s="1" t="s">
        <v>96</v>
      </c>
      <c r="C787" s="1" t="s">
        <v>593</v>
      </c>
      <c r="D787" s="2">
        <v>42170.523726851854</v>
      </c>
      <c r="E787" s="2">
        <v>42170.709189814814</v>
      </c>
      <c r="F787" s="1">
        <v>3</v>
      </c>
      <c r="G787" s="1">
        <v>2</v>
      </c>
      <c r="H787" s="1">
        <v>4</v>
      </c>
      <c r="I787" s="1">
        <v>3</v>
      </c>
      <c r="J787" s="1">
        <v>1</v>
      </c>
      <c r="K787" s="1">
        <v>1</v>
      </c>
      <c r="L787" s="3">
        <v>28.8</v>
      </c>
      <c r="M787" s="3" t="str">
        <f t="shared" si="120"/>
        <v>Jun</v>
      </c>
      <c r="N787" s="2">
        <v>42170.523738425924</v>
      </c>
      <c r="O787" s="1">
        <f t="shared" si="117"/>
        <v>15</v>
      </c>
      <c r="P787" s="1">
        <f t="shared" si="118"/>
        <v>2</v>
      </c>
      <c r="Q787" s="1">
        <f t="shared" si="119"/>
        <v>12</v>
      </c>
      <c r="S787"/>
      <c r="T787"/>
      <c r="U787"/>
    </row>
    <row r="788" spans="1:21" s="1" customFormat="1" x14ac:dyDescent="0.25">
      <c r="A788" s="1">
        <v>825</v>
      </c>
      <c r="B788" s="1" t="s">
        <v>96</v>
      </c>
      <c r="C788" s="1" t="s">
        <v>267</v>
      </c>
      <c r="D788" s="2">
        <v>42115.813611111109</v>
      </c>
      <c r="E788" s="2">
        <v>42116.952141203707</v>
      </c>
      <c r="F788" s="1">
        <v>3</v>
      </c>
      <c r="G788" s="1">
        <v>4</v>
      </c>
      <c r="H788" s="1">
        <v>12</v>
      </c>
      <c r="I788" s="1">
        <v>3</v>
      </c>
      <c r="J788" s="1">
        <v>1</v>
      </c>
      <c r="K788" s="1">
        <v>4</v>
      </c>
      <c r="L788" s="4">
        <v>28.8</v>
      </c>
      <c r="M788" s="3" t="str">
        <f t="shared" si="120"/>
        <v>Apr</v>
      </c>
      <c r="N788" s="2">
        <v>42115.813622685186</v>
      </c>
      <c r="O788" s="1">
        <f t="shared" si="117"/>
        <v>21</v>
      </c>
      <c r="P788" s="1">
        <f t="shared" si="118"/>
        <v>3</v>
      </c>
      <c r="Q788" s="1">
        <f t="shared" si="119"/>
        <v>19</v>
      </c>
      <c r="S788"/>
      <c r="T788"/>
      <c r="U788"/>
    </row>
    <row r="789" spans="1:21" s="1" customFormat="1" x14ac:dyDescent="0.25">
      <c r="A789" s="1">
        <v>826</v>
      </c>
      <c r="B789" s="1" t="s">
        <v>83</v>
      </c>
      <c r="C789" s="1" t="s">
        <v>766</v>
      </c>
      <c r="D789" s="2">
        <v>42245.447962962964</v>
      </c>
      <c r="E789" s="2">
        <v>42245.448009259257</v>
      </c>
      <c r="F789" s="1">
        <v>1</v>
      </c>
      <c r="G789" s="1">
        <v>12</v>
      </c>
      <c r="H789" s="1">
        <v>8</v>
      </c>
      <c r="I789" s="1">
        <v>2</v>
      </c>
      <c r="J789" s="1">
        <v>1</v>
      </c>
      <c r="K789" s="1">
        <v>4</v>
      </c>
      <c r="L789" s="3">
        <v>71.400000000000006</v>
      </c>
      <c r="M789" s="3" t="str">
        <f t="shared" si="120"/>
        <v>Aug</v>
      </c>
      <c r="N789" s="2">
        <v>42245.447962962964</v>
      </c>
      <c r="O789" s="1">
        <f t="shared" si="117"/>
        <v>29</v>
      </c>
      <c r="P789" s="1">
        <f t="shared" si="118"/>
        <v>7</v>
      </c>
      <c r="Q789" s="1">
        <f t="shared" si="119"/>
        <v>10</v>
      </c>
      <c r="S789"/>
      <c r="T789"/>
      <c r="U789"/>
    </row>
    <row r="790" spans="1:21" s="1" customFormat="1" x14ac:dyDescent="0.25">
      <c r="A790" s="1">
        <v>827</v>
      </c>
      <c r="B790" s="1" t="s">
        <v>100</v>
      </c>
      <c r="C790" s="1" t="s">
        <v>767</v>
      </c>
      <c r="D790" s="2">
        <v>42161.738159722219</v>
      </c>
      <c r="E790" s="2">
        <v>42161.738206018519</v>
      </c>
      <c r="F790" s="1">
        <v>1</v>
      </c>
      <c r="G790" s="1">
        <v>0</v>
      </c>
      <c r="H790" s="1">
        <v>2</v>
      </c>
      <c r="I790" s="1">
        <v>2</v>
      </c>
      <c r="J790" s="1">
        <v>1</v>
      </c>
      <c r="K790" s="1">
        <v>1</v>
      </c>
      <c r="L790" s="3">
        <v>28.8</v>
      </c>
      <c r="M790" s="3" t="str">
        <f t="shared" si="120"/>
        <v>Jun</v>
      </c>
      <c r="N790" s="2">
        <v>42161.738171296296</v>
      </c>
      <c r="O790" s="1">
        <f t="shared" si="117"/>
        <v>6</v>
      </c>
      <c r="P790" s="1">
        <f t="shared" si="118"/>
        <v>7</v>
      </c>
      <c r="Q790" s="1">
        <f t="shared" si="119"/>
        <v>17</v>
      </c>
      <c r="S790"/>
      <c r="T790"/>
      <c r="U790"/>
    </row>
    <row r="791" spans="1:21" s="1" customFormat="1" x14ac:dyDescent="0.25">
      <c r="A791" s="1">
        <v>828</v>
      </c>
      <c r="D791" s="2">
        <v>42111.862754629627</v>
      </c>
      <c r="E791" s="2">
        <v>42111.862812500003</v>
      </c>
      <c r="F791" s="1">
        <v>1</v>
      </c>
      <c r="G791" s="1">
        <v>2</v>
      </c>
      <c r="H791" s="1">
        <v>20</v>
      </c>
      <c r="I791" s="1">
        <v>4</v>
      </c>
      <c r="J791" s="1">
        <v>1</v>
      </c>
      <c r="K791" s="1">
        <v>5</v>
      </c>
      <c r="L791" s="4">
        <v>36</v>
      </c>
      <c r="M791" s="3" t="str">
        <f t="shared" si="120"/>
        <v>Apr</v>
      </c>
      <c r="N791" s="2">
        <v>42111.865370370368</v>
      </c>
      <c r="O791" s="1">
        <f t="shared" si="117"/>
        <v>17</v>
      </c>
      <c r="P791" s="1">
        <f t="shared" si="118"/>
        <v>6</v>
      </c>
      <c r="Q791" s="1">
        <f t="shared" si="119"/>
        <v>20</v>
      </c>
      <c r="S791"/>
      <c r="T791"/>
      <c r="U791"/>
    </row>
    <row r="792" spans="1:21" s="1" customFormat="1" x14ac:dyDescent="0.25">
      <c r="A792" s="1">
        <v>829</v>
      </c>
      <c r="B792" s="1" t="s">
        <v>123</v>
      </c>
      <c r="C792" s="1" t="s">
        <v>768</v>
      </c>
      <c r="D792" s="2">
        <v>42234.059282407405</v>
      </c>
      <c r="E792" s="2">
        <v>42234.059317129628</v>
      </c>
      <c r="F792" s="1">
        <v>1</v>
      </c>
      <c r="G792" s="1">
        <v>8</v>
      </c>
      <c r="H792" s="1">
        <v>2</v>
      </c>
      <c r="I792" s="1">
        <v>2</v>
      </c>
      <c r="J792" s="1">
        <v>1</v>
      </c>
      <c r="K792" s="1">
        <v>1</v>
      </c>
      <c r="L792" s="3">
        <v>29.92</v>
      </c>
      <c r="M792" s="3" t="str">
        <f t="shared" si="120"/>
        <v>Aug</v>
      </c>
      <c r="N792" s="2">
        <v>42234.059282407405</v>
      </c>
      <c r="O792" s="1">
        <f t="shared" si="117"/>
        <v>18</v>
      </c>
      <c r="P792" s="1">
        <f t="shared" si="118"/>
        <v>3</v>
      </c>
      <c r="Q792" s="1">
        <f t="shared" si="119"/>
        <v>1</v>
      </c>
      <c r="S792"/>
      <c r="T792"/>
      <c r="U792"/>
    </row>
    <row r="793" spans="1:21" s="1" customFormat="1" x14ac:dyDescent="0.25">
      <c r="A793" s="1">
        <v>830</v>
      </c>
      <c r="B793" s="1" t="s">
        <v>83</v>
      </c>
      <c r="C793" s="1" t="s">
        <v>769</v>
      </c>
      <c r="D793" s="2">
        <v>42210.754537037035</v>
      </c>
      <c r="E793" s="2">
        <v>42211.53056712963</v>
      </c>
      <c r="F793" s="1">
        <v>4</v>
      </c>
      <c r="G793" s="1">
        <v>14</v>
      </c>
      <c r="H793" s="1">
        <v>6</v>
      </c>
      <c r="I793" s="1">
        <v>5</v>
      </c>
      <c r="J793" s="1">
        <v>1</v>
      </c>
      <c r="K793" s="1">
        <v>3</v>
      </c>
      <c r="L793" s="3">
        <v>162.80000000000001</v>
      </c>
      <c r="M793" s="3" t="str">
        <f t="shared" si="120"/>
        <v>Jul</v>
      </c>
      <c r="N793" s="2">
        <v>42210.754548611112</v>
      </c>
      <c r="O793" s="1">
        <f t="shared" si="117"/>
        <v>25</v>
      </c>
      <c r="P793" s="1">
        <f t="shared" si="118"/>
        <v>7</v>
      </c>
      <c r="Q793" s="1">
        <f t="shared" si="119"/>
        <v>18</v>
      </c>
      <c r="S793"/>
      <c r="T793"/>
      <c r="U793"/>
    </row>
    <row r="794" spans="1:21" s="1" customFormat="1" x14ac:dyDescent="0.25">
      <c r="A794" s="1">
        <v>831</v>
      </c>
      <c r="B794" s="1" t="s">
        <v>91</v>
      </c>
      <c r="C794" s="1" t="s">
        <v>770</v>
      </c>
      <c r="D794" s="2">
        <v>42021.87060185185</v>
      </c>
      <c r="E794" s="2">
        <v>42034.363703703704</v>
      </c>
      <c r="F794" s="1">
        <v>5</v>
      </c>
      <c r="G794" s="1">
        <v>0</v>
      </c>
      <c r="H794" s="1">
        <v>14</v>
      </c>
      <c r="I794" s="1">
        <v>8</v>
      </c>
      <c r="J794" s="1">
        <v>1</v>
      </c>
      <c r="K794" s="1">
        <v>7</v>
      </c>
      <c r="L794" s="4">
        <v>50.4</v>
      </c>
      <c r="M794" s="3" t="str">
        <f t="shared" si="120"/>
        <v>Jan</v>
      </c>
      <c r="N794" s="2">
        <v>42021.870625000003</v>
      </c>
      <c r="O794" s="1">
        <f t="shared" si="117"/>
        <v>17</v>
      </c>
      <c r="P794" s="1">
        <f t="shared" si="118"/>
        <v>7</v>
      </c>
      <c r="Q794" s="1">
        <f t="shared" si="119"/>
        <v>20</v>
      </c>
      <c r="S794"/>
      <c r="T794"/>
      <c r="U794"/>
    </row>
    <row r="795" spans="1:21" s="1" customFormat="1" x14ac:dyDescent="0.25">
      <c r="A795" s="1">
        <v>832</v>
      </c>
      <c r="B795" s="1" t="s">
        <v>103</v>
      </c>
      <c r="C795" s="1" t="s">
        <v>771</v>
      </c>
      <c r="D795" s="2">
        <v>42252.372928240744</v>
      </c>
      <c r="E795" s="2">
        <v>42252.372939814813</v>
      </c>
      <c r="F795" s="1">
        <v>1</v>
      </c>
      <c r="G795" s="1">
        <v>5</v>
      </c>
      <c r="H795" s="1">
        <v>7</v>
      </c>
      <c r="I795" s="1">
        <v>5</v>
      </c>
      <c r="J795" s="1">
        <v>1</v>
      </c>
      <c r="K795" s="1">
        <v>1</v>
      </c>
      <c r="L795" s="3">
        <v>29.92</v>
      </c>
      <c r="M795" s="3" t="str">
        <f t="shared" si="120"/>
        <v>Sep</v>
      </c>
      <c r="N795" s="2">
        <v>42252.389606481483</v>
      </c>
      <c r="O795" s="1">
        <f t="shared" si="117"/>
        <v>5</v>
      </c>
      <c r="P795" s="1">
        <f t="shared" si="118"/>
        <v>7</v>
      </c>
      <c r="Q795" s="1">
        <f t="shared" si="119"/>
        <v>9</v>
      </c>
      <c r="S795"/>
      <c r="T795"/>
      <c r="U795"/>
    </row>
    <row r="796" spans="1:21" s="1" customFormat="1" x14ac:dyDescent="0.25">
      <c r="A796" s="1">
        <v>833</v>
      </c>
      <c r="B796" s="1" t="s">
        <v>116</v>
      </c>
      <c r="C796" s="1" t="s">
        <v>772</v>
      </c>
      <c r="D796" s="2">
        <v>42022.991331018522</v>
      </c>
      <c r="E796" s="2">
        <v>42022.991388888891</v>
      </c>
      <c r="F796" s="1">
        <v>1</v>
      </c>
      <c r="G796" s="1">
        <v>0</v>
      </c>
      <c r="H796" s="1">
        <v>8</v>
      </c>
      <c r="I796" s="1">
        <v>2</v>
      </c>
      <c r="J796" s="1">
        <v>1</v>
      </c>
      <c r="K796" s="1">
        <v>4</v>
      </c>
      <c r="L796" s="4">
        <v>28.8</v>
      </c>
      <c r="M796" s="3" t="str">
        <f t="shared" si="120"/>
        <v>Jan</v>
      </c>
      <c r="N796" s="2">
        <v>42022.991354166668</v>
      </c>
      <c r="O796" s="1">
        <f t="shared" si="117"/>
        <v>18</v>
      </c>
      <c r="P796" s="1">
        <f t="shared" si="118"/>
        <v>1</v>
      </c>
      <c r="Q796" s="1">
        <f t="shared" si="119"/>
        <v>23</v>
      </c>
      <c r="S796"/>
      <c r="T796"/>
      <c r="U796"/>
    </row>
    <row r="797" spans="1:21" s="1" customFormat="1" x14ac:dyDescent="0.25">
      <c r="A797" s="1">
        <v>834</v>
      </c>
      <c r="B797" s="1" t="s">
        <v>112</v>
      </c>
      <c r="C797" s="1" t="s">
        <v>773</v>
      </c>
      <c r="D797" s="2">
        <v>42042.329502314817</v>
      </c>
      <c r="E797" s="2">
        <v>42043.348321759258</v>
      </c>
      <c r="F797" s="1">
        <v>3</v>
      </c>
      <c r="G797" s="1">
        <v>2</v>
      </c>
      <c r="H797" s="1">
        <v>10</v>
      </c>
      <c r="I797" s="1">
        <v>3</v>
      </c>
      <c r="J797" s="1">
        <v>1</v>
      </c>
      <c r="K797" s="1">
        <v>4</v>
      </c>
      <c r="L797" s="4">
        <v>27.2</v>
      </c>
      <c r="M797" s="3" t="str">
        <f t="shared" si="120"/>
        <v>Feb</v>
      </c>
      <c r="N797" s="2">
        <v>42042.329525462963</v>
      </c>
      <c r="O797" s="1">
        <f t="shared" si="117"/>
        <v>7</v>
      </c>
      <c r="P797" s="1">
        <f t="shared" si="118"/>
        <v>7</v>
      </c>
      <c r="Q797" s="1">
        <f t="shared" si="119"/>
        <v>7</v>
      </c>
      <c r="S797"/>
      <c r="T797"/>
      <c r="U797"/>
    </row>
    <row r="798" spans="1:21" s="1" customFormat="1" x14ac:dyDescent="0.25">
      <c r="A798" s="1">
        <v>835</v>
      </c>
      <c r="B798" s="1" t="s">
        <v>94</v>
      </c>
      <c r="C798" s="1" t="s">
        <v>774</v>
      </c>
      <c r="D798" s="2">
        <v>42252.685393518521</v>
      </c>
      <c r="E798" s="2">
        <v>42252.685520833336</v>
      </c>
      <c r="F798" s="1">
        <v>1</v>
      </c>
      <c r="G798" s="1">
        <v>2</v>
      </c>
      <c r="H798" s="1">
        <v>2</v>
      </c>
      <c r="I798" s="1">
        <v>2</v>
      </c>
      <c r="J798" s="1">
        <v>1</v>
      </c>
      <c r="K798" s="1">
        <v>1</v>
      </c>
      <c r="L798" s="3">
        <v>32.64</v>
      </c>
      <c r="M798" s="3" t="str">
        <f t="shared" si="120"/>
        <v>Sep</v>
      </c>
      <c r="N798" s="2">
        <v>42252.685393518521</v>
      </c>
      <c r="O798" s="1">
        <f t="shared" si="117"/>
        <v>5</v>
      </c>
      <c r="P798" s="1">
        <f t="shared" si="118"/>
        <v>7</v>
      </c>
      <c r="Q798" s="1">
        <f t="shared" si="119"/>
        <v>16</v>
      </c>
      <c r="S798"/>
      <c r="T798"/>
      <c r="U798"/>
    </row>
    <row r="799" spans="1:21" s="1" customFormat="1" x14ac:dyDescent="0.25">
      <c r="A799" s="1">
        <v>836</v>
      </c>
      <c r="B799" s="1" t="s">
        <v>112</v>
      </c>
      <c r="C799" s="1" t="s">
        <v>775</v>
      </c>
      <c r="D799" s="2">
        <v>42167.539097222223</v>
      </c>
      <c r="E799" s="2">
        <v>42167.539201388892</v>
      </c>
      <c r="F799" s="1">
        <v>1</v>
      </c>
      <c r="G799" s="1">
        <v>0</v>
      </c>
      <c r="H799" s="1">
        <v>10</v>
      </c>
      <c r="I799" s="1">
        <v>3</v>
      </c>
      <c r="J799" s="1">
        <v>1</v>
      </c>
      <c r="K799" s="1">
        <v>4</v>
      </c>
      <c r="L799" s="3">
        <v>27</v>
      </c>
      <c r="M799" s="3" t="str">
        <f t="shared" si="120"/>
        <v>Jun</v>
      </c>
      <c r="N799" s="2">
        <v>42167.539166666669</v>
      </c>
      <c r="O799" s="1">
        <f t="shared" si="117"/>
        <v>12</v>
      </c>
      <c r="P799" s="1">
        <f t="shared" si="118"/>
        <v>6</v>
      </c>
      <c r="Q799" s="1">
        <f t="shared" si="119"/>
        <v>12</v>
      </c>
      <c r="S799"/>
      <c r="T799"/>
      <c r="U799"/>
    </row>
    <row r="800" spans="1:21" s="1" customFormat="1" x14ac:dyDescent="0.25">
      <c r="A800" s="1">
        <v>837</v>
      </c>
      <c r="B800" s="1" t="s">
        <v>94</v>
      </c>
      <c r="C800" s="1" t="s">
        <v>776</v>
      </c>
      <c r="D800" s="2">
        <v>42070.443194444444</v>
      </c>
      <c r="E800" s="2">
        <v>42070.443240740744</v>
      </c>
      <c r="F800" s="1">
        <v>1</v>
      </c>
      <c r="G800" s="1">
        <v>0</v>
      </c>
      <c r="H800" s="1">
        <v>6</v>
      </c>
      <c r="I800" s="1">
        <v>1</v>
      </c>
      <c r="J800" s="1">
        <v>1</v>
      </c>
      <c r="K800" s="1">
        <v>2</v>
      </c>
      <c r="L800" s="4">
        <v>9</v>
      </c>
      <c r="M800" s="3" t="str">
        <f t="shared" si="120"/>
        <v>Mar</v>
      </c>
      <c r="N800" s="2">
        <v>42070.443206018521</v>
      </c>
      <c r="O800" s="1">
        <f t="shared" si="117"/>
        <v>7</v>
      </c>
      <c r="P800" s="1">
        <f t="shared" si="118"/>
        <v>7</v>
      </c>
      <c r="Q800" s="1">
        <f t="shared" si="119"/>
        <v>10</v>
      </c>
      <c r="S800"/>
      <c r="T800"/>
      <c r="U800"/>
    </row>
    <row r="801" spans="1:21" s="1" customFormat="1" x14ac:dyDescent="0.25">
      <c r="A801" s="1">
        <v>838</v>
      </c>
      <c r="D801" s="2">
        <v>42078.894224537034</v>
      </c>
      <c r="E801" s="2">
        <v>42137.772604166668</v>
      </c>
      <c r="F801" s="1">
        <v>2</v>
      </c>
      <c r="G801" s="1">
        <v>1</v>
      </c>
      <c r="H801" s="1">
        <v>2</v>
      </c>
      <c r="I801" s="1">
        <v>2</v>
      </c>
      <c r="J801" s="1">
        <v>1</v>
      </c>
      <c r="K801" s="1">
        <v>2</v>
      </c>
      <c r="L801" s="4">
        <v>18</v>
      </c>
      <c r="M801" s="3" t="str">
        <f t="shared" si="120"/>
        <v>May</v>
      </c>
      <c r="N801" s="2">
        <v>42137.775358796294</v>
      </c>
      <c r="O801" s="1">
        <f t="shared" si="117"/>
        <v>13</v>
      </c>
      <c r="P801" s="1">
        <f t="shared" si="118"/>
        <v>4</v>
      </c>
      <c r="Q801" s="1">
        <f t="shared" si="119"/>
        <v>18</v>
      </c>
      <c r="S801"/>
      <c r="T801"/>
      <c r="U801"/>
    </row>
    <row r="802" spans="1:21" s="1" customFormat="1" x14ac:dyDescent="0.25">
      <c r="A802" s="1">
        <v>839</v>
      </c>
      <c r="B802" s="1" t="s">
        <v>85</v>
      </c>
      <c r="C802" s="1" t="s">
        <v>777</v>
      </c>
      <c r="D802" s="2">
        <v>42200.052002314813</v>
      </c>
      <c r="E802" s="2">
        <v>42199.885347222225</v>
      </c>
      <c r="F802" s="1">
        <v>1</v>
      </c>
      <c r="G802" s="1">
        <v>0</v>
      </c>
      <c r="H802" s="1">
        <v>4</v>
      </c>
      <c r="I802" s="1">
        <v>6</v>
      </c>
      <c r="J802" s="1">
        <v>1</v>
      </c>
      <c r="K802" s="1">
        <v>2</v>
      </c>
      <c r="L802" s="3">
        <v>22</v>
      </c>
      <c r="M802" s="3" t="str">
        <f t="shared" si="120"/>
        <v>Jul</v>
      </c>
      <c r="N802" s="2">
        <v>42199.888240740744</v>
      </c>
      <c r="O802" s="1">
        <f t="shared" si="117"/>
        <v>14</v>
      </c>
      <c r="P802" s="1">
        <f t="shared" si="118"/>
        <v>3</v>
      </c>
      <c r="Q802" s="1">
        <f t="shared" si="119"/>
        <v>21</v>
      </c>
      <c r="S802"/>
      <c r="T802"/>
      <c r="U802"/>
    </row>
    <row r="803" spans="1:21" s="1" customFormat="1" x14ac:dyDescent="0.25">
      <c r="A803" s="1">
        <v>840</v>
      </c>
      <c r="B803" s="1" t="s">
        <v>109</v>
      </c>
      <c r="C803" s="1" t="s">
        <v>778</v>
      </c>
      <c r="D803" s="2">
        <v>42081.561388888891</v>
      </c>
      <c r="E803" s="2">
        <v>42081.651979166665</v>
      </c>
      <c r="F803" s="1">
        <v>3</v>
      </c>
      <c r="G803" s="1">
        <v>0</v>
      </c>
      <c r="H803" s="1">
        <v>4</v>
      </c>
      <c r="I803" s="1">
        <v>2</v>
      </c>
      <c r="J803" s="1">
        <v>1</v>
      </c>
      <c r="K803" s="1">
        <v>4</v>
      </c>
      <c r="L803" s="4">
        <v>28.8</v>
      </c>
      <c r="M803" s="3" t="str">
        <f t="shared" si="120"/>
        <v>Mar</v>
      </c>
      <c r="N803" s="2">
        <v>42081.566712962966</v>
      </c>
      <c r="O803" s="1">
        <f t="shared" si="117"/>
        <v>18</v>
      </c>
      <c r="P803" s="1">
        <f t="shared" si="118"/>
        <v>4</v>
      </c>
      <c r="Q803" s="1">
        <f t="shared" si="119"/>
        <v>13</v>
      </c>
      <c r="S803"/>
      <c r="T803"/>
      <c r="U803"/>
    </row>
    <row r="804" spans="1:21" s="1" customFormat="1" x14ac:dyDescent="0.25">
      <c r="A804" s="1">
        <v>841</v>
      </c>
      <c r="B804" s="1" t="s">
        <v>91</v>
      </c>
      <c r="C804" s="1" t="s">
        <v>779</v>
      </c>
      <c r="D804" s="2">
        <v>42186.560439814813</v>
      </c>
      <c r="E804" s="2">
        <v>42186.560474537036</v>
      </c>
      <c r="F804" s="1">
        <v>1</v>
      </c>
      <c r="G804" s="1">
        <v>0</v>
      </c>
      <c r="H804" s="1">
        <v>2</v>
      </c>
      <c r="I804" s="1">
        <v>2</v>
      </c>
      <c r="J804" s="1">
        <v>1</v>
      </c>
      <c r="K804" s="1">
        <v>1</v>
      </c>
      <c r="L804" s="3">
        <v>28.8</v>
      </c>
      <c r="M804" s="3" t="str">
        <f t="shared" si="120"/>
        <v>Jul</v>
      </c>
      <c r="N804" s="2">
        <v>42186.560439814813</v>
      </c>
      <c r="O804" s="1">
        <f t="shared" ref="O804:O809" si="121">DAY(N804)</f>
        <v>1</v>
      </c>
      <c r="P804" s="1">
        <f t="shared" ref="P804:P809" si="122">WEEKDAY(N804,1)</f>
        <v>4</v>
      </c>
      <c r="Q804" s="1">
        <f t="shared" ref="Q804:Q809" si="123">HOUR(N804)</f>
        <v>13</v>
      </c>
      <c r="S804"/>
      <c r="T804"/>
      <c r="U804"/>
    </row>
    <row r="805" spans="1:21" s="1" customFormat="1" x14ac:dyDescent="0.25">
      <c r="A805" s="1">
        <v>842</v>
      </c>
      <c r="B805" s="1" t="s">
        <v>116</v>
      </c>
      <c r="C805" s="1" t="s">
        <v>780</v>
      </c>
      <c r="D805" s="2">
        <v>42153.578796296293</v>
      </c>
      <c r="E805" s="2">
        <v>42153.578842592593</v>
      </c>
      <c r="F805" s="1">
        <v>1</v>
      </c>
      <c r="G805" s="1">
        <v>0</v>
      </c>
      <c r="H805" s="1">
        <v>2</v>
      </c>
      <c r="I805" s="1">
        <v>2</v>
      </c>
      <c r="J805" s="1">
        <v>1</v>
      </c>
      <c r="K805" s="1">
        <v>1</v>
      </c>
      <c r="L805" s="3">
        <v>28.8</v>
      </c>
      <c r="M805" s="3" t="str">
        <f t="shared" si="120"/>
        <v>May</v>
      </c>
      <c r="N805" s="2">
        <v>42153.57880787037</v>
      </c>
      <c r="O805" s="1">
        <f t="shared" si="121"/>
        <v>29</v>
      </c>
      <c r="P805" s="1">
        <f t="shared" si="122"/>
        <v>6</v>
      </c>
      <c r="Q805" s="1">
        <f t="shared" si="123"/>
        <v>13</v>
      </c>
      <c r="S805"/>
      <c r="T805"/>
      <c r="U805"/>
    </row>
    <row r="806" spans="1:21" s="1" customFormat="1" x14ac:dyDescent="0.25">
      <c r="A806" s="1">
        <v>843</v>
      </c>
      <c r="D806" s="2">
        <v>42110.787361111114</v>
      </c>
      <c r="E806" s="2">
        <v>42110.787407407406</v>
      </c>
      <c r="F806" s="1">
        <v>1</v>
      </c>
      <c r="G806" s="1">
        <v>0</v>
      </c>
      <c r="H806" s="1">
        <v>8</v>
      </c>
      <c r="I806" s="1">
        <v>3</v>
      </c>
      <c r="J806" s="1">
        <v>1</v>
      </c>
      <c r="K806" s="1">
        <v>4</v>
      </c>
      <c r="L806" s="4">
        <v>28.8</v>
      </c>
      <c r="M806" s="3" t="str">
        <f t="shared" si="120"/>
        <v>Apr</v>
      </c>
      <c r="N806" s="2">
        <v>42110.789270833331</v>
      </c>
      <c r="O806" s="1">
        <f t="shared" si="121"/>
        <v>16</v>
      </c>
      <c r="P806" s="1">
        <f t="shared" si="122"/>
        <v>5</v>
      </c>
      <c r="Q806" s="1">
        <f t="shared" si="123"/>
        <v>18</v>
      </c>
      <c r="S806"/>
      <c r="T806"/>
      <c r="U806"/>
    </row>
    <row r="807" spans="1:21" s="1" customFormat="1" x14ac:dyDescent="0.25">
      <c r="A807" s="1">
        <v>844</v>
      </c>
      <c r="B807" s="1" t="s">
        <v>96</v>
      </c>
      <c r="C807" s="1" t="s">
        <v>781</v>
      </c>
      <c r="D807" s="2">
        <v>42022.04587962963</v>
      </c>
      <c r="E807" s="2">
        <v>42022.045937499999</v>
      </c>
      <c r="F807" s="1">
        <v>1</v>
      </c>
      <c r="G807" s="1">
        <v>0</v>
      </c>
      <c r="H807" s="1">
        <v>4</v>
      </c>
      <c r="I807" s="1">
        <v>2</v>
      </c>
      <c r="J807" s="1">
        <v>1</v>
      </c>
      <c r="K807" s="1">
        <v>2</v>
      </c>
      <c r="L807" s="4">
        <v>9</v>
      </c>
      <c r="M807" s="3" t="str">
        <f t="shared" si="120"/>
        <v>Jan</v>
      </c>
      <c r="N807" s="2">
        <v>42022.045902777776</v>
      </c>
      <c r="O807" s="1">
        <f t="shared" si="121"/>
        <v>18</v>
      </c>
      <c r="P807" s="1">
        <f t="shared" si="122"/>
        <v>1</v>
      </c>
      <c r="Q807" s="1">
        <f t="shared" si="123"/>
        <v>1</v>
      </c>
      <c r="S807"/>
      <c r="T807"/>
      <c r="U807"/>
    </row>
    <row r="808" spans="1:21" s="1" customFormat="1" x14ac:dyDescent="0.25">
      <c r="A808" s="1">
        <v>845</v>
      </c>
      <c r="D808" s="2">
        <v>42023.802835648145</v>
      </c>
      <c r="E808" s="2">
        <v>42023.802893518521</v>
      </c>
      <c r="F808" s="1">
        <v>1</v>
      </c>
      <c r="G808" s="1">
        <v>0</v>
      </c>
      <c r="H808" s="1">
        <v>6</v>
      </c>
      <c r="I808" s="1">
        <v>5</v>
      </c>
      <c r="J808" s="1">
        <v>1</v>
      </c>
      <c r="K808" s="1">
        <v>2</v>
      </c>
      <c r="L808" s="4">
        <v>14.4</v>
      </c>
      <c r="M808" s="3" t="str">
        <f t="shared" si="120"/>
        <v>Jan</v>
      </c>
      <c r="N808" s="2">
        <v>42023.804386574076</v>
      </c>
      <c r="O808" s="1">
        <f t="shared" si="121"/>
        <v>19</v>
      </c>
      <c r="P808" s="1">
        <f t="shared" si="122"/>
        <v>2</v>
      </c>
      <c r="Q808" s="1">
        <f t="shared" si="123"/>
        <v>19</v>
      </c>
      <c r="S808"/>
      <c r="T808"/>
      <c r="U808"/>
    </row>
    <row r="809" spans="1:21" s="1" customFormat="1" x14ac:dyDescent="0.25">
      <c r="A809" s="1">
        <v>846</v>
      </c>
      <c r="B809" s="1" t="s">
        <v>119</v>
      </c>
      <c r="C809" s="1" t="s">
        <v>782</v>
      </c>
      <c r="D809" s="2">
        <v>42095.754062499997</v>
      </c>
      <c r="E809" s="2">
        <v>42095.754108796296</v>
      </c>
      <c r="F809" s="1">
        <v>1</v>
      </c>
      <c r="G809" s="1">
        <v>0</v>
      </c>
      <c r="H809" s="1">
        <v>7</v>
      </c>
      <c r="I809" s="1">
        <v>7</v>
      </c>
      <c r="J809" s="1">
        <v>1</v>
      </c>
      <c r="K809" s="1">
        <v>4</v>
      </c>
      <c r="L809" s="4">
        <v>28.8</v>
      </c>
      <c r="M809" s="3" t="str">
        <f t="shared" si="120"/>
        <v>Apr</v>
      </c>
      <c r="N809" s="2">
        <v>42095.769363425927</v>
      </c>
      <c r="O809" s="1">
        <f t="shared" si="121"/>
        <v>1</v>
      </c>
      <c r="P809" s="1">
        <f t="shared" si="122"/>
        <v>4</v>
      </c>
      <c r="Q809" s="1">
        <f t="shared" si="123"/>
        <v>18</v>
      </c>
      <c r="S809"/>
      <c r="T809"/>
      <c r="U809"/>
    </row>
    <row r="810" spans="1:21" s="1" customFormat="1" x14ac:dyDescent="0.25">
      <c r="A810" s="1">
        <v>848</v>
      </c>
      <c r="B810" s="1" t="s">
        <v>341</v>
      </c>
      <c r="C810" s="1" t="s">
        <v>783</v>
      </c>
      <c r="D810" s="2">
        <v>42158.918819444443</v>
      </c>
      <c r="E810" s="2">
        <v>42158.918854166666</v>
      </c>
      <c r="F810" s="1">
        <v>1</v>
      </c>
      <c r="G810" s="1">
        <v>0</v>
      </c>
      <c r="H810" s="1">
        <v>2</v>
      </c>
      <c r="I810" s="1">
        <v>2</v>
      </c>
      <c r="J810" s="1">
        <v>1</v>
      </c>
      <c r="K810" s="1">
        <v>4</v>
      </c>
      <c r="L810" s="3">
        <v>36</v>
      </c>
      <c r="M810" s="3" t="str">
        <f t="shared" si="120"/>
        <v>Jun</v>
      </c>
      <c r="N810" s="2">
        <v>42158.91883101852</v>
      </c>
      <c r="O810" s="1">
        <f t="shared" ref="O810:O814" si="124">DAY(N810)</f>
        <v>3</v>
      </c>
      <c r="P810" s="1">
        <f t="shared" ref="P810:P814" si="125">WEEKDAY(N810,1)</f>
        <v>4</v>
      </c>
      <c r="Q810" s="1">
        <f t="shared" ref="Q810:Q814" si="126">HOUR(N810)</f>
        <v>22</v>
      </c>
      <c r="S810"/>
      <c r="T810"/>
      <c r="U810"/>
    </row>
    <row r="811" spans="1:21" s="1" customFormat="1" x14ac:dyDescent="0.25">
      <c r="A811" s="1">
        <v>849</v>
      </c>
      <c r="B811" s="1" t="s">
        <v>112</v>
      </c>
      <c r="C811" s="1" t="s">
        <v>784</v>
      </c>
      <c r="D811" s="2">
        <v>42170.428055555552</v>
      </c>
      <c r="E811" s="2">
        <v>42170.428113425929</v>
      </c>
      <c r="F811" s="1">
        <v>1</v>
      </c>
      <c r="G811" s="1">
        <v>2</v>
      </c>
      <c r="H811" s="1">
        <v>8</v>
      </c>
      <c r="I811" s="1">
        <v>2</v>
      </c>
      <c r="J811" s="1">
        <v>1</v>
      </c>
      <c r="K811" s="1">
        <v>7</v>
      </c>
      <c r="L811" s="3">
        <v>72</v>
      </c>
      <c r="M811" s="3" t="str">
        <f t="shared" si="120"/>
        <v>Jun</v>
      </c>
      <c r="N811" s="2">
        <v>42170.428067129629</v>
      </c>
      <c r="O811" s="1">
        <f t="shared" si="124"/>
        <v>15</v>
      </c>
      <c r="P811" s="1">
        <f t="shared" si="125"/>
        <v>2</v>
      </c>
      <c r="Q811" s="1">
        <f t="shared" si="126"/>
        <v>10</v>
      </c>
      <c r="S811"/>
      <c r="T811"/>
      <c r="U811"/>
    </row>
    <row r="812" spans="1:21" s="1" customFormat="1" x14ac:dyDescent="0.25">
      <c r="A812" s="1">
        <v>850</v>
      </c>
      <c r="D812" s="2">
        <v>42258.517141203702</v>
      </c>
      <c r="E812" s="2">
        <v>42258.517141203702</v>
      </c>
      <c r="F812" s="1">
        <v>1</v>
      </c>
      <c r="G812" s="1">
        <v>3</v>
      </c>
      <c r="H812" s="1">
        <v>2</v>
      </c>
      <c r="I812" s="1">
        <v>1</v>
      </c>
      <c r="J812" s="1">
        <v>1</v>
      </c>
      <c r="K812" s="1">
        <v>4</v>
      </c>
      <c r="L812" s="3">
        <v>44</v>
      </c>
      <c r="M812" s="3" t="str">
        <f t="shared" si="120"/>
        <v>Sep</v>
      </c>
      <c r="N812" s="2">
        <v>42258.520821759259</v>
      </c>
      <c r="O812" s="1">
        <f t="shared" si="124"/>
        <v>11</v>
      </c>
      <c r="P812" s="1">
        <f t="shared" si="125"/>
        <v>6</v>
      </c>
      <c r="Q812" s="1">
        <f t="shared" si="126"/>
        <v>12</v>
      </c>
      <c r="S812"/>
      <c r="T812"/>
      <c r="U812"/>
    </row>
    <row r="813" spans="1:21" s="1" customFormat="1" x14ac:dyDescent="0.25">
      <c r="A813" s="1">
        <v>851</v>
      </c>
      <c r="B813" s="1" t="s">
        <v>112</v>
      </c>
      <c r="C813" s="1" t="s">
        <v>785</v>
      </c>
      <c r="D813" s="2">
        <v>42100.572199074071</v>
      </c>
      <c r="E813" s="2">
        <v>42100.572268518517</v>
      </c>
      <c r="F813" s="1">
        <v>1</v>
      </c>
      <c r="G813" s="1">
        <v>0</v>
      </c>
      <c r="H813" s="1">
        <v>14</v>
      </c>
      <c r="I813" s="1">
        <v>1</v>
      </c>
      <c r="J813" s="1">
        <v>1</v>
      </c>
      <c r="K813" s="1">
        <v>4</v>
      </c>
      <c r="L813" s="4">
        <v>27</v>
      </c>
      <c r="M813" s="3" t="str">
        <f t="shared" si="120"/>
        <v>Apr</v>
      </c>
      <c r="N813" s="2">
        <v>42100.572210648148</v>
      </c>
      <c r="O813" s="1">
        <f t="shared" si="124"/>
        <v>6</v>
      </c>
      <c r="P813" s="1">
        <f t="shared" si="125"/>
        <v>2</v>
      </c>
      <c r="Q813" s="1">
        <f t="shared" si="126"/>
        <v>13</v>
      </c>
      <c r="S813"/>
      <c r="T813"/>
      <c r="U813"/>
    </row>
    <row r="814" spans="1:21" s="1" customFormat="1" x14ac:dyDescent="0.25">
      <c r="A814" s="1">
        <v>852</v>
      </c>
      <c r="B814" s="1" t="s">
        <v>100</v>
      </c>
      <c r="C814" s="1" t="s">
        <v>786</v>
      </c>
      <c r="D814" s="2">
        <v>42205.799699074072</v>
      </c>
      <c r="E814" s="2">
        <v>42205.633113425924</v>
      </c>
      <c r="F814" s="1">
        <v>1</v>
      </c>
      <c r="G814" s="1">
        <v>2</v>
      </c>
      <c r="H814" s="1">
        <v>2</v>
      </c>
      <c r="I814" s="1">
        <v>2</v>
      </c>
      <c r="J814" s="1">
        <v>1</v>
      </c>
      <c r="K814" s="1">
        <v>2</v>
      </c>
      <c r="L814" s="3">
        <v>22</v>
      </c>
      <c r="M814" s="3" t="str">
        <f t="shared" si="120"/>
        <v>Jul</v>
      </c>
      <c r="N814" s="2">
        <v>42205.633055555554</v>
      </c>
      <c r="O814" s="1">
        <f t="shared" si="124"/>
        <v>20</v>
      </c>
      <c r="P814" s="1">
        <f t="shared" si="125"/>
        <v>2</v>
      </c>
      <c r="Q814" s="1">
        <f t="shared" si="126"/>
        <v>15</v>
      </c>
      <c r="S814"/>
      <c r="T814"/>
      <c r="U814"/>
    </row>
    <row r="815" spans="1:21" s="1" customFormat="1" x14ac:dyDescent="0.25">
      <c r="A815" s="1">
        <v>854</v>
      </c>
      <c r="D815" s="2">
        <v>42260.754594907405</v>
      </c>
      <c r="E815" s="2">
        <v>42260.754606481481</v>
      </c>
      <c r="F815" s="1">
        <v>1</v>
      </c>
      <c r="G815" s="1">
        <v>10</v>
      </c>
      <c r="H815" s="1">
        <v>4</v>
      </c>
      <c r="I815" s="1">
        <v>2</v>
      </c>
      <c r="J815" s="1">
        <v>1</v>
      </c>
      <c r="K815" s="1">
        <v>2</v>
      </c>
      <c r="L815" s="3">
        <v>59.84</v>
      </c>
      <c r="M815" s="3" t="str">
        <f t="shared" si="120"/>
        <v>Sep</v>
      </c>
      <c r="N815" s="2">
        <v>42260.756157407406</v>
      </c>
      <c r="O815" s="1">
        <f t="shared" ref="O815:O819" si="127">DAY(N815)</f>
        <v>13</v>
      </c>
      <c r="P815" s="1">
        <f t="shared" ref="P815:P819" si="128">WEEKDAY(N815,1)</f>
        <v>1</v>
      </c>
      <c r="Q815" s="1">
        <f t="shared" ref="Q815:Q819" si="129">HOUR(N815)</f>
        <v>18</v>
      </c>
      <c r="S815"/>
      <c r="T815"/>
      <c r="U815"/>
    </row>
    <row r="816" spans="1:21" s="1" customFormat="1" x14ac:dyDescent="0.25">
      <c r="A816" s="1">
        <v>855</v>
      </c>
      <c r="B816" s="1" t="s">
        <v>147</v>
      </c>
      <c r="C816" s="1" t="s">
        <v>787</v>
      </c>
      <c r="D816" s="2">
        <v>42193.10255787037</v>
      </c>
      <c r="E816" s="2">
        <v>42192.935960648145</v>
      </c>
      <c r="F816" s="1">
        <v>1</v>
      </c>
      <c r="G816" s="1">
        <v>2</v>
      </c>
      <c r="H816" s="1">
        <v>2</v>
      </c>
      <c r="I816" s="1">
        <v>2</v>
      </c>
      <c r="J816" s="1">
        <v>1</v>
      </c>
      <c r="K816" s="1">
        <v>1</v>
      </c>
      <c r="L816" s="3">
        <v>54</v>
      </c>
      <c r="M816" s="3" t="str">
        <f t="shared" si="120"/>
        <v>Jul</v>
      </c>
      <c r="N816" s="2">
        <v>42192.935902777775</v>
      </c>
      <c r="O816" s="1">
        <f t="shared" si="127"/>
        <v>7</v>
      </c>
      <c r="P816" s="1">
        <f t="shared" si="128"/>
        <v>3</v>
      </c>
      <c r="Q816" s="1">
        <f t="shared" si="129"/>
        <v>22</v>
      </c>
      <c r="S816"/>
      <c r="T816"/>
      <c r="U816"/>
    </row>
    <row r="817" spans="1:21" s="1" customFormat="1" x14ac:dyDescent="0.25">
      <c r="A817" s="1">
        <v>856</v>
      </c>
      <c r="B817" s="1" t="s">
        <v>341</v>
      </c>
      <c r="C817" s="1" t="s">
        <v>788</v>
      </c>
      <c r="D817" s="2">
        <v>42240.829861111109</v>
      </c>
      <c r="E817" s="2">
        <v>42240.663252314815</v>
      </c>
      <c r="F817" s="1">
        <v>1</v>
      </c>
      <c r="G817" s="1">
        <v>4</v>
      </c>
      <c r="H817" s="1">
        <v>8</v>
      </c>
      <c r="I817" s="1">
        <v>2</v>
      </c>
      <c r="J817" s="1">
        <v>1</v>
      </c>
      <c r="K817" s="1">
        <v>4</v>
      </c>
      <c r="L817" s="3">
        <v>35.200000000000003</v>
      </c>
      <c r="M817" s="3" t="str">
        <f t="shared" si="120"/>
        <v>Aug</v>
      </c>
      <c r="N817" s="2">
        <v>42240.663194444445</v>
      </c>
      <c r="O817" s="1">
        <f t="shared" si="127"/>
        <v>24</v>
      </c>
      <c r="P817" s="1">
        <f t="shared" si="128"/>
        <v>2</v>
      </c>
      <c r="Q817" s="1">
        <f t="shared" si="129"/>
        <v>15</v>
      </c>
      <c r="S817"/>
      <c r="T817"/>
      <c r="U817"/>
    </row>
    <row r="818" spans="1:21" s="1" customFormat="1" x14ac:dyDescent="0.25">
      <c r="A818" s="1">
        <v>857</v>
      </c>
      <c r="B818" s="1" t="s">
        <v>96</v>
      </c>
      <c r="C818" s="1" t="s">
        <v>789</v>
      </c>
      <c r="D818" s="2">
        <v>42133.418854166666</v>
      </c>
      <c r="E818" s="2">
        <v>42133.418900462966</v>
      </c>
      <c r="F818" s="1">
        <v>1</v>
      </c>
      <c r="G818" s="1">
        <v>8</v>
      </c>
      <c r="H818" s="1">
        <v>8</v>
      </c>
      <c r="I818" s="1">
        <v>2</v>
      </c>
      <c r="J818" s="1">
        <v>1</v>
      </c>
      <c r="K818" s="1">
        <v>4</v>
      </c>
      <c r="L818" s="4">
        <v>28.8</v>
      </c>
      <c r="M818" s="3" t="str">
        <f t="shared" si="120"/>
        <v>May</v>
      </c>
      <c r="N818" s="2">
        <v>42133.418854166666</v>
      </c>
      <c r="O818" s="1">
        <f t="shared" si="127"/>
        <v>9</v>
      </c>
      <c r="P818" s="1">
        <f t="shared" si="128"/>
        <v>7</v>
      </c>
      <c r="Q818" s="1">
        <f t="shared" si="129"/>
        <v>10</v>
      </c>
      <c r="S818"/>
      <c r="T818"/>
      <c r="U818"/>
    </row>
    <row r="819" spans="1:21" s="1" customFormat="1" x14ac:dyDescent="0.25">
      <c r="A819" s="1">
        <v>858</v>
      </c>
      <c r="B819" s="1" t="s">
        <v>123</v>
      </c>
      <c r="C819" s="1" t="s">
        <v>790</v>
      </c>
      <c r="D819" s="2">
        <v>42063.49355324074</v>
      </c>
      <c r="E819" s="2">
        <v>42063.493611111109</v>
      </c>
      <c r="F819" s="1">
        <v>1</v>
      </c>
      <c r="G819" s="1">
        <v>0</v>
      </c>
      <c r="H819" s="1">
        <v>2</v>
      </c>
      <c r="I819" s="1">
        <v>1</v>
      </c>
      <c r="J819" s="1">
        <v>1</v>
      </c>
      <c r="K819" s="1">
        <v>1</v>
      </c>
      <c r="L819" s="4">
        <v>57.6</v>
      </c>
      <c r="M819" s="3" t="str">
        <f t="shared" si="120"/>
        <v>Feb</v>
      </c>
      <c r="N819" s="2">
        <v>42063.493564814817</v>
      </c>
      <c r="O819" s="1">
        <f t="shared" si="127"/>
        <v>28</v>
      </c>
      <c r="P819" s="1">
        <f t="shared" si="128"/>
        <v>7</v>
      </c>
      <c r="Q819" s="1">
        <f t="shared" si="129"/>
        <v>11</v>
      </c>
      <c r="S819"/>
      <c r="T819"/>
      <c r="U819"/>
    </row>
    <row r="820" spans="1:21" s="1" customFormat="1" x14ac:dyDescent="0.25">
      <c r="A820" s="1">
        <v>860</v>
      </c>
      <c r="B820" s="1" t="s">
        <v>96</v>
      </c>
      <c r="C820" s="1" t="s">
        <v>157</v>
      </c>
      <c r="D820" s="2">
        <v>42025.487025462964</v>
      </c>
      <c r="E820" s="2">
        <v>42025.487060185187</v>
      </c>
      <c r="F820" s="1">
        <v>1</v>
      </c>
      <c r="G820" s="1">
        <v>0</v>
      </c>
      <c r="H820" s="1">
        <v>4</v>
      </c>
      <c r="I820" s="1">
        <v>2</v>
      </c>
      <c r="J820" s="1">
        <v>1</v>
      </c>
      <c r="K820" s="1">
        <v>2</v>
      </c>
      <c r="L820" s="4">
        <v>18</v>
      </c>
      <c r="M820" s="3" t="str">
        <f t="shared" si="120"/>
        <v>Jan</v>
      </c>
      <c r="N820" s="2">
        <v>42025.487037037034</v>
      </c>
      <c r="O820" s="1">
        <f t="shared" ref="O820:O845" si="130">DAY(N820)</f>
        <v>21</v>
      </c>
      <c r="P820" s="1">
        <f t="shared" ref="P820:P845" si="131">WEEKDAY(N820,1)</f>
        <v>4</v>
      </c>
      <c r="Q820" s="1">
        <f t="shared" ref="Q820:Q845" si="132">HOUR(N820)</f>
        <v>11</v>
      </c>
      <c r="S820"/>
      <c r="T820"/>
      <c r="U820"/>
    </row>
    <row r="821" spans="1:21" s="1" customFormat="1" x14ac:dyDescent="0.25">
      <c r="A821" s="1">
        <v>861</v>
      </c>
      <c r="B821" s="1" t="s">
        <v>182</v>
      </c>
      <c r="C821" s="1" t="s">
        <v>791</v>
      </c>
      <c r="D821" s="2">
        <v>42204.993310185186</v>
      </c>
      <c r="E821" s="2">
        <v>42204.82671296296</v>
      </c>
      <c r="F821" s="1">
        <v>1</v>
      </c>
      <c r="G821" s="1">
        <v>8</v>
      </c>
      <c r="H821" s="1">
        <v>8</v>
      </c>
      <c r="I821" s="1">
        <v>3</v>
      </c>
      <c r="J821" s="1">
        <v>1</v>
      </c>
      <c r="K821" s="1">
        <v>2</v>
      </c>
      <c r="L821" s="3">
        <v>38.72</v>
      </c>
      <c r="M821" s="3" t="str">
        <f t="shared" si="120"/>
        <v>Jul</v>
      </c>
      <c r="N821" s="2">
        <v>42204.826655092591</v>
      </c>
      <c r="O821" s="1">
        <f t="shared" si="130"/>
        <v>19</v>
      </c>
      <c r="P821" s="1">
        <f t="shared" si="131"/>
        <v>1</v>
      </c>
      <c r="Q821" s="1">
        <f t="shared" si="132"/>
        <v>19</v>
      </c>
      <c r="S821"/>
      <c r="T821"/>
      <c r="U821"/>
    </row>
    <row r="822" spans="1:21" s="1" customFormat="1" x14ac:dyDescent="0.25">
      <c r="A822" s="1">
        <v>862</v>
      </c>
      <c r="B822" s="1" t="s">
        <v>83</v>
      </c>
      <c r="C822" s="1" t="s">
        <v>792</v>
      </c>
      <c r="D822" s="2">
        <v>42208.475601851853</v>
      </c>
      <c r="E822" s="2">
        <v>42208.475636574076</v>
      </c>
      <c r="F822" s="1">
        <v>1</v>
      </c>
      <c r="G822" s="1">
        <v>4</v>
      </c>
      <c r="H822" s="1">
        <v>8</v>
      </c>
      <c r="I822" s="1">
        <v>4</v>
      </c>
      <c r="J822" s="1">
        <v>1</v>
      </c>
      <c r="K822" s="1">
        <v>3</v>
      </c>
      <c r="L822" s="3">
        <v>33</v>
      </c>
      <c r="M822" s="3" t="str">
        <f t="shared" si="120"/>
        <v>Jul</v>
      </c>
      <c r="N822" s="2">
        <v>42208.475601851853</v>
      </c>
      <c r="O822" s="1">
        <f t="shared" si="130"/>
        <v>23</v>
      </c>
      <c r="P822" s="1">
        <f t="shared" si="131"/>
        <v>5</v>
      </c>
      <c r="Q822" s="1">
        <f t="shared" si="132"/>
        <v>11</v>
      </c>
      <c r="S822"/>
      <c r="T822"/>
      <c r="U822"/>
    </row>
    <row r="823" spans="1:21" s="1" customFormat="1" x14ac:dyDescent="0.25">
      <c r="A823" s="1">
        <v>863</v>
      </c>
      <c r="B823" s="1" t="s">
        <v>89</v>
      </c>
      <c r="C823" s="1" t="s">
        <v>793</v>
      </c>
      <c r="D823" s="2">
        <v>42118.986608796295</v>
      </c>
      <c r="E823" s="2">
        <v>42118.986666666664</v>
      </c>
      <c r="F823" s="1">
        <v>1</v>
      </c>
      <c r="G823" s="1">
        <v>2</v>
      </c>
      <c r="H823" s="1">
        <v>8</v>
      </c>
      <c r="I823" s="1">
        <v>1</v>
      </c>
      <c r="J823" s="1">
        <v>1</v>
      </c>
      <c r="K823" s="1">
        <v>3</v>
      </c>
      <c r="L823" s="4">
        <v>27</v>
      </c>
      <c r="M823" s="3" t="str">
        <f t="shared" si="120"/>
        <v>Apr</v>
      </c>
      <c r="N823" s="2">
        <v>42118.986620370371</v>
      </c>
      <c r="O823" s="1">
        <f t="shared" si="130"/>
        <v>24</v>
      </c>
      <c r="P823" s="1">
        <f t="shared" si="131"/>
        <v>6</v>
      </c>
      <c r="Q823" s="1">
        <f t="shared" si="132"/>
        <v>23</v>
      </c>
      <c r="S823"/>
      <c r="T823"/>
      <c r="U823"/>
    </row>
    <row r="824" spans="1:21" s="1" customFormat="1" x14ac:dyDescent="0.25">
      <c r="A824" s="1">
        <v>864</v>
      </c>
      <c r="B824" s="1" t="s">
        <v>107</v>
      </c>
      <c r="C824" s="1" t="s">
        <v>794</v>
      </c>
      <c r="D824" s="2">
        <v>42115.418715277781</v>
      </c>
      <c r="E824" s="2">
        <v>42115.418773148151</v>
      </c>
      <c r="F824" s="1">
        <v>1</v>
      </c>
      <c r="G824" s="1">
        <v>6</v>
      </c>
      <c r="H824" s="1">
        <v>10</v>
      </c>
      <c r="I824" s="1">
        <v>1</v>
      </c>
      <c r="J824" s="1">
        <v>1</v>
      </c>
      <c r="K824" s="1">
        <v>4</v>
      </c>
      <c r="L824" s="4">
        <v>27.2</v>
      </c>
      <c r="M824" s="3" t="str">
        <f t="shared" si="120"/>
        <v>Apr</v>
      </c>
      <c r="N824" s="2">
        <v>42115.418726851851</v>
      </c>
      <c r="O824" s="1">
        <f t="shared" si="130"/>
        <v>21</v>
      </c>
      <c r="P824" s="1">
        <f t="shared" si="131"/>
        <v>3</v>
      </c>
      <c r="Q824" s="1">
        <f t="shared" si="132"/>
        <v>10</v>
      </c>
      <c r="S824"/>
      <c r="T824"/>
      <c r="U824"/>
    </row>
    <row r="825" spans="1:21" s="1" customFormat="1" x14ac:dyDescent="0.25">
      <c r="A825" s="1">
        <v>865</v>
      </c>
      <c r="B825" s="1" t="s">
        <v>131</v>
      </c>
      <c r="C825" s="1" t="s">
        <v>795</v>
      </c>
      <c r="D825" s="2">
        <v>42159.066157407404</v>
      </c>
      <c r="E825" s="2">
        <v>42158.899525462963</v>
      </c>
      <c r="F825" s="1">
        <v>1</v>
      </c>
      <c r="G825" s="1">
        <v>8</v>
      </c>
      <c r="H825" s="1">
        <v>22</v>
      </c>
      <c r="I825" s="1">
        <v>2</v>
      </c>
      <c r="J825" s="1">
        <v>1</v>
      </c>
      <c r="K825" s="1">
        <v>12</v>
      </c>
      <c r="L825" s="3">
        <v>108</v>
      </c>
      <c r="M825" s="3" t="str">
        <f t="shared" si="120"/>
        <v>Jun</v>
      </c>
      <c r="N825" s="2">
        <v>42158.901423611111</v>
      </c>
      <c r="O825" s="1">
        <f t="shared" si="130"/>
        <v>3</v>
      </c>
      <c r="P825" s="1">
        <f t="shared" si="131"/>
        <v>4</v>
      </c>
      <c r="Q825" s="1">
        <f t="shared" si="132"/>
        <v>21</v>
      </c>
      <c r="S825"/>
      <c r="T825"/>
      <c r="U825"/>
    </row>
    <row r="826" spans="1:21" s="1" customFormat="1" x14ac:dyDescent="0.25">
      <c r="A826" s="1">
        <v>866</v>
      </c>
      <c r="B826" s="1" t="s">
        <v>131</v>
      </c>
      <c r="C826" s="1" t="s">
        <v>796</v>
      </c>
      <c r="D826" s="2">
        <v>42133.45994212963</v>
      </c>
      <c r="E826" s="2">
        <v>42133.459988425922</v>
      </c>
      <c r="F826" s="1">
        <v>1</v>
      </c>
      <c r="G826" s="1">
        <v>0</v>
      </c>
      <c r="H826" s="1">
        <v>2</v>
      </c>
      <c r="I826" s="1">
        <v>2</v>
      </c>
      <c r="J826" s="1">
        <v>1</v>
      </c>
      <c r="K826" s="1">
        <v>1</v>
      </c>
      <c r="L826" s="4">
        <v>28.8</v>
      </c>
      <c r="M826" s="3" t="str">
        <f t="shared" si="120"/>
        <v>May</v>
      </c>
      <c r="N826" s="2">
        <v>42133.459953703707</v>
      </c>
      <c r="O826" s="1">
        <f t="shared" si="130"/>
        <v>9</v>
      </c>
      <c r="P826" s="1">
        <f t="shared" si="131"/>
        <v>7</v>
      </c>
      <c r="Q826" s="1">
        <f t="shared" si="132"/>
        <v>11</v>
      </c>
      <c r="S826"/>
      <c r="T826"/>
      <c r="U826"/>
    </row>
    <row r="827" spans="1:21" s="1" customFormat="1" x14ac:dyDescent="0.25">
      <c r="A827" s="1">
        <v>867</v>
      </c>
      <c r="B827" s="1" t="s">
        <v>253</v>
      </c>
      <c r="C827" s="1" t="s">
        <v>797</v>
      </c>
      <c r="D827" s="2">
        <v>42254.477118055554</v>
      </c>
      <c r="E827" s="2">
        <v>42254.936203703706</v>
      </c>
      <c r="F827" s="1">
        <v>2</v>
      </c>
      <c r="G827" s="1">
        <v>8</v>
      </c>
      <c r="H827" s="1">
        <v>14</v>
      </c>
      <c r="I827" s="1">
        <v>7</v>
      </c>
      <c r="J827" s="1">
        <v>1</v>
      </c>
      <c r="K827" s="1">
        <v>4</v>
      </c>
      <c r="L827" s="3">
        <v>119.68</v>
      </c>
      <c r="M827" s="3" t="str">
        <f t="shared" si="120"/>
        <v>Sep</v>
      </c>
      <c r="N827" s="2">
        <v>42254.479166666664</v>
      </c>
      <c r="O827" s="1">
        <f t="shared" si="130"/>
        <v>7</v>
      </c>
      <c r="P827" s="1">
        <f t="shared" si="131"/>
        <v>2</v>
      </c>
      <c r="Q827" s="1">
        <f t="shared" si="132"/>
        <v>11</v>
      </c>
      <c r="S827"/>
      <c r="T827"/>
      <c r="U827"/>
    </row>
    <row r="828" spans="1:21" s="1" customFormat="1" x14ac:dyDescent="0.25">
      <c r="A828" s="1">
        <v>868</v>
      </c>
      <c r="B828" s="1" t="s">
        <v>123</v>
      </c>
      <c r="C828" s="1" t="s">
        <v>798</v>
      </c>
      <c r="D828" s="2">
        <v>42271.819340277776</v>
      </c>
      <c r="E828" s="2">
        <v>42271.819374999999</v>
      </c>
      <c r="F828" s="1">
        <v>1</v>
      </c>
      <c r="G828" s="1">
        <v>1</v>
      </c>
      <c r="H828" s="1">
        <v>4</v>
      </c>
      <c r="I828" s="1">
        <v>4</v>
      </c>
      <c r="J828" s="1">
        <v>1</v>
      </c>
      <c r="K828" s="1">
        <v>2</v>
      </c>
      <c r="L828" s="3">
        <v>22</v>
      </c>
      <c r="M828" s="3" t="str">
        <f t="shared" si="120"/>
        <v>Sep</v>
      </c>
      <c r="N828" s="2">
        <v>42271.819340277776</v>
      </c>
      <c r="O828" s="1">
        <f t="shared" si="130"/>
        <v>24</v>
      </c>
      <c r="P828" s="1">
        <f t="shared" si="131"/>
        <v>5</v>
      </c>
      <c r="Q828" s="1">
        <f t="shared" si="132"/>
        <v>19</v>
      </c>
      <c r="S828"/>
      <c r="T828"/>
      <c r="U828"/>
    </row>
    <row r="829" spans="1:21" s="1" customFormat="1" x14ac:dyDescent="0.25">
      <c r="A829" s="1">
        <v>869</v>
      </c>
      <c r="B829" s="1" t="s">
        <v>103</v>
      </c>
      <c r="C829" s="1" t="s">
        <v>799</v>
      </c>
      <c r="D829" s="2">
        <v>42019.588564814818</v>
      </c>
      <c r="E829" s="2">
        <v>42019.716435185182</v>
      </c>
      <c r="F829" s="1">
        <v>3</v>
      </c>
      <c r="G829" s="1">
        <v>2</v>
      </c>
      <c r="H829" s="1">
        <v>4</v>
      </c>
      <c r="I829" s="1">
        <v>2</v>
      </c>
      <c r="J829" s="1">
        <v>1</v>
      </c>
      <c r="K829" s="1">
        <v>2</v>
      </c>
      <c r="L829" s="4">
        <v>18</v>
      </c>
      <c r="M829" s="3" t="str">
        <f t="shared" si="120"/>
        <v>Jan</v>
      </c>
      <c r="N829" s="2">
        <v>42019.588599537034</v>
      </c>
      <c r="O829" s="1">
        <f t="shared" si="130"/>
        <v>15</v>
      </c>
      <c r="P829" s="1">
        <f t="shared" si="131"/>
        <v>5</v>
      </c>
      <c r="Q829" s="1">
        <f t="shared" si="132"/>
        <v>14</v>
      </c>
      <c r="S829"/>
      <c r="T829"/>
      <c r="U829"/>
    </row>
    <row r="830" spans="1:21" s="1" customFormat="1" x14ac:dyDescent="0.25">
      <c r="A830" s="1">
        <v>870</v>
      </c>
      <c r="B830" s="1" t="s">
        <v>85</v>
      </c>
      <c r="C830" s="1" t="s">
        <v>800</v>
      </c>
      <c r="D830" s="2">
        <v>42250.599942129629</v>
      </c>
      <c r="E830" s="2">
        <v>42250.599988425929</v>
      </c>
      <c r="F830" s="1">
        <v>1</v>
      </c>
      <c r="G830" s="1">
        <v>8</v>
      </c>
      <c r="H830" s="1">
        <v>4</v>
      </c>
      <c r="I830" s="1">
        <v>2</v>
      </c>
      <c r="J830" s="1">
        <v>1</v>
      </c>
      <c r="K830" s="1">
        <v>2</v>
      </c>
      <c r="L830" s="3">
        <v>51.68</v>
      </c>
      <c r="M830" s="3" t="str">
        <f t="shared" si="120"/>
        <v>Sep</v>
      </c>
      <c r="N830" s="2">
        <v>42250.599953703706</v>
      </c>
      <c r="O830" s="1">
        <f t="shared" si="130"/>
        <v>3</v>
      </c>
      <c r="P830" s="1">
        <f t="shared" si="131"/>
        <v>5</v>
      </c>
      <c r="Q830" s="1">
        <f t="shared" si="132"/>
        <v>14</v>
      </c>
      <c r="S830"/>
      <c r="T830"/>
      <c r="U830"/>
    </row>
    <row r="831" spans="1:21" s="1" customFormat="1" x14ac:dyDescent="0.25">
      <c r="A831" s="1">
        <v>871</v>
      </c>
      <c r="B831" s="1" t="s">
        <v>116</v>
      </c>
      <c r="C831" s="1" t="s">
        <v>319</v>
      </c>
      <c r="D831" s="2">
        <v>42080.830625000002</v>
      </c>
      <c r="E831" s="2">
        <v>42080.830682870372</v>
      </c>
      <c r="F831" s="1">
        <v>1</v>
      </c>
      <c r="G831" s="1">
        <v>1</v>
      </c>
      <c r="H831" s="1">
        <v>8</v>
      </c>
      <c r="I831" s="1">
        <v>1</v>
      </c>
      <c r="J831" s="1">
        <v>1</v>
      </c>
      <c r="K831" s="1">
        <v>4</v>
      </c>
      <c r="L831" s="4">
        <v>28.8</v>
      </c>
      <c r="M831" s="3" t="str">
        <f t="shared" si="120"/>
        <v>Mar</v>
      </c>
      <c r="N831" s="2">
        <v>42080.830636574072</v>
      </c>
      <c r="O831" s="1">
        <f t="shared" si="130"/>
        <v>17</v>
      </c>
      <c r="P831" s="1">
        <f t="shared" si="131"/>
        <v>3</v>
      </c>
      <c r="Q831" s="1">
        <f t="shared" si="132"/>
        <v>19</v>
      </c>
      <c r="S831"/>
      <c r="T831"/>
      <c r="U831"/>
    </row>
    <row r="832" spans="1:21" s="1" customFormat="1" x14ac:dyDescent="0.25">
      <c r="A832" s="1">
        <v>872</v>
      </c>
      <c r="B832" s="1" t="s">
        <v>100</v>
      </c>
      <c r="C832" s="1" t="s">
        <v>453</v>
      </c>
      <c r="D832" s="2">
        <v>42160.690706018519</v>
      </c>
      <c r="E832" s="2">
        <v>42160.690740740742</v>
      </c>
      <c r="F832" s="1">
        <v>1</v>
      </c>
      <c r="G832" s="1">
        <v>6</v>
      </c>
      <c r="H832" s="1">
        <v>4</v>
      </c>
      <c r="I832" s="1">
        <v>2</v>
      </c>
      <c r="J832" s="1">
        <v>1</v>
      </c>
      <c r="K832" s="1">
        <v>3</v>
      </c>
      <c r="L832" s="3">
        <v>21.6</v>
      </c>
      <c r="M832" s="3" t="str">
        <f t="shared" si="120"/>
        <v>Jun</v>
      </c>
      <c r="N832" s="2">
        <v>42160.690706018519</v>
      </c>
      <c r="O832" s="1">
        <f t="shared" si="130"/>
        <v>5</v>
      </c>
      <c r="P832" s="1">
        <f t="shared" si="131"/>
        <v>6</v>
      </c>
      <c r="Q832" s="1">
        <f t="shared" si="132"/>
        <v>16</v>
      </c>
      <c r="S832"/>
      <c r="T832"/>
      <c r="U832"/>
    </row>
    <row r="833" spans="1:21" s="1" customFormat="1" x14ac:dyDescent="0.25">
      <c r="A833" s="1">
        <v>873</v>
      </c>
      <c r="B833" s="1" t="s">
        <v>801</v>
      </c>
      <c r="C833" s="1" t="s">
        <v>802</v>
      </c>
      <c r="D833" s="2">
        <v>42060.852233796293</v>
      </c>
      <c r="E833" s="2">
        <v>42060.852314814816</v>
      </c>
      <c r="F833" s="1">
        <v>1</v>
      </c>
      <c r="G833" s="1">
        <v>0</v>
      </c>
      <c r="H833" s="1">
        <v>2</v>
      </c>
      <c r="I833" s="1">
        <v>1</v>
      </c>
      <c r="J833" s="1">
        <v>1</v>
      </c>
      <c r="K833" s="1">
        <v>1</v>
      </c>
      <c r="L833" s="4">
        <v>28.8</v>
      </c>
      <c r="M833" s="3" t="str">
        <f t="shared" si="120"/>
        <v>Feb</v>
      </c>
      <c r="N833" s="2">
        <v>42060.852280092593</v>
      </c>
      <c r="O833" s="1">
        <f t="shared" si="130"/>
        <v>25</v>
      </c>
      <c r="P833" s="1">
        <f t="shared" si="131"/>
        <v>4</v>
      </c>
      <c r="Q833" s="1">
        <f t="shared" si="132"/>
        <v>20</v>
      </c>
      <c r="S833"/>
      <c r="T833"/>
      <c r="U833"/>
    </row>
    <row r="834" spans="1:21" s="1" customFormat="1" x14ac:dyDescent="0.25">
      <c r="A834" s="1">
        <v>874</v>
      </c>
      <c r="B834" s="1" t="s">
        <v>198</v>
      </c>
      <c r="C834" s="1" t="s">
        <v>803</v>
      </c>
      <c r="D834" s="2">
        <v>42262.792546296296</v>
      </c>
      <c r="E834" s="2">
        <v>42262.792592592596</v>
      </c>
      <c r="F834" s="1">
        <v>1</v>
      </c>
      <c r="G834" s="1">
        <v>2</v>
      </c>
      <c r="H834" s="1">
        <v>4</v>
      </c>
      <c r="I834" s="1">
        <v>4</v>
      </c>
      <c r="J834" s="1">
        <v>1</v>
      </c>
      <c r="K834" s="1">
        <v>2</v>
      </c>
      <c r="L834" s="3">
        <v>59.84</v>
      </c>
      <c r="M834" s="3" t="str">
        <f t="shared" si="120"/>
        <v>Sep</v>
      </c>
      <c r="N834" s="2">
        <v>42262.792557870373</v>
      </c>
      <c r="O834" s="1">
        <f t="shared" si="130"/>
        <v>15</v>
      </c>
      <c r="P834" s="1">
        <f t="shared" si="131"/>
        <v>3</v>
      </c>
      <c r="Q834" s="1">
        <f t="shared" si="132"/>
        <v>19</v>
      </c>
      <c r="S834"/>
      <c r="T834"/>
      <c r="U834"/>
    </row>
    <row r="835" spans="1:21" s="1" customFormat="1" x14ac:dyDescent="0.25">
      <c r="A835" s="1">
        <v>875</v>
      </c>
      <c r="B835" s="1" t="s">
        <v>112</v>
      </c>
      <c r="C835" s="1" t="s">
        <v>804</v>
      </c>
      <c r="D835" s="2">
        <v>42043.466087962966</v>
      </c>
      <c r="E835" s="2">
        <v>42043.466157407405</v>
      </c>
      <c r="F835" s="1">
        <v>1</v>
      </c>
      <c r="G835" s="1">
        <v>0</v>
      </c>
      <c r="H835" s="1">
        <v>2</v>
      </c>
      <c r="I835" s="1">
        <v>1</v>
      </c>
      <c r="J835" s="1">
        <v>1</v>
      </c>
      <c r="K835" s="1">
        <v>1</v>
      </c>
      <c r="L835" s="4">
        <v>36</v>
      </c>
      <c r="M835" s="3" t="str">
        <f t="shared" ref="M835:M898" si="133">TEXT(N835,"mmm")</f>
        <v>Feb</v>
      </c>
      <c r="N835" s="2">
        <v>42043.466111111113</v>
      </c>
      <c r="O835" s="1">
        <f t="shared" si="130"/>
        <v>8</v>
      </c>
      <c r="P835" s="1">
        <f t="shared" si="131"/>
        <v>1</v>
      </c>
      <c r="Q835" s="1">
        <f t="shared" si="132"/>
        <v>11</v>
      </c>
      <c r="S835"/>
      <c r="T835"/>
      <c r="U835"/>
    </row>
    <row r="836" spans="1:21" s="1" customFormat="1" x14ac:dyDescent="0.25">
      <c r="A836" s="1">
        <v>876</v>
      </c>
      <c r="B836" s="1" t="s">
        <v>215</v>
      </c>
      <c r="C836" s="1" t="s">
        <v>805</v>
      </c>
      <c r="D836" s="2">
        <v>42072.469965277778</v>
      </c>
      <c r="E836" s="2">
        <v>42072.470023148147</v>
      </c>
      <c r="F836" s="1">
        <v>1</v>
      </c>
      <c r="G836" s="1">
        <v>2</v>
      </c>
      <c r="H836" s="1">
        <v>8</v>
      </c>
      <c r="I836" s="1">
        <v>2</v>
      </c>
      <c r="J836" s="1">
        <v>1</v>
      </c>
      <c r="K836" s="1">
        <v>4</v>
      </c>
      <c r="L836" s="4">
        <v>28.8</v>
      </c>
      <c r="M836" s="3" t="str">
        <f t="shared" si="133"/>
        <v>Mar</v>
      </c>
      <c r="N836" s="2">
        <v>42072.469988425924</v>
      </c>
      <c r="O836" s="1">
        <f t="shared" si="130"/>
        <v>9</v>
      </c>
      <c r="P836" s="1">
        <f t="shared" si="131"/>
        <v>2</v>
      </c>
      <c r="Q836" s="1">
        <f t="shared" si="132"/>
        <v>11</v>
      </c>
      <c r="S836"/>
      <c r="T836"/>
      <c r="U836"/>
    </row>
    <row r="837" spans="1:21" s="1" customFormat="1" x14ac:dyDescent="0.25">
      <c r="A837" s="1">
        <v>877</v>
      </c>
      <c r="B837" s="1" t="s">
        <v>123</v>
      </c>
      <c r="C837" s="1" t="s">
        <v>806</v>
      </c>
      <c r="D837" s="2">
        <v>42146.908750000002</v>
      </c>
      <c r="E837" s="2">
        <v>42146.908796296295</v>
      </c>
      <c r="F837" s="1">
        <v>1</v>
      </c>
      <c r="G837" s="1">
        <v>2</v>
      </c>
      <c r="H837" s="1">
        <v>2</v>
      </c>
      <c r="I837" s="1">
        <v>2</v>
      </c>
      <c r="J837" s="1">
        <v>1</v>
      </c>
      <c r="K837" s="1">
        <v>1</v>
      </c>
      <c r="L837" s="3">
        <v>28.8</v>
      </c>
      <c r="M837" s="3" t="str">
        <f t="shared" si="133"/>
        <v>May</v>
      </c>
      <c r="N837" s="2">
        <v>42146.908761574072</v>
      </c>
      <c r="O837" s="1">
        <f t="shared" si="130"/>
        <v>22</v>
      </c>
      <c r="P837" s="1">
        <f t="shared" si="131"/>
        <v>6</v>
      </c>
      <c r="Q837" s="1">
        <f t="shared" si="132"/>
        <v>21</v>
      </c>
      <c r="S837"/>
      <c r="T837"/>
      <c r="U837"/>
    </row>
    <row r="838" spans="1:21" s="1" customFormat="1" x14ac:dyDescent="0.25">
      <c r="A838" s="1">
        <v>878</v>
      </c>
      <c r="B838" s="1" t="s">
        <v>119</v>
      </c>
      <c r="C838" s="1" t="s">
        <v>807</v>
      </c>
      <c r="D838" s="2">
        <v>42038.659421296295</v>
      </c>
      <c r="E838" s="2">
        <v>42038.659479166665</v>
      </c>
      <c r="F838" s="1">
        <v>1</v>
      </c>
      <c r="G838" s="1">
        <v>0</v>
      </c>
      <c r="H838" s="1">
        <v>2</v>
      </c>
      <c r="I838" s="1">
        <v>1</v>
      </c>
      <c r="J838" s="1">
        <v>1</v>
      </c>
      <c r="K838" s="1">
        <v>2</v>
      </c>
      <c r="L838" s="4">
        <v>18</v>
      </c>
      <c r="M838" s="3" t="str">
        <f t="shared" si="133"/>
        <v>Feb</v>
      </c>
      <c r="N838" s="2">
        <v>42038.659444444442</v>
      </c>
      <c r="O838" s="1">
        <f t="shared" si="130"/>
        <v>3</v>
      </c>
      <c r="P838" s="1">
        <f t="shared" si="131"/>
        <v>3</v>
      </c>
      <c r="Q838" s="1">
        <f t="shared" si="132"/>
        <v>15</v>
      </c>
      <c r="S838"/>
      <c r="T838"/>
      <c r="U838"/>
    </row>
    <row r="839" spans="1:21" s="1" customFormat="1" x14ac:dyDescent="0.25">
      <c r="A839" s="1">
        <v>879</v>
      </c>
      <c r="B839" s="1" t="s">
        <v>96</v>
      </c>
      <c r="C839" s="1" t="s">
        <v>808</v>
      </c>
      <c r="D839" s="2">
        <v>42020.977083333331</v>
      </c>
      <c r="E839" s="2">
        <v>42020.977187500001</v>
      </c>
      <c r="F839" s="1">
        <v>1</v>
      </c>
      <c r="G839" s="1">
        <v>0</v>
      </c>
      <c r="H839" s="1">
        <v>8</v>
      </c>
      <c r="I839" s="1">
        <v>2</v>
      </c>
      <c r="J839" s="1">
        <v>1</v>
      </c>
      <c r="K839" s="1">
        <v>3</v>
      </c>
      <c r="L839" s="4">
        <v>24</v>
      </c>
      <c r="M839" s="3" t="str">
        <f t="shared" si="133"/>
        <v>Jan</v>
      </c>
      <c r="N839" s="2">
        <v>42020.977106481485</v>
      </c>
      <c r="O839" s="1">
        <f t="shared" si="130"/>
        <v>16</v>
      </c>
      <c r="P839" s="1">
        <f t="shared" si="131"/>
        <v>6</v>
      </c>
      <c r="Q839" s="1">
        <f t="shared" si="132"/>
        <v>23</v>
      </c>
      <c r="S839"/>
      <c r="T839"/>
      <c r="U839"/>
    </row>
    <row r="840" spans="1:21" s="1" customFormat="1" x14ac:dyDescent="0.25">
      <c r="A840" s="1">
        <v>880</v>
      </c>
      <c r="B840" s="1" t="s">
        <v>85</v>
      </c>
      <c r="C840" s="1" t="s">
        <v>809</v>
      </c>
      <c r="D840" s="2">
        <v>42180.363518518519</v>
      </c>
      <c r="E840" s="2">
        <v>42180.363564814812</v>
      </c>
      <c r="F840" s="1">
        <v>1</v>
      </c>
      <c r="G840" s="1">
        <v>4</v>
      </c>
      <c r="H840" s="1">
        <v>6</v>
      </c>
      <c r="I840" s="1">
        <v>2</v>
      </c>
      <c r="J840" s="1">
        <v>1</v>
      </c>
      <c r="K840" s="1">
        <v>1</v>
      </c>
      <c r="L840" s="3">
        <v>28.8</v>
      </c>
      <c r="M840" s="3" t="str">
        <f t="shared" si="133"/>
        <v>Jun</v>
      </c>
      <c r="N840" s="2">
        <v>42180.363530092596</v>
      </c>
      <c r="O840" s="1">
        <f t="shared" si="130"/>
        <v>25</v>
      </c>
      <c r="P840" s="1">
        <f t="shared" si="131"/>
        <v>5</v>
      </c>
      <c r="Q840" s="1">
        <f t="shared" si="132"/>
        <v>8</v>
      </c>
      <c r="S840"/>
      <c r="T840"/>
      <c r="U840"/>
    </row>
    <row r="841" spans="1:21" s="1" customFormat="1" x14ac:dyDescent="0.25">
      <c r="A841" s="1">
        <v>881</v>
      </c>
      <c r="B841" s="1" t="s">
        <v>123</v>
      </c>
      <c r="C841" s="1" t="s">
        <v>810</v>
      </c>
      <c r="D841" s="2">
        <v>42080.333784722221</v>
      </c>
      <c r="E841" s="2">
        <v>42080.333854166667</v>
      </c>
      <c r="F841" s="1">
        <v>1</v>
      </c>
      <c r="G841" s="1">
        <v>2</v>
      </c>
      <c r="H841" s="1">
        <v>6</v>
      </c>
      <c r="I841" s="1">
        <v>1</v>
      </c>
      <c r="J841" s="1">
        <v>1</v>
      </c>
      <c r="K841" s="1">
        <v>5</v>
      </c>
      <c r="L841" s="4">
        <v>36</v>
      </c>
      <c r="M841" s="3" t="str">
        <f t="shared" si="133"/>
        <v>Mar</v>
      </c>
      <c r="N841" s="2">
        <v>42080.333796296298</v>
      </c>
      <c r="O841" s="1">
        <f t="shared" si="130"/>
        <v>17</v>
      </c>
      <c r="P841" s="1">
        <f t="shared" si="131"/>
        <v>3</v>
      </c>
      <c r="Q841" s="1">
        <f t="shared" si="132"/>
        <v>8</v>
      </c>
      <c r="S841"/>
      <c r="T841"/>
      <c r="U841"/>
    </row>
    <row r="842" spans="1:21" s="1" customFormat="1" x14ac:dyDescent="0.25">
      <c r="A842" s="1">
        <v>882</v>
      </c>
      <c r="D842" s="2">
        <v>42269.476226851853</v>
      </c>
      <c r="E842" s="2">
        <v>42269.476238425923</v>
      </c>
      <c r="F842" s="1">
        <v>1</v>
      </c>
      <c r="G842" s="1">
        <v>4</v>
      </c>
      <c r="H842" s="1">
        <v>4</v>
      </c>
      <c r="I842" s="1">
        <v>5</v>
      </c>
      <c r="J842" s="1">
        <v>1</v>
      </c>
      <c r="K842" s="1">
        <v>1</v>
      </c>
      <c r="L842" s="3">
        <v>37.4</v>
      </c>
      <c r="M842" s="3" t="str">
        <f t="shared" si="133"/>
        <v>Sep</v>
      </c>
      <c r="N842" s="2">
        <v>42269.48096064815</v>
      </c>
      <c r="O842" s="1">
        <f t="shared" si="130"/>
        <v>22</v>
      </c>
      <c r="P842" s="1">
        <f t="shared" si="131"/>
        <v>3</v>
      </c>
      <c r="Q842" s="1">
        <f t="shared" si="132"/>
        <v>11</v>
      </c>
      <c r="S842"/>
      <c r="T842"/>
      <c r="U842"/>
    </row>
    <row r="843" spans="1:21" s="1" customFormat="1" x14ac:dyDescent="0.25">
      <c r="A843" s="1">
        <v>883</v>
      </c>
      <c r="B843" s="1" t="s">
        <v>85</v>
      </c>
      <c r="C843" s="1" t="s">
        <v>811</v>
      </c>
      <c r="D843" s="2">
        <v>42158.579270833332</v>
      </c>
      <c r="E843" s="2">
        <v>42158.579305555555</v>
      </c>
      <c r="F843" s="1">
        <v>1</v>
      </c>
      <c r="G843" s="1">
        <v>0</v>
      </c>
      <c r="H843" s="1">
        <v>2</v>
      </c>
      <c r="I843" s="1">
        <v>2</v>
      </c>
      <c r="J843" s="1">
        <v>1</v>
      </c>
      <c r="K843" s="1">
        <v>1</v>
      </c>
      <c r="L843" s="3">
        <v>28.8</v>
      </c>
      <c r="M843" s="3" t="str">
        <f t="shared" si="133"/>
        <v>Jun</v>
      </c>
      <c r="N843" s="2">
        <v>42158.579282407409</v>
      </c>
      <c r="O843" s="1">
        <f t="shared" si="130"/>
        <v>3</v>
      </c>
      <c r="P843" s="1">
        <f t="shared" si="131"/>
        <v>4</v>
      </c>
      <c r="Q843" s="1">
        <f t="shared" si="132"/>
        <v>13</v>
      </c>
      <c r="S843"/>
      <c r="T843"/>
      <c r="U843"/>
    </row>
    <row r="844" spans="1:21" s="1" customFormat="1" x14ac:dyDescent="0.25">
      <c r="A844" s="1">
        <v>884</v>
      </c>
      <c r="D844" s="2">
        <v>42143.766469907408</v>
      </c>
      <c r="E844" s="2">
        <v>42143.599826388891</v>
      </c>
      <c r="F844" s="1">
        <v>1</v>
      </c>
      <c r="G844" s="1">
        <v>2</v>
      </c>
      <c r="H844" s="1">
        <v>2</v>
      </c>
      <c r="I844" s="1">
        <v>2</v>
      </c>
      <c r="J844" s="1">
        <v>1</v>
      </c>
      <c r="K844" s="1">
        <v>2</v>
      </c>
      <c r="L844" s="4">
        <v>18</v>
      </c>
      <c r="M844" s="3" t="str">
        <f t="shared" si="133"/>
        <v>May</v>
      </c>
      <c r="N844" s="2">
        <v>42143.601956018516</v>
      </c>
      <c r="O844" s="1">
        <f t="shared" si="130"/>
        <v>19</v>
      </c>
      <c r="P844" s="1">
        <f t="shared" si="131"/>
        <v>3</v>
      </c>
      <c r="Q844" s="1">
        <f t="shared" si="132"/>
        <v>14</v>
      </c>
      <c r="S844"/>
      <c r="T844"/>
      <c r="U844"/>
    </row>
    <row r="845" spans="1:21" s="1" customFormat="1" x14ac:dyDescent="0.25">
      <c r="A845" s="1">
        <v>885</v>
      </c>
      <c r="B845" s="1" t="s">
        <v>91</v>
      </c>
      <c r="C845" s="1" t="s">
        <v>812</v>
      </c>
      <c r="D845" s="2">
        <v>42107.986631944441</v>
      </c>
      <c r="E845" s="2">
        <v>42107.986712962964</v>
      </c>
      <c r="F845" s="1">
        <v>1</v>
      </c>
      <c r="G845" s="1">
        <v>4</v>
      </c>
      <c r="H845" s="1">
        <v>10</v>
      </c>
      <c r="I845" s="1">
        <v>1</v>
      </c>
      <c r="J845" s="1">
        <v>1</v>
      </c>
      <c r="K845" s="1">
        <v>4</v>
      </c>
      <c r="L845" s="4">
        <v>28.8</v>
      </c>
      <c r="M845" s="3" t="str">
        <f t="shared" si="133"/>
        <v>Apr</v>
      </c>
      <c r="N845" s="2">
        <v>42107.986643518518</v>
      </c>
      <c r="O845" s="1">
        <f t="shared" si="130"/>
        <v>13</v>
      </c>
      <c r="P845" s="1">
        <f t="shared" si="131"/>
        <v>2</v>
      </c>
      <c r="Q845" s="1">
        <f t="shared" si="132"/>
        <v>23</v>
      </c>
      <c r="S845"/>
      <c r="T845"/>
      <c r="U845"/>
    </row>
    <row r="846" spans="1:21" s="1" customFormat="1" x14ac:dyDescent="0.25">
      <c r="A846" s="1">
        <v>887</v>
      </c>
      <c r="B846" s="1" t="s">
        <v>96</v>
      </c>
      <c r="C846" s="1" t="s">
        <v>813</v>
      </c>
      <c r="D846" s="2">
        <v>42225.629513888889</v>
      </c>
      <c r="E846" s="2">
        <v>42225.462893518517</v>
      </c>
      <c r="F846" s="1">
        <v>1</v>
      </c>
      <c r="G846" s="1">
        <v>2</v>
      </c>
      <c r="H846" s="1">
        <v>2</v>
      </c>
      <c r="I846" s="1">
        <v>2</v>
      </c>
      <c r="J846" s="1">
        <v>1</v>
      </c>
      <c r="K846" s="1">
        <v>1</v>
      </c>
      <c r="L846" s="3">
        <v>11</v>
      </c>
      <c r="M846" s="3" t="str">
        <f t="shared" si="133"/>
        <v>Aug</v>
      </c>
      <c r="N846" s="2">
        <v>42225.462847222225</v>
      </c>
      <c r="O846" s="1">
        <f t="shared" ref="O846:O850" si="134">DAY(N846)</f>
        <v>9</v>
      </c>
      <c r="P846" s="1">
        <f t="shared" ref="P846:P850" si="135">WEEKDAY(N846,1)</f>
        <v>1</v>
      </c>
      <c r="Q846" s="1">
        <f t="shared" ref="Q846:Q850" si="136">HOUR(N846)</f>
        <v>11</v>
      </c>
      <c r="S846"/>
      <c r="T846"/>
      <c r="U846"/>
    </row>
    <row r="847" spans="1:21" s="1" customFormat="1" x14ac:dyDescent="0.25">
      <c r="A847" s="1">
        <v>888</v>
      </c>
      <c r="B847" s="1" t="s">
        <v>89</v>
      </c>
      <c r="C847" s="1" t="s">
        <v>814</v>
      </c>
      <c r="D847" s="2">
        <v>42107.380439814813</v>
      </c>
      <c r="E847" s="2">
        <v>42107.380497685182</v>
      </c>
      <c r="F847" s="1">
        <v>1</v>
      </c>
      <c r="G847" s="1">
        <v>0</v>
      </c>
      <c r="H847" s="1">
        <v>4</v>
      </c>
      <c r="I847" s="1">
        <v>1</v>
      </c>
      <c r="J847" s="1">
        <v>1</v>
      </c>
      <c r="K847" s="1">
        <v>2</v>
      </c>
      <c r="L847" s="4">
        <v>18</v>
      </c>
      <c r="M847" s="3" t="str">
        <f t="shared" si="133"/>
        <v>Apr</v>
      </c>
      <c r="N847" s="2">
        <v>42107.38045138889</v>
      </c>
      <c r="O847" s="1">
        <f t="shared" si="134"/>
        <v>13</v>
      </c>
      <c r="P847" s="1">
        <f t="shared" si="135"/>
        <v>2</v>
      </c>
      <c r="Q847" s="1">
        <f t="shared" si="136"/>
        <v>9</v>
      </c>
      <c r="S847"/>
      <c r="T847"/>
      <c r="U847"/>
    </row>
    <row r="848" spans="1:21" s="1" customFormat="1" x14ac:dyDescent="0.25">
      <c r="A848" s="1">
        <v>889</v>
      </c>
      <c r="B848" s="1" t="s">
        <v>123</v>
      </c>
      <c r="C848" s="1" t="s">
        <v>815</v>
      </c>
      <c r="D848" s="2">
        <v>42248.945196759261</v>
      </c>
      <c r="E848" s="2">
        <v>42248.945243055554</v>
      </c>
      <c r="F848" s="1">
        <v>1</v>
      </c>
      <c r="G848" s="1">
        <v>2</v>
      </c>
      <c r="H848" s="1">
        <v>2</v>
      </c>
      <c r="I848" s="1">
        <v>2</v>
      </c>
      <c r="J848" s="1">
        <v>1</v>
      </c>
      <c r="K848" s="1">
        <v>2</v>
      </c>
      <c r="L848" s="3">
        <v>59.84</v>
      </c>
      <c r="M848" s="3" t="str">
        <f t="shared" si="133"/>
        <v>Sep</v>
      </c>
      <c r="N848" s="2">
        <v>42248.945196759261</v>
      </c>
      <c r="O848" s="1">
        <f t="shared" si="134"/>
        <v>1</v>
      </c>
      <c r="P848" s="1">
        <f t="shared" si="135"/>
        <v>3</v>
      </c>
      <c r="Q848" s="1">
        <f t="shared" si="136"/>
        <v>22</v>
      </c>
      <c r="S848"/>
      <c r="T848"/>
      <c r="U848"/>
    </row>
    <row r="849" spans="1:21" s="1" customFormat="1" x14ac:dyDescent="0.25">
      <c r="A849" s="1">
        <v>890</v>
      </c>
      <c r="B849" s="1" t="s">
        <v>100</v>
      </c>
      <c r="C849" s="1" t="s">
        <v>816</v>
      </c>
      <c r="D849" s="2">
        <v>42226.844606481478</v>
      </c>
      <c r="E849" s="2">
        <v>42226.677951388891</v>
      </c>
      <c r="F849" s="1">
        <v>1</v>
      </c>
      <c r="G849" s="1">
        <v>2</v>
      </c>
      <c r="H849" s="1">
        <v>2</v>
      </c>
      <c r="I849" s="1">
        <v>1</v>
      </c>
      <c r="J849" s="1">
        <v>1</v>
      </c>
      <c r="K849" s="1">
        <v>1</v>
      </c>
      <c r="L849" s="3">
        <v>32.64</v>
      </c>
      <c r="M849" s="3" t="str">
        <f t="shared" si="133"/>
        <v>Aug</v>
      </c>
      <c r="N849" s="2">
        <v>42226.689525462964</v>
      </c>
      <c r="O849" s="1">
        <f t="shared" si="134"/>
        <v>10</v>
      </c>
      <c r="P849" s="1">
        <f t="shared" si="135"/>
        <v>2</v>
      </c>
      <c r="Q849" s="1">
        <f t="shared" si="136"/>
        <v>16</v>
      </c>
      <c r="S849"/>
      <c r="T849"/>
      <c r="U849"/>
    </row>
    <row r="850" spans="1:21" s="1" customFormat="1" x14ac:dyDescent="0.25">
      <c r="A850" s="1">
        <v>891</v>
      </c>
      <c r="B850" s="1" t="s">
        <v>274</v>
      </c>
      <c r="C850" s="1" t="s">
        <v>817</v>
      </c>
      <c r="D850" s="2">
        <v>42091.800358796296</v>
      </c>
      <c r="E850" s="2">
        <v>42091.800416666665</v>
      </c>
      <c r="F850" s="1">
        <v>1</v>
      </c>
      <c r="G850" s="1">
        <v>4</v>
      </c>
      <c r="H850" s="1">
        <v>22</v>
      </c>
      <c r="I850" s="1">
        <v>6</v>
      </c>
      <c r="J850" s="1">
        <v>1</v>
      </c>
      <c r="K850" s="1">
        <v>9</v>
      </c>
      <c r="L850" s="4">
        <v>64.8</v>
      </c>
      <c r="M850" s="3" t="str">
        <f t="shared" si="133"/>
        <v>Mar</v>
      </c>
      <c r="N850" s="2">
        <v>42091.800370370373</v>
      </c>
      <c r="O850" s="1">
        <f t="shared" si="134"/>
        <v>28</v>
      </c>
      <c r="P850" s="1">
        <f t="shared" si="135"/>
        <v>7</v>
      </c>
      <c r="Q850" s="1">
        <f t="shared" si="136"/>
        <v>19</v>
      </c>
      <c r="S850"/>
      <c r="T850"/>
      <c r="U850"/>
    </row>
    <row r="851" spans="1:21" s="1" customFormat="1" x14ac:dyDescent="0.25">
      <c r="A851" s="1">
        <v>893</v>
      </c>
      <c r="B851" s="1" t="s">
        <v>285</v>
      </c>
      <c r="C851" s="1" t="s">
        <v>818</v>
      </c>
      <c r="D851" s="2">
        <v>42200.533055555556</v>
      </c>
      <c r="E851" s="2">
        <v>42200.533136574071</v>
      </c>
      <c r="F851" s="1">
        <v>1</v>
      </c>
      <c r="G851" s="1">
        <v>2</v>
      </c>
      <c r="H851" s="1">
        <v>4</v>
      </c>
      <c r="I851" s="1">
        <v>3</v>
      </c>
      <c r="J851" s="1">
        <v>1</v>
      </c>
      <c r="K851" s="1">
        <v>2</v>
      </c>
      <c r="L851" s="3">
        <v>65.28</v>
      </c>
      <c r="M851" s="3" t="str">
        <f t="shared" si="133"/>
        <v>Jul</v>
      </c>
      <c r="N851" s="2">
        <v>42200.533055555556</v>
      </c>
      <c r="O851" s="1">
        <f t="shared" ref="O851:O856" si="137">DAY(N851)</f>
        <v>15</v>
      </c>
      <c r="P851" s="1">
        <f t="shared" ref="P851:P856" si="138">WEEKDAY(N851,1)</f>
        <v>4</v>
      </c>
      <c r="Q851" s="1">
        <f t="shared" ref="Q851:Q856" si="139">HOUR(N851)</f>
        <v>12</v>
      </c>
      <c r="S851"/>
      <c r="T851"/>
      <c r="U851"/>
    </row>
    <row r="852" spans="1:21" s="1" customFormat="1" x14ac:dyDescent="0.25">
      <c r="A852" s="1">
        <v>894</v>
      </c>
      <c r="D852" s="2">
        <v>42211.63417824074</v>
      </c>
      <c r="E852" s="2">
        <v>42212.412210648145</v>
      </c>
      <c r="F852" s="1">
        <v>2</v>
      </c>
      <c r="G852" s="1">
        <v>5</v>
      </c>
      <c r="H852" s="1">
        <v>6</v>
      </c>
      <c r="I852" s="1">
        <v>4</v>
      </c>
      <c r="J852" s="1">
        <v>1</v>
      </c>
      <c r="K852" s="1">
        <v>2</v>
      </c>
      <c r="L852" s="3">
        <v>22</v>
      </c>
      <c r="M852" s="3" t="str">
        <f t="shared" si="133"/>
        <v>Jul</v>
      </c>
      <c r="N852" s="2">
        <v>42211.468425925923</v>
      </c>
      <c r="O852" s="1">
        <f t="shared" si="137"/>
        <v>26</v>
      </c>
      <c r="P852" s="1">
        <f t="shared" si="138"/>
        <v>1</v>
      </c>
      <c r="Q852" s="1">
        <f t="shared" si="139"/>
        <v>11</v>
      </c>
      <c r="S852"/>
      <c r="T852"/>
      <c r="U852"/>
    </row>
    <row r="853" spans="1:21" s="1" customFormat="1" x14ac:dyDescent="0.25">
      <c r="A853" s="1">
        <v>895</v>
      </c>
      <c r="B853" s="1" t="s">
        <v>100</v>
      </c>
      <c r="C853" s="1" t="s">
        <v>128</v>
      </c>
      <c r="D853" s="2">
        <v>42058.006921296299</v>
      </c>
      <c r="E853" s="2">
        <v>42058.006979166668</v>
      </c>
      <c r="F853" s="1">
        <v>1</v>
      </c>
      <c r="G853" s="1">
        <v>4</v>
      </c>
      <c r="H853" s="1">
        <v>2</v>
      </c>
      <c r="I853" s="1">
        <v>1</v>
      </c>
      <c r="J853" s="1">
        <v>1</v>
      </c>
      <c r="K853" s="1">
        <v>1</v>
      </c>
      <c r="L853" s="4">
        <v>115.2</v>
      </c>
      <c r="M853" s="3" t="str">
        <f t="shared" si="133"/>
        <v>Feb</v>
      </c>
      <c r="N853" s="2">
        <v>42058.006932870368</v>
      </c>
      <c r="O853" s="1">
        <f t="shared" si="137"/>
        <v>23</v>
      </c>
      <c r="P853" s="1">
        <f t="shared" si="138"/>
        <v>2</v>
      </c>
      <c r="Q853" s="1">
        <f t="shared" si="139"/>
        <v>0</v>
      </c>
      <c r="S853"/>
      <c r="T853"/>
      <c r="U853"/>
    </row>
    <row r="854" spans="1:21" s="1" customFormat="1" x14ac:dyDescent="0.25">
      <c r="A854" s="1">
        <v>896</v>
      </c>
      <c r="B854" s="1" t="s">
        <v>131</v>
      </c>
      <c r="C854" s="1" t="s">
        <v>819</v>
      </c>
      <c r="D854" s="2">
        <v>42139.03324074074</v>
      </c>
      <c r="E854" s="2">
        <v>42139.033368055556</v>
      </c>
      <c r="F854" s="1">
        <v>1</v>
      </c>
      <c r="G854" s="1">
        <v>6</v>
      </c>
      <c r="H854" s="1">
        <v>8</v>
      </c>
      <c r="I854" s="1">
        <v>4</v>
      </c>
      <c r="J854" s="1">
        <v>1</v>
      </c>
      <c r="K854" s="1">
        <v>2</v>
      </c>
      <c r="L854" s="4">
        <v>36</v>
      </c>
      <c r="M854" s="3" t="str">
        <f t="shared" si="133"/>
        <v>May</v>
      </c>
      <c r="N854" s="2">
        <v>42139.033252314817</v>
      </c>
      <c r="O854" s="1">
        <f t="shared" si="137"/>
        <v>15</v>
      </c>
      <c r="P854" s="1">
        <f t="shared" si="138"/>
        <v>6</v>
      </c>
      <c r="Q854" s="1">
        <f t="shared" si="139"/>
        <v>0</v>
      </c>
      <c r="S854"/>
      <c r="T854"/>
      <c r="U854"/>
    </row>
    <row r="855" spans="1:21" s="1" customFormat="1" x14ac:dyDescent="0.25">
      <c r="A855" s="1">
        <v>897</v>
      </c>
      <c r="B855" s="1" t="s">
        <v>109</v>
      </c>
      <c r="C855" s="1" t="s">
        <v>820</v>
      </c>
      <c r="D855" s="2">
        <v>42192.897187499999</v>
      </c>
      <c r="E855" s="2">
        <v>42192.730567129627</v>
      </c>
      <c r="F855" s="1">
        <v>1</v>
      </c>
      <c r="G855" s="1">
        <v>2</v>
      </c>
      <c r="H855" s="1">
        <v>2</v>
      </c>
      <c r="I855" s="1">
        <v>3</v>
      </c>
      <c r="J855" s="1">
        <v>1</v>
      </c>
      <c r="K855" s="1">
        <v>1</v>
      </c>
      <c r="L855" s="3">
        <v>6.75</v>
      </c>
      <c r="M855" s="3" t="str">
        <f t="shared" si="133"/>
        <v>Jul</v>
      </c>
      <c r="N855" s="2">
        <v>42192.730532407404</v>
      </c>
      <c r="O855" s="1">
        <f t="shared" si="137"/>
        <v>7</v>
      </c>
      <c r="P855" s="1">
        <f t="shared" si="138"/>
        <v>3</v>
      </c>
      <c r="Q855" s="1">
        <f t="shared" si="139"/>
        <v>17</v>
      </c>
      <c r="S855"/>
      <c r="T855"/>
      <c r="U855"/>
    </row>
    <row r="856" spans="1:21" s="1" customFormat="1" x14ac:dyDescent="0.25">
      <c r="A856" s="1">
        <v>898</v>
      </c>
      <c r="B856" s="1" t="s">
        <v>100</v>
      </c>
      <c r="C856" s="1" t="s">
        <v>821</v>
      </c>
      <c r="D856" s="2">
        <v>42238.467094907406</v>
      </c>
      <c r="E856" s="2">
        <v>42243.474675925929</v>
      </c>
      <c r="F856" s="1">
        <v>3</v>
      </c>
      <c r="G856" s="1">
        <v>0</v>
      </c>
      <c r="H856" s="1">
        <v>2</v>
      </c>
      <c r="I856" s="1">
        <v>4</v>
      </c>
      <c r="J856" s="1">
        <v>1</v>
      </c>
      <c r="K856" s="1">
        <v>1</v>
      </c>
      <c r="L856" s="3">
        <v>29.92</v>
      </c>
      <c r="M856" s="3" t="str">
        <f t="shared" si="133"/>
        <v>Aug</v>
      </c>
      <c r="N856" s="2">
        <v>42238.467094907406</v>
      </c>
      <c r="O856" s="1">
        <f t="shared" si="137"/>
        <v>22</v>
      </c>
      <c r="P856" s="1">
        <f t="shared" si="138"/>
        <v>7</v>
      </c>
      <c r="Q856" s="1">
        <f t="shared" si="139"/>
        <v>11</v>
      </c>
      <c r="S856"/>
      <c r="T856"/>
      <c r="U856"/>
    </row>
    <row r="857" spans="1:21" s="1" customFormat="1" x14ac:dyDescent="0.25">
      <c r="A857" s="1">
        <v>900</v>
      </c>
      <c r="B857" s="1" t="s">
        <v>131</v>
      </c>
      <c r="C857" s="1" t="s">
        <v>381</v>
      </c>
      <c r="D857" s="2">
        <v>42248.610173611109</v>
      </c>
      <c r="E857" s="2">
        <v>42248.610219907408</v>
      </c>
      <c r="F857" s="1">
        <v>1</v>
      </c>
      <c r="G857" s="1">
        <v>6</v>
      </c>
      <c r="H857" s="1">
        <v>8</v>
      </c>
      <c r="I857" s="1">
        <v>2</v>
      </c>
      <c r="J857" s="1">
        <v>1</v>
      </c>
      <c r="K857" s="1">
        <v>4</v>
      </c>
      <c r="L857" s="3">
        <v>35.200000000000003</v>
      </c>
      <c r="M857" s="3" t="str">
        <f t="shared" si="133"/>
        <v>Sep</v>
      </c>
      <c r="N857" s="2">
        <v>42248.610173611109</v>
      </c>
      <c r="O857" s="1">
        <f t="shared" ref="O857:O890" si="140">DAY(N857)</f>
        <v>1</v>
      </c>
      <c r="P857" s="1">
        <f t="shared" ref="P857:P890" si="141">WEEKDAY(N857,1)</f>
        <v>3</v>
      </c>
      <c r="Q857" s="1">
        <f t="shared" ref="Q857:Q890" si="142">HOUR(N857)</f>
        <v>14</v>
      </c>
      <c r="S857"/>
      <c r="T857"/>
      <c r="U857"/>
    </row>
    <row r="858" spans="1:21" s="1" customFormat="1" x14ac:dyDescent="0.25">
      <c r="A858" s="1">
        <v>901</v>
      </c>
      <c r="B858" s="1" t="s">
        <v>89</v>
      </c>
      <c r="C858" s="1" t="s">
        <v>822</v>
      </c>
      <c r="D858" s="2">
        <v>42214.728437500002</v>
      </c>
      <c r="E858" s="2">
        <v>42214.728483796294</v>
      </c>
      <c r="F858" s="1">
        <v>1</v>
      </c>
      <c r="G858" s="1">
        <v>2</v>
      </c>
      <c r="H858" s="1">
        <v>6</v>
      </c>
      <c r="I858" s="1">
        <v>2</v>
      </c>
      <c r="J858" s="1">
        <v>1</v>
      </c>
      <c r="K858" s="1">
        <v>3</v>
      </c>
      <c r="L858" s="3">
        <v>89.76</v>
      </c>
      <c r="M858" s="3" t="str">
        <f t="shared" si="133"/>
        <v>Jul</v>
      </c>
      <c r="N858" s="2">
        <v>42214.728437500002</v>
      </c>
      <c r="O858" s="1">
        <f t="shared" si="140"/>
        <v>29</v>
      </c>
      <c r="P858" s="1">
        <f t="shared" si="141"/>
        <v>4</v>
      </c>
      <c r="Q858" s="1">
        <f t="shared" si="142"/>
        <v>17</v>
      </c>
      <c r="S858"/>
      <c r="T858"/>
      <c r="U858"/>
    </row>
    <row r="859" spans="1:21" s="1" customFormat="1" x14ac:dyDescent="0.25">
      <c r="A859" s="1">
        <v>902</v>
      </c>
      <c r="B859" s="1" t="s">
        <v>96</v>
      </c>
      <c r="C859" s="1" t="s">
        <v>156</v>
      </c>
      <c r="D859" s="2">
        <v>42179.983854166669</v>
      </c>
      <c r="E859" s="2">
        <v>42179.983946759261</v>
      </c>
      <c r="F859" s="1">
        <v>1</v>
      </c>
      <c r="G859" s="1">
        <v>2</v>
      </c>
      <c r="H859" s="1">
        <v>4</v>
      </c>
      <c r="I859" s="1">
        <v>2</v>
      </c>
      <c r="J859" s="1">
        <v>1</v>
      </c>
      <c r="K859" s="1">
        <v>1</v>
      </c>
      <c r="L859" s="3">
        <v>36</v>
      </c>
      <c r="M859" s="3" t="str">
        <f t="shared" si="133"/>
        <v>Jun</v>
      </c>
      <c r="N859" s="2">
        <v>42179.983865740738</v>
      </c>
      <c r="O859" s="1">
        <f t="shared" si="140"/>
        <v>24</v>
      </c>
      <c r="P859" s="1">
        <f t="shared" si="141"/>
        <v>4</v>
      </c>
      <c r="Q859" s="1">
        <f t="shared" si="142"/>
        <v>23</v>
      </c>
      <c r="S859"/>
      <c r="T859"/>
      <c r="U859"/>
    </row>
    <row r="860" spans="1:21" s="1" customFormat="1" x14ac:dyDescent="0.25">
      <c r="A860" s="1">
        <v>903</v>
      </c>
      <c r="B860" s="1" t="s">
        <v>100</v>
      </c>
      <c r="C860" s="1" t="s">
        <v>823</v>
      </c>
      <c r="D860" s="2">
        <v>42237.238483796296</v>
      </c>
      <c r="E860" s="2">
        <v>42237.071828703702</v>
      </c>
      <c r="F860" s="1">
        <v>1</v>
      </c>
      <c r="G860" s="1">
        <v>1</v>
      </c>
      <c r="H860" s="1">
        <v>3</v>
      </c>
      <c r="I860" s="1">
        <v>1</v>
      </c>
      <c r="J860" s="1">
        <v>1</v>
      </c>
      <c r="K860" s="1">
        <v>3</v>
      </c>
      <c r="L860" s="3">
        <v>168.96</v>
      </c>
      <c r="M860" s="3" t="str">
        <f t="shared" si="133"/>
        <v>Aug</v>
      </c>
      <c r="N860" s="2">
        <v>42237.083692129629</v>
      </c>
      <c r="O860" s="1">
        <f t="shared" si="140"/>
        <v>21</v>
      </c>
      <c r="P860" s="1">
        <f t="shared" si="141"/>
        <v>6</v>
      </c>
      <c r="Q860" s="1">
        <f t="shared" si="142"/>
        <v>2</v>
      </c>
      <c r="S860"/>
      <c r="T860"/>
      <c r="U860"/>
    </row>
    <row r="861" spans="1:21" s="1" customFormat="1" x14ac:dyDescent="0.25">
      <c r="A861" s="1">
        <v>904</v>
      </c>
      <c r="B861" s="1" t="s">
        <v>96</v>
      </c>
      <c r="C861" s="1" t="s">
        <v>824</v>
      </c>
      <c r="D861" s="2">
        <v>42207.635798611111</v>
      </c>
      <c r="E861" s="2">
        <v>42208.370034722226</v>
      </c>
      <c r="F861" s="1">
        <v>2</v>
      </c>
      <c r="G861" s="1">
        <v>5</v>
      </c>
      <c r="H861" s="1">
        <v>13</v>
      </c>
      <c r="I861" s="1">
        <v>8</v>
      </c>
      <c r="J861" s="1">
        <v>2</v>
      </c>
      <c r="K861" s="1">
        <v>12</v>
      </c>
      <c r="L861" s="3">
        <v>79</v>
      </c>
      <c r="M861" s="3" t="str">
        <f t="shared" si="133"/>
        <v>Jul</v>
      </c>
      <c r="N861" s="2">
        <v>42207.470520833333</v>
      </c>
      <c r="O861" s="1">
        <f t="shared" si="140"/>
        <v>22</v>
      </c>
      <c r="P861" s="1">
        <f t="shared" si="141"/>
        <v>4</v>
      </c>
      <c r="Q861" s="1">
        <f t="shared" si="142"/>
        <v>11</v>
      </c>
      <c r="S861"/>
      <c r="T861"/>
      <c r="U861"/>
    </row>
    <row r="862" spans="1:21" s="1" customFormat="1" x14ac:dyDescent="0.25">
      <c r="A862" s="1">
        <v>905</v>
      </c>
      <c r="B862" s="1" t="s">
        <v>123</v>
      </c>
      <c r="C862" s="1" t="s">
        <v>825</v>
      </c>
      <c r="D862" s="2">
        <v>42133.944618055553</v>
      </c>
      <c r="E862" s="2">
        <v>42133.944664351853</v>
      </c>
      <c r="F862" s="1">
        <v>1</v>
      </c>
      <c r="G862" s="1">
        <v>4</v>
      </c>
      <c r="H862" s="1">
        <v>8</v>
      </c>
      <c r="I862" s="1">
        <v>5</v>
      </c>
      <c r="J862" s="1">
        <v>1</v>
      </c>
      <c r="K862" s="1">
        <v>5</v>
      </c>
      <c r="L862" s="4">
        <v>144</v>
      </c>
      <c r="M862" s="3" t="str">
        <f t="shared" si="133"/>
        <v>May</v>
      </c>
      <c r="N862" s="2">
        <v>42133.94462962963</v>
      </c>
      <c r="O862" s="1">
        <f t="shared" si="140"/>
        <v>9</v>
      </c>
      <c r="P862" s="1">
        <f t="shared" si="141"/>
        <v>7</v>
      </c>
      <c r="Q862" s="1">
        <f t="shared" si="142"/>
        <v>22</v>
      </c>
      <c r="S862"/>
      <c r="T862"/>
      <c r="U862"/>
    </row>
    <row r="863" spans="1:21" s="1" customFormat="1" x14ac:dyDescent="0.25">
      <c r="A863" s="1">
        <v>906</v>
      </c>
      <c r="B863" s="1" t="s">
        <v>100</v>
      </c>
      <c r="C863" s="1" t="s">
        <v>826</v>
      </c>
      <c r="D863" s="2">
        <v>42011.127557870372</v>
      </c>
      <c r="E863" s="2">
        <v>42011.127974537034</v>
      </c>
      <c r="F863" s="1">
        <v>2</v>
      </c>
      <c r="G863" s="1">
        <v>2</v>
      </c>
      <c r="H863" s="1">
        <v>14</v>
      </c>
      <c r="I863" s="1">
        <v>3</v>
      </c>
      <c r="J863" s="1">
        <v>1</v>
      </c>
      <c r="K863" s="1">
        <v>6</v>
      </c>
      <c r="L863" s="4">
        <v>43.2</v>
      </c>
      <c r="M863" s="3" t="str">
        <f t="shared" si="133"/>
        <v>Jan</v>
      </c>
      <c r="N863" s="2">
        <v>42011.127581018518</v>
      </c>
      <c r="O863" s="1">
        <f t="shared" si="140"/>
        <v>7</v>
      </c>
      <c r="P863" s="1">
        <f t="shared" si="141"/>
        <v>4</v>
      </c>
      <c r="Q863" s="1">
        <f t="shared" si="142"/>
        <v>3</v>
      </c>
      <c r="S863"/>
      <c r="T863"/>
      <c r="U863"/>
    </row>
    <row r="864" spans="1:21" s="1" customFormat="1" x14ac:dyDescent="0.25">
      <c r="A864" s="1">
        <v>907</v>
      </c>
      <c r="B864" s="1" t="s">
        <v>76</v>
      </c>
      <c r="C864" s="1" t="s">
        <v>827</v>
      </c>
      <c r="D864" s="2">
        <v>42122.491226851853</v>
      </c>
      <c r="E864" s="2">
        <v>42122.491273148145</v>
      </c>
      <c r="F864" s="1">
        <v>1</v>
      </c>
      <c r="G864" s="1">
        <v>4</v>
      </c>
      <c r="H864" s="1">
        <v>8</v>
      </c>
      <c r="I864" s="1">
        <v>1</v>
      </c>
      <c r="J864" s="1">
        <v>1</v>
      </c>
      <c r="K864" s="1">
        <v>4</v>
      </c>
      <c r="L864" s="4">
        <v>28.8</v>
      </c>
      <c r="M864" s="3" t="str">
        <f t="shared" si="133"/>
        <v>Apr</v>
      </c>
      <c r="N864" s="2">
        <v>42122.491238425922</v>
      </c>
      <c r="O864" s="1">
        <f t="shared" si="140"/>
        <v>28</v>
      </c>
      <c r="P864" s="1">
        <f t="shared" si="141"/>
        <v>3</v>
      </c>
      <c r="Q864" s="1">
        <f t="shared" si="142"/>
        <v>11</v>
      </c>
      <c r="S864"/>
      <c r="T864"/>
      <c r="U864"/>
    </row>
    <row r="865" spans="1:21" s="1" customFormat="1" x14ac:dyDescent="0.25">
      <c r="A865" s="1">
        <v>908</v>
      </c>
      <c r="B865" s="1" t="s">
        <v>94</v>
      </c>
      <c r="C865" s="1" t="s">
        <v>828</v>
      </c>
      <c r="D865" s="2">
        <v>42253.518287037034</v>
      </c>
      <c r="E865" s="2">
        <v>42253.518321759257</v>
      </c>
      <c r="F865" s="1">
        <v>1</v>
      </c>
      <c r="G865" s="1">
        <v>4</v>
      </c>
      <c r="H865" s="1">
        <v>2</v>
      </c>
      <c r="I865" s="1">
        <v>2</v>
      </c>
      <c r="J865" s="1">
        <v>1</v>
      </c>
      <c r="K865" s="1">
        <v>2</v>
      </c>
      <c r="L865" s="3">
        <v>22</v>
      </c>
      <c r="M865" s="3" t="str">
        <f t="shared" si="133"/>
        <v>Sep</v>
      </c>
      <c r="N865" s="2">
        <v>42253.518287037034</v>
      </c>
      <c r="O865" s="1">
        <f t="shared" si="140"/>
        <v>6</v>
      </c>
      <c r="P865" s="1">
        <f t="shared" si="141"/>
        <v>1</v>
      </c>
      <c r="Q865" s="1">
        <f t="shared" si="142"/>
        <v>12</v>
      </c>
      <c r="S865"/>
      <c r="T865"/>
      <c r="U865"/>
    </row>
    <row r="866" spans="1:21" s="1" customFormat="1" x14ac:dyDescent="0.25">
      <c r="A866" s="1">
        <v>909</v>
      </c>
      <c r="D866" s="2">
        <v>42095.586585648147</v>
      </c>
      <c r="E866" s="2">
        <v>42095.586631944447</v>
      </c>
      <c r="F866" s="1">
        <v>1</v>
      </c>
      <c r="G866" s="1">
        <v>2</v>
      </c>
      <c r="H866" s="1">
        <v>4</v>
      </c>
      <c r="I866" s="1">
        <v>2</v>
      </c>
      <c r="J866" s="1">
        <v>1</v>
      </c>
      <c r="K866" s="1">
        <v>2</v>
      </c>
      <c r="L866" s="4">
        <v>45</v>
      </c>
      <c r="M866" s="3" t="str">
        <f t="shared" si="133"/>
        <v>Apr</v>
      </c>
      <c r="N866" s="2">
        <v>42095.588495370372</v>
      </c>
      <c r="O866" s="1">
        <f t="shared" si="140"/>
        <v>1</v>
      </c>
      <c r="P866" s="1">
        <f t="shared" si="141"/>
        <v>4</v>
      </c>
      <c r="Q866" s="1">
        <f t="shared" si="142"/>
        <v>14</v>
      </c>
      <c r="S866"/>
      <c r="T866"/>
      <c r="U866"/>
    </row>
    <row r="867" spans="1:21" s="1" customFormat="1" x14ac:dyDescent="0.25">
      <c r="A867" s="1">
        <v>910</v>
      </c>
      <c r="B867" s="1" t="s">
        <v>100</v>
      </c>
      <c r="C867" s="1" t="s">
        <v>510</v>
      </c>
      <c r="D867" s="2">
        <v>42093.927465277775</v>
      </c>
      <c r="E867" s="2">
        <v>42093.927511574075</v>
      </c>
      <c r="F867" s="1">
        <v>1</v>
      </c>
      <c r="G867" s="1">
        <v>2</v>
      </c>
      <c r="H867" s="1">
        <v>2</v>
      </c>
      <c r="I867" s="1">
        <v>1</v>
      </c>
      <c r="J867" s="1">
        <v>1</v>
      </c>
      <c r="K867" s="1">
        <v>1</v>
      </c>
      <c r="L867" s="4">
        <v>115.2</v>
      </c>
      <c r="M867" s="3" t="str">
        <f t="shared" si="133"/>
        <v>Mar</v>
      </c>
      <c r="N867" s="2">
        <v>42093.927465277775</v>
      </c>
      <c r="O867" s="1">
        <f t="shared" si="140"/>
        <v>30</v>
      </c>
      <c r="P867" s="1">
        <f t="shared" si="141"/>
        <v>2</v>
      </c>
      <c r="Q867" s="1">
        <f t="shared" si="142"/>
        <v>22</v>
      </c>
      <c r="S867"/>
      <c r="T867"/>
      <c r="U867"/>
    </row>
    <row r="868" spans="1:21" s="1" customFormat="1" x14ac:dyDescent="0.25">
      <c r="A868" s="1">
        <v>911</v>
      </c>
      <c r="B868" s="1" t="s">
        <v>208</v>
      </c>
      <c r="C868" s="1" t="s">
        <v>269</v>
      </c>
      <c r="D868" s="2">
        <v>42252.644733796296</v>
      </c>
      <c r="E868" s="2">
        <v>42252.478125000001</v>
      </c>
      <c r="F868" s="1">
        <v>1</v>
      </c>
      <c r="G868" s="1">
        <v>0</v>
      </c>
      <c r="H868" s="1">
        <v>2</v>
      </c>
      <c r="I868" s="1">
        <v>2</v>
      </c>
      <c r="J868" s="1">
        <v>1</v>
      </c>
      <c r="K868" s="1">
        <v>1</v>
      </c>
      <c r="L868" s="3">
        <v>28.05</v>
      </c>
      <c r="M868" s="3" t="str">
        <f t="shared" si="133"/>
        <v>Sep</v>
      </c>
      <c r="N868" s="2">
        <v>42252.478078703702</v>
      </c>
      <c r="O868" s="1">
        <f t="shared" si="140"/>
        <v>5</v>
      </c>
      <c r="P868" s="1">
        <f t="shared" si="141"/>
        <v>7</v>
      </c>
      <c r="Q868" s="1">
        <f t="shared" si="142"/>
        <v>11</v>
      </c>
      <c r="S868"/>
      <c r="T868"/>
      <c r="U868"/>
    </row>
    <row r="869" spans="1:21" s="1" customFormat="1" x14ac:dyDescent="0.25">
      <c r="A869" s="1">
        <v>912</v>
      </c>
      <c r="B869" s="1" t="s">
        <v>96</v>
      </c>
      <c r="C869" s="1" t="s">
        <v>829</v>
      </c>
      <c r="D869" s="2">
        <v>42266.637569444443</v>
      </c>
      <c r="E869" s="2">
        <v>42266.637685185182</v>
      </c>
      <c r="F869" s="1">
        <v>1</v>
      </c>
      <c r="G869" s="1">
        <v>2</v>
      </c>
      <c r="H869" s="1">
        <v>4</v>
      </c>
      <c r="I869" s="1">
        <v>2</v>
      </c>
      <c r="J869" s="1">
        <v>1</v>
      </c>
      <c r="K869" s="1">
        <v>1</v>
      </c>
      <c r="L869" s="3">
        <v>70.400000000000006</v>
      </c>
      <c r="M869" s="3" t="str">
        <f t="shared" si="133"/>
        <v>Sep</v>
      </c>
      <c r="N869" s="2">
        <v>42266.637569444443</v>
      </c>
      <c r="O869" s="1">
        <f t="shared" si="140"/>
        <v>19</v>
      </c>
      <c r="P869" s="1">
        <f t="shared" si="141"/>
        <v>7</v>
      </c>
      <c r="Q869" s="1">
        <f t="shared" si="142"/>
        <v>15</v>
      </c>
      <c r="S869"/>
      <c r="T869"/>
      <c r="U869"/>
    </row>
    <row r="870" spans="1:21" s="1" customFormat="1" x14ac:dyDescent="0.25">
      <c r="A870" s="1">
        <v>913</v>
      </c>
      <c r="B870" s="1" t="s">
        <v>76</v>
      </c>
      <c r="C870" s="1" t="s">
        <v>830</v>
      </c>
      <c r="D870" s="2">
        <v>42255.956203703703</v>
      </c>
      <c r="E870" s="2">
        <v>42256.661261574074</v>
      </c>
      <c r="F870" s="1">
        <v>5</v>
      </c>
      <c r="G870" s="1">
        <v>6</v>
      </c>
      <c r="H870" s="1">
        <v>4</v>
      </c>
      <c r="I870" s="1">
        <v>2</v>
      </c>
      <c r="J870" s="1">
        <v>1</v>
      </c>
      <c r="K870" s="1">
        <v>6</v>
      </c>
      <c r="L870" s="3">
        <v>52.8</v>
      </c>
      <c r="M870" s="3" t="str">
        <f t="shared" si="133"/>
        <v>Sep</v>
      </c>
      <c r="N870" s="2">
        <v>42255.956203703703</v>
      </c>
      <c r="O870" s="1">
        <f t="shared" si="140"/>
        <v>8</v>
      </c>
      <c r="P870" s="1">
        <f t="shared" si="141"/>
        <v>3</v>
      </c>
      <c r="Q870" s="1">
        <f t="shared" si="142"/>
        <v>22</v>
      </c>
      <c r="S870"/>
      <c r="T870"/>
      <c r="U870"/>
    </row>
    <row r="871" spans="1:21" s="1" customFormat="1" x14ac:dyDescent="0.25">
      <c r="A871" s="1">
        <v>914</v>
      </c>
      <c r="B871" s="1" t="s">
        <v>103</v>
      </c>
      <c r="C871" s="1" t="s">
        <v>831</v>
      </c>
      <c r="D871" s="2">
        <v>42167.574432870373</v>
      </c>
      <c r="E871" s="2">
        <v>42169.961956018517</v>
      </c>
      <c r="F871" s="1">
        <v>3</v>
      </c>
      <c r="G871" s="1">
        <v>4</v>
      </c>
      <c r="H871" s="1">
        <v>4</v>
      </c>
      <c r="I871" s="1">
        <v>3</v>
      </c>
      <c r="J871" s="1">
        <v>1</v>
      </c>
      <c r="K871" s="1">
        <v>2</v>
      </c>
      <c r="L871" s="3">
        <v>21</v>
      </c>
      <c r="M871" s="3" t="str">
        <f t="shared" si="133"/>
        <v>Jun</v>
      </c>
      <c r="N871" s="2">
        <v>42167.574444444443</v>
      </c>
      <c r="O871" s="1">
        <f t="shared" si="140"/>
        <v>12</v>
      </c>
      <c r="P871" s="1">
        <f t="shared" si="141"/>
        <v>6</v>
      </c>
      <c r="Q871" s="1">
        <f t="shared" si="142"/>
        <v>13</v>
      </c>
      <c r="S871"/>
      <c r="T871"/>
      <c r="U871"/>
    </row>
    <row r="872" spans="1:21" s="1" customFormat="1" x14ac:dyDescent="0.25">
      <c r="A872" s="1">
        <v>915</v>
      </c>
      <c r="B872" s="1" t="s">
        <v>285</v>
      </c>
      <c r="C872" s="1" t="s">
        <v>832</v>
      </c>
      <c r="D872" s="2">
        <v>42165.775057870371</v>
      </c>
      <c r="E872" s="2">
        <v>42165.608460648145</v>
      </c>
      <c r="F872" s="1">
        <v>1</v>
      </c>
      <c r="G872" s="1">
        <v>6</v>
      </c>
      <c r="H872" s="1">
        <v>8</v>
      </c>
      <c r="I872" s="1">
        <v>4</v>
      </c>
      <c r="J872" s="1">
        <v>1</v>
      </c>
      <c r="K872" s="1">
        <v>4</v>
      </c>
      <c r="L872" s="3">
        <v>28.8</v>
      </c>
      <c r="M872" s="3" t="str">
        <f t="shared" si="133"/>
        <v>Jun</v>
      </c>
      <c r="N872" s="2">
        <v>42165.608425925922</v>
      </c>
      <c r="O872" s="1">
        <f t="shared" si="140"/>
        <v>10</v>
      </c>
      <c r="P872" s="1">
        <f t="shared" si="141"/>
        <v>4</v>
      </c>
      <c r="Q872" s="1">
        <f t="shared" si="142"/>
        <v>14</v>
      </c>
      <c r="S872"/>
      <c r="T872"/>
      <c r="U872"/>
    </row>
    <row r="873" spans="1:21" s="1" customFormat="1" x14ac:dyDescent="0.25">
      <c r="A873" s="1">
        <v>916</v>
      </c>
      <c r="B873" s="1" t="s">
        <v>112</v>
      </c>
      <c r="C873" s="1" t="s">
        <v>833</v>
      </c>
      <c r="D873" s="2">
        <v>42039.706562500003</v>
      </c>
      <c r="E873" s="2">
        <v>42039.706643518519</v>
      </c>
      <c r="F873" s="1">
        <v>1</v>
      </c>
      <c r="G873" s="1">
        <v>2</v>
      </c>
      <c r="H873" s="1">
        <v>2</v>
      </c>
      <c r="I873" s="1">
        <v>1</v>
      </c>
      <c r="J873" s="1">
        <v>1</v>
      </c>
      <c r="K873" s="1">
        <v>1</v>
      </c>
      <c r="L873" s="4">
        <v>28.8</v>
      </c>
      <c r="M873" s="3" t="str">
        <f t="shared" si="133"/>
        <v>Feb</v>
      </c>
      <c r="N873" s="2">
        <v>42039.706597222219</v>
      </c>
      <c r="O873" s="1">
        <f t="shared" si="140"/>
        <v>4</v>
      </c>
      <c r="P873" s="1">
        <f t="shared" si="141"/>
        <v>4</v>
      </c>
      <c r="Q873" s="1">
        <f t="shared" si="142"/>
        <v>16</v>
      </c>
      <c r="S873"/>
      <c r="T873"/>
      <c r="U873"/>
    </row>
    <row r="874" spans="1:21" s="1" customFormat="1" x14ac:dyDescent="0.25">
      <c r="A874" s="1">
        <v>917</v>
      </c>
      <c r="B874" s="1" t="s">
        <v>210</v>
      </c>
      <c r="C874" s="1" t="s">
        <v>834</v>
      </c>
      <c r="D874" s="2">
        <v>42106.949212962965</v>
      </c>
      <c r="E874" s="2">
        <v>42106.949282407404</v>
      </c>
      <c r="F874" s="1">
        <v>1</v>
      </c>
      <c r="G874" s="1">
        <v>2</v>
      </c>
      <c r="H874" s="1">
        <v>4</v>
      </c>
      <c r="I874" s="1">
        <v>1</v>
      </c>
      <c r="J874" s="1">
        <v>1</v>
      </c>
      <c r="K874" s="1">
        <v>4</v>
      </c>
      <c r="L874" s="4">
        <v>28.8</v>
      </c>
      <c r="M874" s="3" t="str">
        <f t="shared" si="133"/>
        <v>Apr</v>
      </c>
      <c r="N874" s="2">
        <v>42106.949224537035</v>
      </c>
      <c r="O874" s="1">
        <f t="shared" si="140"/>
        <v>12</v>
      </c>
      <c r="P874" s="1">
        <f t="shared" si="141"/>
        <v>1</v>
      </c>
      <c r="Q874" s="1">
        <f t="shared" si="142"/>
        <v>22</v>
      </c>
      <c r="S874"/>
      <c r="T874"/>
      <c r="U874"/>
    </row>
    <row r="875" spans="1:21" s="1" customFormat="1" x14ac:dyDescent="0.25">
      <c r="A875" s="1">
        <v>918</v>
      </c>
      <c r="B875" s="1" t="s">
        <v>195</v>
      </c>
      <c r="C875" s="1" t="s">
        <v>835</v>
      </c>
      <c r="D875" s="2">
        <v>42164.513472222221</v>
      </c>
      <c r="E875" s="2">
        <v>42164.513518518521</v>
      </c>
      <c r="F875" s="1">
        <v>1</v>
      </c>
      <c r="G875" s="1">
        <v>0</v>
      </c>
      <c r="H875" s="1">
        <v>8</v>
      </c>
      <c r="I875" s="1">
        <v>2</v>
      </c>
      <c r="J875" s="1">
        <v>1</v>
      </c>
      <c r="K875" s="1">
        <v>4</v>
      </c>
      <c r="L875" s="3">
        <v>36</v>
      </c>
      <c r="M875" s="3" t="str">
        <f t="shared" si="133"/>
        <v>Jun</v>
      </c>
      <c r="N875" s="2">
        <v>42164.513483796298</v>
      </c>
      <c r="O875" s="1">
        <f t="shared" si="140"/>
        <v>9</v>
      </c>
      <c r="P875" s="1">
        <f t="shared" si="141"/>
        <v>3</v>
      </c>
      <c r="Q875" s="1">
        <f t="shared" si="142"/>
        <v>12</v>
      </c>
      <c r="S875"/>
      <c r="T875"/>
      <c r="U875"/>
    </row>
    <row r="876" spans="1:21" s="1" customFormat="1" x14ac:dyDescent="0.25">
      <c r="A876" s="1">
        <v>919</v>
      </c>
      <c r="B876" s="1" t="s">
        <v>80</v>
      </c>
      <c r="C876" s="1" t="s">
        <v>836</v>
      </c>
      <c r="D876" s="2">
        <v>42045.074756944443</v>
      </c>
      <c r="E876" s="2">
        <v>42045.074837962966</v>
      </c>
      <c r="F876" s="1">
        <v>1</v>
      </c>
      <c r="G876" s="1">
        <v>2</v>
      </c>
      <c r="H876" s="1">
        <v>4</v>
      </c>
      <c r="I876" s="1">
        <v>2</v>
      </c>
      <c r="J876" s="1">
        <v>1</v>
      </c>
      <c r="K876" s="1">
        <v>2</v>
      </c>
      <c r="L876" s="4">
        <v>36</v>
      </c>
      <c r="M876" s="3" t="str">
        <f t="shared" si="133"/>
        <v>Feb</v>
      </c>
      <c r="N876" s="2">
        <v>42045.074791666666</v>
      </c>
      <c r="O876" s="1">
        <f t="shared" si="140"/>
        <v>10</v>
      </c>
      <c r="P876" s="1">
        <f t="shared" si="141"/>
        <v>3</v>
      </c>
      <c r="Q876" s="1">
        <f t="shared" si="142"/>
        <v>1</v>
      </c>
      <c r="S876"/>
      <c r="T876"/>
      <c r="U876"/>
    </row>
    <row r="877" spans="1:21" s="1" customFormat="1" x14ac:dyDescent="0.25">
      <c r="A877" s="1">
        <v>920</v>
      </c>
      <c r="B877" s="1" t="s">
        <v>100</v>
      </c>
      <c r="C877" s="1" t="s">
        <v>837</v>
      </c>
      <c r="D877" s="2">
        <v>42179.501400462963</v>
      </c>
      <c r="E877" s="2">
        <v>42179.501435185186</v>
      </c>
      <c r="F877" s="1">
        <v>1</v>
      </c>
      <c r="G877" s="1">
        <v>0</v>
      </c>
      <c r="H877" s="1">
        <v>2</v>
      </c>
      <c r="I877" s="1">
        <v>2</v>
      </c>
      <c r="J877" s="1">
        <v>1</v>
      </c>
      <c r="K877" s="1">
        <v>2</v>
      </c>
      <c r="L877" s="3">
        <v>14.4</v>
      </c>
      <c r="M877" s="3" t="str">
        <f t="shared" si="133"/>
        <v>Jun</v>
      </c>
      <c r="N877" s="2">
        <v>42179.50141203704</v>
      </c>
      <c r="O877" s="1">
        <f t="shared" si="140"/>
        <v>24</v>
      </c>
      <c r="P877" s="1">
        <f t="shared" si="141"/>
        <v>4</v>
      </c>
      <c r="Q877" s="1">
        <f t="shared" si="142"/>
        <v>12</v>
      </c>
      <c r="S877"/>
      <c r="T877"/>
      <c r="U877"/>
    </row>
    <row r="878" spans="1:21" s="1" customFormat="1" x14ac:dyDescent="0.25">
      <c r="A878" s="1">
        <v>921</v>
      </c>
      <c r="D878" s="2">
        <v>42076.489837962959</v>
      </c>
      <c r="E878" s="2">
        <v>42076.489930555559</v>
      </c>
      <c r="F878" s="1">
        <v>1</v>
      </c>
      <c r="G878" s="1">
        <v>2</v>
      </c>
      <c r="H878" s="1">
        <v>6</v>
      </c>
      <c r="I878" s="1">
        <v>2</v>
      </c>
      <c r="J878" s="1">
        <v>1</v>
      </c>
      <c r="K878" s="1">
        <v>2</v>
      </c>
      <c r="L878" s="4">
        <v>115.2</v>
      </c>
      <c r="M878" s="3" t="str">
        <f t="shared" si="133"/>
        <v>Mar</v>
      </c>
      <c r="N878" s="2">
        <v>42076.4919212963</v>
      </c>
      <c r="O878" s="1">
        <f t="shared" si="140"/>
        <v>13</v>
      </c>
      <c r="P878" s="1">
        <f t="shared" si="141"/>
        <v>6</v>
      </c>
      <c r="Q878" s="1">
        <f t="shared" si="142"/>
        <v>11</v>
      </c>
      <c r="S878"/>
      <c r="T878"/>
      <c r="U878"/>
    </row>
    <row r="879" spans="1:21" s="1" customFormat="1" x14ac:dyDescent="0.25">
      <c r="A879" s="1">
        <v>922</v>
      </c>
      <c r="B879" s="1" t="s">
        <v>119</v>
      </c>
      <c r="C879" s="1" t="s">
        <v>838</v>
      </c>
      <c r="D879" s="2">
        <v>42225.642974537041</v>
      </c>
      <c r="E879" s="2">
        <v>42226.898993055554</v>
      </c>
      <c r="F879" s="1">
        <v>2</v>
      </c>
      <c r="G879" s="1">
        <v>4</v>
      </c>
      <c r="H879" s="1">
        <v>3</v>
      </c>
      <c r="I879" s="1">
        <v>4</v>
      </c>
      <c r="J879" s="1">
        <v>1</v>
      </c>
      <c r="K879" s="1">
        <v>1</v>
      </c>
      <c r="L879" s="3">
        <v>50.4</v>
      </c>
      <c r="M879" s="3" t="str">
        <f t="shared" si="133"/>
        <v>Aug</v>
      </c>
      <c r="N879" s="2">
        <v>42225.642974537041</v>
      </c>
      <c r="O879" s="1">
        <f t="shared" si="140"/>
        <v>9</v>
      </c>
      <c r="P879" s="1">
        <f t="shared" si="141"/>
        <v>1</v>
      </c>
      <c r="Q879" s="1">
        <f t="shared" si="142"/>
        <v>15</v>
      </c>
      <c r="S879"/>
      <c r="T879"/>
      <c r="U879"/>
    </row>
    <row r="880" spans="1:21" s="1" customFormat="1" x14ac:dyDescent="0.25">
      <c r="A880" s="1">
        <v>923</v>
      </c>
      <c r="B880" s="1" t="s">
        <v>96</v>
      </c>
      <c r="C880" s="1" t="s">
        <v>808</v>
      </c>
      <c r="D880" s="2">
        <v>42050.574849537035</v>
      </c>
      <c r="E880" s="2">
        <v>42050.574930555558</v>
      </c>
      <c r="F880" s="1">
        <v>1</v>
      </c>
      <c r="G880" s="1">
        <v>0</v>
      </c>
      <c r="H880" s="1">
        <v>10</v>
      </c>
      <c r="I880" s="1">
        <v>1</v>
      </c>
      <c r="J880" s="1">
        <v>1</v>
      </c>
      <c r="K880" s="1">
        <v>6</v>
      </c>
      <c r="L880" s="4">
        <v>45.9</v>
      </c>
      <c r="M880" s="3" t="str">
        <f t="shared" si="133"/>
        <v>Feb</v>
      </c>
      <c r="N880" s="2">
        <v>42050.574872685182</v>
      </c>
      <c r="O880" s="1">
        <f t="shared" si="140"/>
        <v>15</v>
      </c>
      <c r="P880" s="1">
        <f t="shared" si="141"/>
        <v>1</v>
      </c>
      <c r="Q880" s="1">
        <f t="shared" si="142"/>
        <v>13</v>
      </c>
      <c r="S880"/>
      <c r="T880"/>
      <c r="U880"/>
    </row>
    <row r="881" spans="1:21" s="1" customFormat="1" x14ac:dyDescent="0.25">
      <c r="A881" s="1">
        <v>924</v>
      </c>
      <c r="B881" s="1" t="s">
        <v>341</v>
      </c>
      <c r="C881" s="1" t="s">
        <v>839</v>
      </c>
      <c r="D881" s="2">
        <v>42205.674768518518</v>
      </c>
      <c r="E881" s="2">
        <v>42205.674826388888</v>
      </c>
      <c r="F881" s="1">
        <v>1</v>
      </c>
      <c r="G881" s="1">
        <v>0</v>
      </c>
      <c r="H881" s="1">
        <v>2</v>
      </c>
      <c r="I881" s="1">
        <v>2</v>
      </c>
      <c r="J881" s="1">
        <v>1</v>
      </c>
      <c r="K881" s="1">
        <v>1</v>
      </c>
      <c r="L881" s="3">
        <v>29.92</v>
      </c>
      <c r="M881" s="3" t="str">
        <f t="shared" si="133"/>
        <v>Jul</v>
      </c>
      <c r="N881" s="2">
        <v>42205.674780092595</v>
      </c>
      <c r="O881" s="1">
        <f t="shared" si="140"/>
        <v>20</v>
      </c>
      <c r="P881" s="1">
        <f t="shared" si="141"/>
        <v>2</v>
      </c>
      <c r="Q881" s="1">
        <f t="shared" si="142"/>
        <v>16</v>
      </c>
      <c r="S881"/>
      <c r="T881"/>
      <c r="U881"/>
    </row>
    <row r="882" spans="1:21" s="1" customFormat="1" x14ac:dyDescent="0.25">
      <c r="A882" s="1">
        <v>926</v>
      </c>
      <c r="B882" s="1" t="s">
        <v>119</v>
      </c>
      <c r="C882" s="1" t="s">
        <v>840</v>
      </c>
      <c r="D882" s="2">
        <v>42207.983877314815</v>
      </c>
      <c r="E882" s="2">
        <v>42207.817245370374</v>
      </c>
      <c r="F882" s="1">
        <v>1</v>
      </c>
      <c r="G882" s="1">
        <v>2</v>
      </c>
      <c r="H882" s="1">
        <v>2</v>
      </c>
      <c r="I882" s="1">
        <v>2</v>
      </c>
      <c r="J882" s="1">
        <v>1</v>
      </c>
      <c r="K882" s="1">
        <v>1</v>
      </c>
      <c r="L882" s="3">
        <v>29.92</v>
      </c>
      <c r="M882" s="3" t="str">
        <f t="shared" si="133"/>
        <v>Jul</v>
      </c>
      <c r="N882" s="2">
        <v>42207.81722222222</v>
      </c>
      <c r="O882" s="1">
        <f t="shared" si="140"/>
        <v>22</v>
      </c>
      <c r="P882" s="1">
        <f t="shared" si="141"/>
        <v>4</v>
      </c>
      <c r="Q882" s="1">
        <f t="shared" si="142"/>
        <v>19</v>
      </c>
      <c r="S882"/>
      <c r="T882"/>
      <c r="U882"/>
    </row>
    <row r="883" spans="1:21" s="1" customFormat="1" x14ac:dyDescent="0.25">
      <c r="A883" s="1">
        <v>927</v>
      </c>
      <c r="B883" s="1" t="s">
        <v>119</v>
      </c>
      <c r="C883" s="1" t="s">
        <v>841</v>
      </c>
      <c r="D883" s="2">
        <v>42146.459710648145</v>
      </c>
      <c r="E883" s="2">
        <v>42146.459745370368</v>
      </c>
      <c r="F883" s="1">
        <v>1</v>
      </c>
      <c r="G883" s="1">
        <v>0</v>
      </c>
      <c r="H883" s="1">
        <v>2</v>
      </c>
      <c r="I883" s="1">
        <v>2</v>
      </c>
      <c r="J883" s="1">
        <v>1</v>
      </c>
      <c r="K883" s="1">
        <v>1</v>
      </c>
      <c r="L883" s="3">
        <v>28.8</v>
      </c>
      <c r="M883" s="3" t="str">
        <f t="shared" si="133"/>
        <v>May</v>
      </c>
      <c r="N883" s="2">
        <v>42146.459722222222</v>
      </c>
      <c r="O883" s="1">
        <f t="shared" si="140"/>
        <v>22</v>
      </c>
      <c r="P883" s="1">
        <f t="shared" si="141"/>
        <v>6</v>
      </c>
      <c r="Q883" s="1">
        <f t="shared" si="142"/>
        <v>11</v>
      </c>
      <c r="S883"/>
      <c r="T883"/>
      <c r="U883"/>
    </row>
    <row r="884" spans="1:21" s="1" customFormat="1" x14ac:dyDescent="0.25">
      <c r="A884" s="1">
        <v>928</v>
      </c>
      <c r="B884" s="1" t="s">
        <v>208</v>
      </c>
      <c r="C884" s="1" t="s">
        <v>842</v>
      </c>
      <c r="D884" s="2">
        <v>42247.932789351849</v>
      </c>
      <c r="E884" s="2">
        <v>42247.766168981485</v>
      </c>
      <c r="F884" s="1">
        <v>1</v>
      </c>
      <c r="G884" s="1">
        <v>4</v>
      </c>
      <c r="H884" s="1">
        <v>2</v>
      </c>
      <c r="I884" s="1">
        <v>2</v>
      </c>
      <c r="J884" s="1">
        <v>1</v>
      </c>
      <c r="K884" s="1">
        <v>2</v>
      </c>
      <c r="L884" s="3">
        <v>59.84</v>
      </c>
      <c r="M884" s="3" t="str">
        <f t="shared" si="133"/>
        <v>Aug</v>
      </c>
      <c r="N884" s="2">
        <v>42247.766122685185</v>
      </c>
      <c r="O884" s="1">
        <f t="shared" si="140"/>
        <v>31</v>
      </c>
      <c r="P884" s="1">
        <f t="shared" si="141"/>
        <v>2</v>
      </c>
      <c r="Q884" s="1">
        <f t="shared" si="142"/>
        <v>18</v>
      </c>
      <c r="S884"/>
      <c r="T884"/>
      <c r="U884"/>
    </row>
    <row r="885" spans="1:21" s="1" customFormat="1" x14ac:dyDescent="0.25">
      <c r="A885" s="1">
        <v>929</v>
      </c>
      <c r="B885" s="1" t="s">
        <v>89</v>
      </c>
      <c r="C885" s="1" t="s">
        <v>328</v>
      </c>
      <c r="D885" s="2">
        <v>42153.379710648151</v>
      </c>
      <c r="E885" s="2">
        <v>42153.379756944443</v>
      </c>
      <c r="F885" s="1">
        <v>1</v>
      </c>
      <c r="G885" s="1">
        <v>0</v>
      </c>
      <c r="H885" s="1">
        <v>8</v>
      </c>
      <c r="I885" s="1">
        <v>2</v>
      </c>
      <c r="J885" s="1">
        <v>1</v>
      </c>
      <c r="K885" s="1">
        <v>4</v>
      </c>
      <c r="L885" s="3">
        <v>28.8</v>
      </c>
      <c r="M885" s="3" t="str">
        <f t="shared" si="133"/>
        <v>May</v>
      </c>
      <c r="N885" s="2">
        <v>42153.37972222222</v>
      </c>
      <c r="O885" s="1">
        <f t="shared" si="140"/>
        <v>29</v>
      </c>
      <c r="P885" s="1">
        <f t="shared" si="141"/>
        <v>6</v>
      </c>
      <c r="Q885" s="1">
        <f t="shared" si="142"/>
        <v>9</v>
      </c>
      <c r="S885"/>
      <c r="T885"/>
      <c r="U885"/>
    </row>
    <row r="886" spans="1:21" s="1" customFormat="1" x14ac:dyDescent="0.25">
      <c r="A886" s="1">
        <v>930</v>
      </c>
      <c r="D886" s="2">
        <v>42017.164733796293</v>
      </c>
      <c r="E886" s="2">
        <v>42017.164861111109</v>
      </c>
      <c r="F886" s="1">
        <v>1</v>
      </c>
      <c r="G886" s="1">
        <v>6</v>
      </c>
      <c r="H886" s="1">
        <v>6</v>
      </c>
      <c r="I886" s="1">
        <v>3</v>
      </c>
      <c r="J886" s="1">
        <v>1</v>
      </c>
      <c r="K886" s="1">
        <v>4</v>
      </c>
      <c r="L886" s="4">
        <v>28.8</v>
      </c>
      <c r="M886" s="3" t="str">
        <f t="shared" si="133"/>
        <v>Jan</v>
      </c>
      <c r="N886" s="2">
        <v>42017.166747685187</v>
      </c>
      <c r="O886" s="1">
        <f t="shared" si="140"/>
        <v>13</v>
      </c>
      <c r="P886" s="1">
        <f t="shared" si="141"/>
        <v>3</v>
      </c>
      <c r="Q886" s="1">
        <f t="shared" si="142"/>
        <v>4</v>
      </c>
      <c r="S886"/>
      <c r="T886"/>
      <c r="U886"/>
    </row>
    <row r="887" spans="1:21" s="1" customFormat="1" x14ac:dyDescent="0.25">
      <c r="A887" s="1">
        <v>931</v>
      </c>
      <c r="B887" s="1" t="s">
        <v>94</v>
      </c>
      <c r="C887" s="1" t="s">
        <v>843</v>
      </c>
      <c r="D887" s="2">
        <v>42122.591770833336</v>
      </c>
      <c r="E887" s="2">
        <v>42122.591874999998</v>
      </c>
      <c r="F887" s="1">
        <v>1</v>
      </c>
      <c r="G887" s="1">
        <v>3</v>
      </c>
      <c r="H887" s="1">
        <v>4</v>
      </c>
      <c r="I887" s="1">
        <v>1</v>
      </c>
      <c r="J887" s="1">
        <v>1</v>
      </c>
      <c r="K887" s="1">
        <v>2</v>
      </c>
      <c r="L887" s="4">
        <v>72</v>
      </c>
      <c r="M887" s="3" t="str">
        <f t="shared" si="133"/>
        <v>Apr</v>
      </c>
      <c r="N887" s="2">
        <v>42122.598726851851</v>
      </c>
      <c r="O887" s="1">
        <f t="shared" si="140"/>
        <v>28</v>
      </c>
      <c r="P887" s="1">
        <f t="shared" si="141"/>
        <v>3</v>
      </c>
      <c r="Q887" s="1">
        <f t="shared" si="142"/>
        <v>14</v>
      </c>
      <c r="S887"/>
      <c r="T887"/>
      <c r="U887"/>
    </row>
    <row r="888" spans="1:21" s="1" customFormat="1" x14ac:dyDescent="0.25">
      <c r="A888" s="1">
        <v>932</v>
      </c>
      <c r="B888" s="1" t="s">
        <v>123</v>
      </c>
      <c r="C888" s="1" t="s">
        <v>844</v>
      </c>
      <c r="D888" s="2">
        <v>42150.152199074073</v>
      </c>
      <c r="E888" s="2">
        <v>42151.925937499997</v>
      </c>
      <c r="F888" s="1">
        <v>5</v>
      </c>
      <c r="G888" s="1">
        <v>8</v>
      </c>
      <c r="H888" s="1">
        <v>6</v>
      </c>
      <c r="I888" s="1">
        <v>3</v>
      </c>
      <c r="J888" s="1">
        <v>1</v>
      </c>
      <c r="K888" s="1">
        <v>2</v>
      </c>
      <c r="L888" s="3">
        <v>14.4</v>
      </c>
      <c r="M888" s="3" t="str">
        <f t="shared" si="133"/>
        <v>May</v>
      </c>
      <c r="N888" s="2">
        <v>42150.152199074073</v>
      </c>
      <c r="O888" s="1">
        <f t="shared" si="140"/>
        <v>26</v>
      </c>
      <c r="P888" s="1">
        <f t="shared" si="141"/>
        <v>3</v>
      </c>
      <c r="Q888" s="1">
        <f t="shared" si="142"/>
        <v>3</v>
      </c>
      <c r="S888"/>
      <c r="T888"/>
      <c r="U888"/>
    </row>
    <row r="889" spans="1:21" s="1" customFormat="1" x14ac:dyDescent="0.25">
      <c r="A889" s="1">
        <v>933</v>
      </c>
      <c r="B889" s="1" t="s">
        <v>100</v>
      </c>
      <c r="C889" s="1" t="s">
        <v>845</v>
      </c>
      <c r="D889" s="2">
        <v>42176.733090277776</v>
      </c>
      <c r="E889" s="2">
        <v>42176.566481481481</v>
      </c>
      <c r="F889" s="1">
        <v>1</v>
      </c>
      <c r="G889" s="1">
        <v>2</v>
      </c>
      <c r="H889" s="1">
        <v>4</v>
      </c>
      <c r="I889" s="1">
        <v>2</v>
      </c>
      <c r="J889" s="1">
        <v>1</v>
      </c>
      <c r="K889" s="1">
        <v>2</v>
      </c>
      <c r="L889" s="3">
        <v>67.2</v>
      </c>
      <c r="M889" s="3" t="str">
        <f t="shared" si="133"/>
        <v>Jun</v>
      </c>
      <c r="N889" s="2">
        <v>42176.566446759258</v>
      </c>
      <c r="O889" s="1">
        <f t="shared" si="140"/>
        <v>21</v>
      </c>
      <c r="P889" s="1">
        <f t="shared" si="141"/>
        <v>1</v>
      </c>
      <c r="Q889" s="1">
        <f t="shared" si="142"/>
        <v>13</v>
      </c>
      <c r="S889"/>
      <c r="T889"/>
      <c r="U889"/>
    </row>
    <row r="890" spans="1:21" s="1" customFormat="1" x14ac:dyDescent="0.25">
      <c r="A890" s="1">
        <v>934</v>
      </c>
      <c r="B890" s="1" t="s">
        <v>85</v>
      </c>
      <c r="C890" s="1" t="s">
        <v>846</v>
      </c>
      <c r="D890" s="2">
        <v>42159.747557870367</v>
      </c>
      <c r="E890" s="2">
        <v>42159.580972222226</v>
      </c>
      <c r="F890" s="1">
        <v>1</v>
      </c>
      <c r="G890" s="1">
        <v>2</v>
      </c>
      <c r="H890" s="1">
        <v>2</v>
      </c>
      <c r="I890" s="1">
        <v>2</v>
      </c>
      <c r="J890" s="1">
        <v>1</v>
      </c>
      <c r="K890" s="1">
        <v>2</v>
      </c>
      <c r="L890" s="3">
        <v>18</v>
      </c>
      <c r="M890" s="3" t="str">
        <f t="shared" si="133"/>
        <v>Jun</v>
      </c>
      <c r="N890" s="2">
        <v>42159.580914351849</v>
      </c>
      <c r="O890" s="1">
        <f t="shared" si="140"/>
        <v>4</v>
      </c>
      <c r="P890" s="1">
        <f t="shared" si="141"/>
        <v>5</v>
      </c>
      <c r="Q890" s="1">
        <f t="shared" si="142"/>
        <v>13</v>
      </c>
      <c r="S890"/>
      <c r="T890"/>
      <c r="U890"/>
    </row>
    <row r="891" spans="1:21" s="1" customFormat="1" x14ac:dyDescent="0.25">
      <c r="A891" s="1">
        <v>936</v>
      </c>
      <c r="D891" s="2">
        <v>42068.346817129626</v>
      </c>
      <c r="E891" s="2">
        <v>42068.346851851849</v>
      </c>
      <c r="F891" s="1">
        <v>1</v>
      </c>
      <c r="G891" s="1">
        <v>0</v>
      </c>
      <c r="H891" s="1">
        <v>4</v>
      </c>
      <c r="I891" s="1">
        <v>2</v>
      </c>
      <c r="J891" s="1">
        <v>1</v>
      </c>
      <c r="K891" s="1">
        <v>4</v>
      </c>
      <c r="L891" s="4">
        <v>28.8</v>
      </c>
      <c r="M891" s="3" t="str">
        <f t="shared" si="133"/>
        <v>Mar</v>
      </c>
      <c r="N891" s="2">
        <v>42068.356851851851</v>
      </c>
      <c r="O891" s="1">
        <f t="shared" ref="O891:O919" si="143">DAY(N891)</f>
        <v>5</v>
      </c>
      <c r="P891" s="1">
        <f t="shared" ref="P891:P919" si="144">WEEKDAY(N891,1)</f>
        <v>5</v>
      </c>
      <c r="Q891" s="1">
        <f t="shared" ref="Q891:Q919" si="145">HOUR(N891)</f>
        <v>8</v>
      </c>
      <c r="S891"/>
      <c r="T891"/>
      <c r="U891"/>
    </row>
    <row r="892" spans="1:21" s="1" customFormat="1" x14ac:dyDescent="0.25">
      <c r="A892" s="1">
        <v>937</v>
      </c>
      <c r="B892" s="1" t="s">
        <v>123</v>
      </c>
      <c r="C892" s="1" t="s">
        <v>847</v>
      </c>
      <c r="D892" s="2">
        <v>42156.878738425927</v>
      </c>
      <c r="E892" s="2">
        <v>42156.878784722219</v>
      </c>
      <c r="F892" s="1">
        <v>1</v>
      </c>
      <c r="G892" s="1">
        <v>2</v>
      </c>
      <c r="H892" s="1">
        <v>10</v>
      </c>
      <c r="I892" s="1">
        <v>2</v>
      </c>
      <c r="J892" s="1">
        <v>1</v>
      </c>
      <c r="K892" s="1">
        <v>5</v>
      </c>
      <c r="L892" s="3">
        <v>72</v>
      </c>
      <c r="M892" s="3" t="str">
        <f t="shared" si="133"/>
        <v>Jun</v>
      </c>
      <c r="N892" s="2">
        <v>42156.878750000003</v>
      </c>
      <c r="O892" s="1">
        <f t="shared" si="143"/>
        <v>1</v>
      </c>
      <c r="P892" s="1">
        <f t="shared" si="144"/>
        <v>2</v>
      </c>
      <c r="Q892" s="1">
        <f t="shared" si="145"/>
        <v>21</v>
      </c>
      <c r="S892"/>
      <c r="T892"/>
      <c r="U892"/>
    </row>
    <row r="893" spans="1:21" s="1" customFormat="1" x14ac:dyDescent="0.25">
      <c r="A893" s="1">
        <v>938</v>
      </c>
      <c r="B893" s="1" t="s">
        <v>83</v>
      </c>
      <c r="C893" s="1" t="s">
        <v>848</v>
      </c>
      <c r="D893" s="2">
        <v>42239.491284722222</v>
      </c>
      <c r="E893" s="2">
        <v>42243.242569444446</v>
      </c>
      <c r="F893" s="1">
        <v>5</v>
      </c>
      <c r="G893" s="1">
        <v>8</v>
      </c>
      <c r="H893" s="1">
        <v>2</v>
      </c>
      <c r="I893" s="1">
        <v>7</v>
      </c>
      <c r="J893" s="1">
        <v>1</v>
      </c>
      <c r="K893" s="1">
        <v>1</v>
      </c>
      <c r="L893" s="3">
        <v>29.92</v>
      </c>
      <c r="M893" s="3" t="str">
        <f t="shared" si="133"/>
        <v>Aug</v>
      </c>
      <c r="N893" s="2">
        <v>42239.491296296299</v>
      </c>
      <c r="O893" s="1">
        <f t="shared" si="143"/>
        <v>23</v>
      </c>
      <c r="P893" s="1">
        <f t="shared" si="144"/>
        <v>1</v>
      </c>
      <c r="Q893" s="1">
        <f t="shared" si="145"/>
        <v>11</v>
      </c>
      <c r="S893"/>
      <c r="T893"/>
      <c r="U893"/>
    </row>
    <row r="894" spans="1:21" s="1" customFormat="1" x14ac:dyDescent="0.25">
      <c r="A894" s="1">
        <v>939</v>
      </c>
      <c r="B894" s="1" t="s">
        <v>112</v>
      </c>
      <c r="C894" s="1" t="s">
        <v>849</v>
      </c>
      <c r="D894" s="2">
        <v>42078.525370370371</v>
      </c>
      <c r="E894" s="2">
        <v>42078.525451388887</v>
      </c>
      <c r="F894" s="1">
        <v>1</v>
      </c>
      <c r="G894" s="1">
        <v>0</v>
      </c>
      <c r="H894" s="1">
        <v>2</v>
      </c>
      <c r="I894" s="1">
        <v>1</v>
      </c>
      <c r="J894" s="1">
        <v>1</v>
      </c>
      <c r="K894" s="1">
        <v>1</v>
      </c>
      <c r="L894" s="4">
        <v>36</v>
      </c>
      <c r="M894" s="3" t="str">
        <f t="shared" si="133"/>
        <v>Mar</v>
      </c>
      <c r="N894" s="2">
        <v>42078.525381944448</v>
      </c>
      <c r="O894" s="1">
        <f t="shared" si="143"/>
        <v>15</v>
      </c>
      <c r="P894" s="1">
        <f t="shared" si="144"/>
        <v>1</v>
      </c>
      <c r="Q894" s="1">
        <f t="shared" si="145"/>
        <v>12</v>
      </c>
      <c r="S894"/>
      <c r="T894"/>
      <c r="U894"/>
    </row>
    <row r="895" spans="1:21" s="1" customFormat="1" x14ac:dyDescent="0.25">
      <c r="A895" s="1">
        <v>940</v>
      </c>
      <c r="D895" s="2">
        <v>42228.710358796299</v>
      </c>
      <c r="E895" s="2">
        <v>42228.543715277781</v>
      </c>
      <c r="F895" s="1">
        <v>1</v>
      </c>
      <c r="G895" s="1">
        <v>2</v>
      </c>
      <c r="H895" s="1">
        <v>4</v>
      </c>
      <c r="I895" s="1">
        <v>4</v>
      </c>
      <c r="J895" s="1">
        <v>1</v>
      </c>
      <c r="K895" s="1">
        <v>2</v>
      </c>
      <c r="L895" s="3">
        <v>86.24</v>
      </c>
      <c r="M895" s="3" t="str">
        <f t="shared" si="133"/>
        <v>Aug</v>
      </c>
      <c r="N895" s="2">
        <v>42228.549479166664</v>
      </c>
      <c r="O895" s="1">
        <f t="shared" si="143"/>
        <v>12</v>
      </c>
      <c r="P895" s="1">
        <f t="shared" si="144"/>
        <v>4</v>
      </c>
      <c r="Q895" s="1">
        <f t="shared" si="145"/>
        <v>13</v>
      </c>
      <c r="S895"/>
      <c r="T895"/>
      <c r="U895"/>
    </row>
    <row r="896" spans="1:21" s="1" customFormat="1" x14ac:dyDescent="0.25">
      <c r="A896" s="1">
        <v>941</v>
      </c>
      <c r="B896" s="1" t="s">
        <v>91</v>
      </c>
      <c r="C896" s="1" t="s">
        <v>850</v>
      </c>
      <c r="D896" s="2">
        <v>42031.408703703702</v>
      </c>
      <c r="E896" s="2">
        <v>42031.408750000002</v>
      </c>
      <c r="F896" s="1">
        <v>1</v>
      </c>
      <c r="G896" s="1">
        <v>2</v>
      </c>
      <c r="H896" s="1">
        <v>12</v>
      </c>
      <c r="I896" s="1">
        <v>2</v>
      </c>
      <c r="J896" s="1">
        <v>1</v>
      </c>
      <c r="K896" s="1">
        <v>6</v>
      </c>
      <c r="L896" s="4">
        <v>40.799999999999997</v>
      </c>
      <c r="M896" s="3" t="str">
        <f t="shared" si="133"/>
        <v>Jan</v>
      </c>
      <c r="N896" s="2">
        <v>42031.408715277779</v>
      </c>
      <c r="O896" s="1">
        <f t="shared" si="143"/>
        <v>27</v>
      </c>
      <c r="P896" s="1">
        <f t="shared" si="144"/>
        <v>3</v>
      </c>
      <c r="Q896" s="1">
        <f t="shared" si="145"/>
        <v>9</v>
      </c>
      <c r="S896"/>
      <c r="T896"/>
      <c r="U896"/>
    </row>
    <row r="897" spans="1:21" s="1" customFormat="1" x14ac:dyDescent="0.25">
      <c r="A897" s="1">
        <v>942</v>
      </c>
      <c r="B897" s="1" t="s">
        <v>103</v>
      </c>
      <c r="C897" s="1" t="s">
        <v>851</v>
      </c>
      <c r="D897" s="2">
        <v>42145.331342592595</v>
      </c>
      <c r="E897" s="2">
        <v>42145.331377314818</v>
      </c>
      <c r="F897" s="1">
        <v>1</v>
      </c>
      <c r="G897" s="1">
        <v>2</v>
      </c>
      <c r="H897" s="1">
        <v>4</v>
      </c>
      <c r="I897" s="1">
        <v>3</v>
      </c>
      <c r="J897" s="1">
        <v>1</v>
      </c>
      <c r="K897" s="1">
        <v>2</v>
      </c>
      <c r="L897" s="4">
        <v>14.4</v>
      </c>
      <c r="M897" s="3" t="str">
        <f t="shared" si="133"/>
        <v>May</v>
      </c>
      <c r="N897" s="2">
        <v>42145.331354166665</v>
      </c>
      <c r="O897" s="1">
        <f t="shared" si="143"/>
        <v>21</v>
      </c>
      <c r="P897" s="1">
        <f t="shared" si="144"/>
        <v>5</v>
      </c>
      <c r="Q897" s="1">
        <f t="shared" si="145"/>
        <v>7</v>
      </c>
      <c r="S897"/>
      <c r="T897"/>
      <c r="U897"/>
    </row>
    <row r="898" spans="1:21" s="1" customFormat="1" x14ac:dyDescent="0.25">
      <c r="A898" s="1">
        <v>943</v>
      </c>
      <c r="B898" s="1" t="s">
        <v>134</v>
      </c>
      <c r="C898" s="1" t="s">
        <v>852</v>
      </c>
      <c r="D898" s="2">
        <v>42006.715196759258</v>
      </c>
      <c r="E898" s="2">
        <v>42007.012453703705</v>
      </c>
      <c r="F898" s="1">
        <v>3</v>
      </c>
      <c r="G898" s="1">
        <v>2</v>
      </c>
      <c r="H898" s="1">
        <v>8</v>
      </c>
      <c r="I898" s="1">
        <v>2</v>
      </c>
      <c r="J898" s="1">
        <v>1</v>
      </c>
      <c r="K898" s="1">
        <v>4</v>
      </c>
      <c r="L898" s="4">
        <v>28.8</v>
      </c>
      <c r="M898" s="3" t="str">
        <f t="shared" si="133"/>
        <v>Jan</v>
      </c>
      <c r="N898" s="2">
        <v>42006.71534722222</v>
      </c>
      <c r="O898" s="1">
        <f t="shared" si="143"/>
        <v>2</v>
      </c>
      <c r="P898" s="1">
        <f t="shared" si="144"/>
        <v>6</v>
      </c>
      <c r="Q898" s="1">
        <f t="shared" si="145"/>
        <v>17</v>
      </c>
      <c r="S898"/>
      <c r="T898"/>
      <c r="U898"/>
    </row>
    <row r="899" spans="1:21" s="1" customFormat="1" x14ac:dyDescent="0.25">
      <c r="A899" s="1">
        <v>944</v>
      </c>
      <c r="B899" s="1" t="s">
        <v>853</v>
      </c>
      <c r="C899" s="1" t="s">
        <v>854</v>
      </c>
      <c r="D899" s="2">
        <v>42149.419328703705</v>
      </c>
      <c r="E899" s="2">
        <v>42149.419386574074</v>
      </c>
      <c r="F899" s="1">
        <v>1</v>
      </c>
      <c r="G899" s="1">
        <v>2</v>
      </c>
      <c r="H899" s="1">
        <v>4</v>
      </c>
      <c r="I899" s="1">
        <v>2</v>
      </c>
      <c r="J899" s="1">
        <v>1</v>
      </c>
      <c r="K899" s="1">
        <v>2</v>
      </c>
      <c r="L899" s="3">
        <v>57.6</v>
      </c>
      <c r="M899" s="3" t="str">
        <f t="shared" ref="M899:M962" si="146">TEXT(N899,"mmm")</f>
        <v>May</v>
      </c>
      <c r="N899" s="2">
        <v>42149.419351851851</v>
      </c>
      <c r="O899" s="1">
        <f t="shared" si="143"/>
        <v>25</v>
      </c>
      <c r="P899" s="1">
        <f t="shared" si="144"/>
        <v>2</v>
      </c>
      <c r="Q899" s="1">
        <f t="shared" si="145"/>
        <v>10</v>
      </c>
      <c r="S899"/>
      <c r="T899"/>
      <c r="U899"/>
    </row>
    <row r="900" spans="1:21" s="1" customFormat="1" x14ac:dyDescent="0.25">
      <c r="A900" s="1">
        <v>945</v>
      </c>
      <c r="B900" s="1" t="s">
        <v>100</v>
      </c>
      <c r="C900" s="1" t="s">
        <v>855</v>
      </c>
      <c r="D900" s="2">
        <v>42086.017280092594</v>
      </c>
      <c r="E900" s="2">
        <v>42086.017384259256</v>
      </c>
      <c r="F900" s="1">
        <v>1</v>
      </c>
      <c r="G900" s="1">
        <v>0</v>
      </c>
      <c r="H900" s="1">
        <v>6</v>
      </c>
      <c r="I900" s="1">
        <v>1</v>
      </c>
      <c r="J900" s="1">
        <v>1</v>
      </c>
      <c r="K900" s="1">
        <v>4</v>
      </c>
      <c r="L900" s="4">
        <v>88</v>
      </c>
      <c r="M900" s="3" t="str">
        <f t="shared" si="146"/>
        <v>Mar</v>
      </c>
      <c r="N900" s="2">
        <v>42086.017291666663</v>
      </c>
      <c r="O900" s="1">
        <f t="shared" si="143"/>
        <v>23</v>
      </c>
      <c r="P900" s="1">
        <f t="shared" si="144"/>
        <v>2</v>
      </c>
      <c r="Q900" s="1">
        <f t="shared" si="145"/>
        <v>0</v>
      </c>
      <c r="S900"/>
      <c r="T900"/>
      <c r="U900"/>
    </row>
    <row r="901" spans="1:21" s="1" customFormat="1" x14ac:dyDescent="0.25">
      <c r="A901" s="1">
        <v>946</v>
      </c>
      <c r="D901" s="2">
        <v>42034.846875000003</v>
      </c>
      <c r="E901" s="2">
        <v>42034.846932870372</v>
      </c>
      <c r="F901" s="1">
        <v>1</v>
      </c>
      <c r="G901" s="1">
        <v>2</v>
      </c>
      <c r="H901" s="1">
        <v>6</v>
      </c>
      <c r="I901" s="1">
        <v>3</v>
      </c>
      <c r="J901" s="1">
        <v>1</v>
      </c>
      <c r="K901" s="1">
        <v>3</v>
      </c>
      <c r="L901" s="4">
        <v>42.4</v>
      </c>
      <c r="M901" s="3" t="str">
        <f t="shared" si="146"/>
        <v>Jan</v>
      </c>
      <c r="N901" s="2">
        <v>42034.846909722219</v>
      </c>
      <c r="O901" s="1">
        <f t="shared" si="143"/>
        <v>30</v>
      </c>
      <c r="P901" s="1">
        <f t="shared" si="144"/>
        <v>6</v>
      </c>
      <c r="Q901" s="1">
        <f t="shared" si="145"/>
        <v>20</v>
      </c>
      <c r="S901"/>
      <c r="T901"/>
      <c r="U901"/>
    </row>
    <row r="902" spans="1:21" s="1" customFormat="1" x14ac:dyDescent="0.25">
      <c r="A902" s="1">
        <v>947</v>
      </c>
      <c r="B902" s="1" t="s">
        <v>80</v>
      </c>
      <c r="C902" s="1" t="s">
        <v>856</v>
      </c>
      <c r="D902" s="2">
        <v>42057.924386574072</v>
      </c>
      <c r="E902" s="2">
        <v>42057.924432870372</v>
      </c>
      <c r="F902" s="1">
        <v>1</v>
      </c>
      <c r="G902" s="1">
        <v>2</v>
      </c>
      <c r="H902" s="1">
        <v>2</v>
      </c>
      <c r="I902" s="1">
        <v>4</v>
      </c>
      <c r="J902" s="1">
        <v>1</v>
      </c>
      <c r="K902" s="1">
        <v>1</v>
      </c>
      <c r="L902" s="4">
        <v>57.6</v>
      </c>
      <c r="M902" s="3" t="str">
        <f t="shared" si="146"/>
        <v>Feb</v>
      </c>
      <c r="N902" s="2">
        <v>42057.924398148149</v>
      </c>
      <c r="O902" s="1">
        <f t="shared" si="143"/>
        <v>22</v>
      </c>
      <c r="P902" s="1">
        <f t="shared" si="144"/>
        <v>1</v>
      </c>
      <c r="Q902" s="1">
        <f t="shared" si="145"/>
        <v>22</v>
      </c>
      <c r="S902"/>
      <c r="T902"/>
      <c r="U902"/>
    </row>
    <row r="903" spans="1:21" s="1" customFormat="1" x14ac:dyDescent="0.25">
      <c r="A903" s="1">
        <v>948</v>
      </c>
      <c r="D903" s="2">
        <v>42126.69939814815</v>
      </c>
      <c r="E903" s="2">
        <v>42126.699444444443</v>
      </c>
      <c r="F903" s="1">
        <v>1</v>
      </c>
      <c r="G903" s="1">
        <v>0</v>
      </c>
      <c r="H903" s="1">
        <v>1</v>
      </c>
      <c r="I903" s="1">
        <v>2</v>
      </c>
      <c r="J903" s="1">
        <v>1</v>
      </c>
      <c r="K903" s="1">
        <v>2</v>
      </c>
      <c r="L903" s="4">
        <v>14.4</v>
      </c>
      <c r="M903" s="3" t="str">
        <f t="shared" si="146"/>
        <v>May</v>
      </c>
      <c r="N903" s="2">
        <v>42126.702615740738</v>
      </c>
      <c r="O903" s="1">
        <f t="shared" si="143"/>
        <v>2</v>
      </c>
      <c r="P903" s="1">
        <f t="shared" si="144"/>
        <v>7</v>
      </c>
      <c r="Q903" s="1">
        <f t="shared" si="145"/>
        <v>16</v>
      </c>
      <c r="S903"/>
      <c r="T903"/>
      <c r="U903"/>
    </row>
    <row r="904" spans="1:21" s="1" customFormat="1" x14ac:dyDescent="0.25">
      <c r="A904" s="1">
        <v>949</v>
      </c>
      <c r="B904" s="1" t="s">
        <v>100</v>
      </c>
      <c r="C904" s="1" t="s">
        <v>857</v>
      </c>
      <c r="D904" s="2">
        <v>42036.80672453704</v>
      </c>
      <c r="E904" s="2">
        <v>42036.806770833333</v>
      </c>
      <c r="F904" s="1">
        <v>1</v>
      </c>
      <c r="G904" s="1">
        <v>2</v>
      </c>
      <c r="H904" s="1">
        <v>16</v>
      </c>
      <c r="I904" s="1">
        <v>1</v>
      </c>
      <c r="J904" s="1">
        <v>1</v>
      </c>
      <c r="K904" s="1">
        <v>8</v>
      </c>
      <c r="L904" s="4">
        <v>57.6</v>
      </c>
      <c r="M904" s="3" t="str">
        <f t="shared" si="146"/>
        <v>Feb</v>
      </c>
      <c r="N904" s="2">
        <v>42036.80673611111</v>
      </c>
      <c r="O904" s="1">
        <f t="shared" si="143"/>
        <v>1</v>
      </c>
      <c r="P904" s="1">
        <f t="shared" si="144"/>
        <v>1</v>
      </c>
      <c r="Q904" s="1">
        <f t="shared" si="145"/>
        <v>19</v>
      </c>
      <c r="S904"/>
      <c r="T904"/>
      <c r="U904"/>
    </row>
    <row r="905" spans="1:21" s="1" customFormat="1" x14ac:dyDescent="0.25">
      <c r="A905" s="1">
        <v>950</v>
      </c>
      <c r="B905" s="1" t="s">
        <v>341</v>
      </c>
      <c r="C905" s="1" t="s">
        <v>858</v>
      </c>
      <c r="D905" s="2">
        <v>42197.369039351855</v>
      </c>
      <c r="E905" s="2">
        <v>42197.369085648148</v>
      </c>
      <c r="F905" s="1">
        <v>1</v>
      </c>
      <c r="G905" s="1">
        <v>4</v>
      </c>
      <c r="H905" s="1">
        <v>2</v>
      </c>
      <c r="I905" s="1">
        <v>2</v>
      </c>
      <c r="J905" s="1">
        <v>1</v>
      </c>
      <c r="K905" s="1">
        <v>1</v>
      </c>
      <c r="L905" s="3">
        <v>28.8</v>
      </c>
      <c r="M905" s="3" t="str">
        <f t="shared" si="146"/>
        <v>Jul</v>
      </c>
      <c r="N905" s="2">
        <v>42197.369050925925</v>
      </c>
      <c r="O905" s="1">
        <f t="shared" si="143"/>
        <v>12</v>
      </c>
      <c r="P905" s="1">
        <f t="shared" si="144"/>
        <v>1</v>
      </c>
      <c r="Q905" s="1">
        <f t="shared" si="145"/>
        <v>8</v>
      </c>
      <c r="S905"/>
      <c r="T905"/>
      <c r="U905"/>
    </row>
    <row r="906" spans="1:21" s="1" customFormat="1" x14ac:dyDescent="0.25">
      <c r="A906" s="1">
        <v>951</v>
      </c>
      <c r="B906" s="1" t="s">
        <v>109</v>
      </c>
      <c r="C906" s="1" t="s">
        <v>859</v>
      </c>
      <c r="D906" s="2">
        <v>42198.606006944443</v>
      </c>
      <c r="E906" s="2">
        <v>42198.606041666666</v>
      </c>
      <c r="F906" s="1">
        <v>1</v>
      </c>
      <c r="G906" s="1">
        <v>6</v>
      </c>
      <c r="H906" s="1">
        <v>4</v>
      </c>
      <c r="I906" s="1">
        <v>4</v>
      </c>
      <c r="J906" s="1">
        <v>1</v>
      </c>
      <c r="K906" s="1">
        <v>2</v>
      </c>
      <c r="L906" s="3">
        <v>18</v>
      </c>
      <c r="M906" s="3" t="str">
        <f t="shared" si="146"/>
        <v>Jul</v>
      </c>
      <c r="N906" s="2">
        <v>42198.606006944443</v>
      </c>
      <c r="O906" s="1">
        <f t="shared" si="143"/>
        <v>13</v>
      </c>
      <c r="P906" s="1">
        <f t="shared" si="144"/>
        <v>2</v>
      </c>
      <c r="Q906" s="1">
        <f t="shared" si="145"/>
        <v>14</v>
      </c>
      <c r="S906"/>
      <c r="T906"/>
      <c r="U906"/>
    </row>
    <row r="907" spans="1:21" s="1" customFormat="1" x14ac:dyDescent="0.25">
      <c r="A907" s="1">
        <v>952</v>
      </c>
      <c r="B907" s="1" t="s">
        <v>85</v>
      </c>
      <c r="C907" s="1" t="s">
        <v>860</v>
      </c>
      <c r="D907" s="2">
        <v>42154.478900462964</v>
      </c>
      <c r="E907" s="2">
        <v>42155.949305555558</v>
      </c>
      <c r="F907" s="1">
        <v>3</v>
      </c>
      <c r="G907" s="1">
        <v>2</v>
      </c>
      <c r="H907" s="1">
        <v>2</v>
      </c>
      <c r="I907" s="1">
        <v>3</v>
      </c>
      <c r="J907" s="1">
        <v>1</v>
      </c>
      <c r="K907" s="1">
        <v>1</v>
      </c>
      <c r="L907" s="3">
        <v>36</v>
      </c>
      <c r="M907" s="3" t="str">
        <f t="shared" si="146"/>
        <v>May</v>
      </c>
      <c r="N907" s="2">
        <v>42154.478900462964</v>
      </c>
      <c r="O907" s="1">
        <f t="shared" si="143"/>
        <v>30</v>
      </c>
      <c r="P907" s="1">
        <f t="shared" si="144"/>
        <v>7</v>
      </c>
      <c r="Q907" s="1">
        <f t="shared" si="145"/>
        <v>11</v>
      </c>
      <c r="S907"/>
      <c r="T907"/>
      <c r="U907"/>
    </row>
    <row r="908" spans="1:21" s="1" customFormat="1" x14ac:dyDescent="0.25">
      <c r="A908" s="1">
        <v>953</v>
      </c>
      <c r="B908" s="1" t="s">
        <v>131</v>
      </c>
      <c r="C908" s="1" t="s">
        <v>861</v>
      </c>
      <c r="D908" s="2">
        <v>42147.447187500002</v>
      </c>
      <c r="E908" s="2">
        <v>42147.447245370371</v>
      </c>
      <c r="F908" s="1">
        <v>1</v>
      </c>
      <c r="G908" s="1">
        <v>4</v>
      </c>
      <c r="H908" s="1">
        <v>10</v>
      </c>
      <c r="I908" s="1">
        <v>2</v>
      </c>
      <c r="J908" s="1">
        <v>1</v>
      </c>
      <c r="K908" s="1">
        <v>4</v>
      </c>
      <c r="L908" s="3">
        <v>115.2</v>
      </c>
      <c r="M908" s="3" t="str">
        <f t="shared" si="146"/>
        <v>May</v>
      </c>
      <c r="N908" s="2">
        <v>42147.447222222225</v>
      </c>
      <c r="O908" s="1">
        <f t="shared" si="143"/>
        <v>23</v>
      </c>
      <c r="P908" s="1">
        <f t="shared" si="144"/>
        <v>7</v>
      </c>
      <c r="Q908" s="1">
        <f t="shared" si="145"/>
        <v>10</v>
      </c>
      <c r="S908"/>
      <c r="T908"/>
      <c r="U908"/>
    </row>
    <row r="909" spans="1:21" s="1" customFormat="1" x14ac:dyDescent="0.25">
      <c r="A909" s="1">
        <v>954</v>
      </c>
      <c r="B909" s="1" t="s">
        <v>100</v>
      </c>
      <c r="C909" s="1" t="s">
        <v>862</v>
      </c>
      <c r="D909" s="2">
        <v>42171.422013888892</v>
      </c>
      <c r="E909" s="2">
        <v>42171.422430555554</v>
      </c>
      <c r="F909" s="1">
        <v>1</v>
      </c>
      <c r="G909" s="1">
        <v>2</v>
      </c>
      <c r="H909" s="1">
        <v>2</v>
      </c>
      <c r="I909" s="1">
        <v>2</v>
      </c>
      <c r="J909" s="1">
        <v>1</v>
      </c>
      <c r="K909" s="1">
        <v>1</v>
      </c>
      <c r="L909" s="3">
        <v>28.8</v>
      </c>
      <c r="M909" s="3" t="str">
        <f t="shared" si="146"/>
        <v>Jun</v>
      </c>
      <c r="N909" s="2">
        <v>42171.422175925924</v>
      </c>
      <c r="O909" s="1">
        <f t="shared" si="143"/>
        <v>16</v>
      </c>
      <c r="P909" s="1">
        <f t="shared" si="144"/>
        <v>3</v>
      </c>
      <c r="Q909" s="1">
        <f t="shared" si="145"/>
        <v>10</v>
      </c>
      <c r="S909"/>
      <c r="T909"/>
      <c r="U909"/>
    </row>
    <row r="910" spans="1:21" s="1" customFormat="1" x14ac:dyDescent="0.25">
      <c r="A910" s="1">
        <v>955</v>
      </c>
      <c r="B910" s="1" t="s">
        <v>89</v>
      </c>
      <c r="C910" s="1" t="s">
        <v>863</v>
      </c>
      <c r="D910" s="2">
        <v>42260.847210648149</v>
      </c>
      <c r="E910" s="2">
        <v>42261.369733796295</v>
      </c>
      <c r="F910" s="1">
        <v>2</v>
      </c>
      <c r="G910" s="1">
        <v>9</v>
      </c>
      <c r="H910" s="1">
        <v>8</v>
      </c>
      <c r="I910" s="1">
        <v>14</v>
      </c>
      <c r="J910" s="1">
        <v>2</v>
      </c>
      <c r="K910" s="1">
        <v>3</v>
      </c>
      <c r="L910" s="3">
        <v>29.92</v>
      </c>
      <c r="M910" s="3" t="str">
        <f t="shared" si="146"/>
        <v>Sep</v>
      </c>
      <c r="N910" s="2">
        <v>42260.848564814813</v>
      </c>
      <c r="O910" s="1">
        <f t="shared" si="143"/>
        <v>13</v>
      </c>
      <c r="P910" s="1">
        <f t="shared" si="144"/>
        <v>1</v>
      </c>
      <c r="Q910" s="1">
        <f t="shared" si="145"/>
        <v>20</v>
      </c>
      <c r="S910"/>
      <c r="T910"/>
      <c r="U910"/>
    </row>
    <row r="911" spans="1:21" s="1" customFormat="1" x14ac:dyDescent="0.25">
      <c r="A911" s="1">
        <v>956</v>
      </c>
      <c r="D911" s="2">
        <v>42171.595729166664</v>
      </c>
      <c r="E911" s="2">
        <v>42171.638796296298</v>
      </c>
      <c r="F911" s="1">
        <v>3</v>
      </c>
      <c r="G911" s="1">
        <v>2</v>
      </c>
      <c r="H911" s="1">
        <v>8</v>
      </c>
      <c r="I911" s="1">
        <v>9</v>
      </c>
      <c r="J911" s="1">
        <v>1</v>
      </c>
      <c r="K911" s="1">
        <v>2</v>
      </c>
      <c r="L911" s="3">
        <v>14.4</v>
      </c>
      <c r="M911" s="3" t="str">
        <f t="shared" si="146"/>
        <v>Jun</v>
      </c>
      <c r="N911" s="2">
        <v>42171.502962962964</v>
      </c>
      <c r="O911" s="1">
        <f t="shared" si="143"/>
        <v>16</v>
      </c>
      <c r="P911" s="1">
        <f t="shared" si="144"/>
        <v>3</v>
      </c>
      <c r="Q911" s="1">
        <f t="shared" si="145"/>
        <v>12</v>
      </c>
      <c r="S911"/>
      <c r="T911"/>
      <c r="U911"/>
    </row>
    <row r="912" spans="1:21" s="1" customFormat="1" x14ac:dyDescent="0.25">
      <c r="A912" s="1">
        <v>957</v>
      </c>
      <c r="B912" s="1" t="s">
        <v>123</v>
      </c>
      <c r="C912" s="1" t="s">
        <v>864</v>
      </c>
      <c r="D912" s="2">
        <v>42020.418993055559</v>
      </c>
      <c r="E912" s="2">
        <v>42025.547488425924</v>
      </c>
      <c r="F912" s="1">
        <v>2</v>
      </c>
      <c r="G912" s="1">
        <v>0</v>
      </c>
      <c r="H912" s="1">
        <v>4</v>
      </c>
      <c r="I912" s="1">
        <v>3</v>
      </c>
      <c r="J912" s="1">
        <v>1</v>
      </c>
      <c r="K912" s="1">
        <v>4</v>
      </c>
      <c r="L912" s="4">
        <v>28.8</v>
      </c>
      <c r="M912" s="3" t="str">
        <f t="shared" si="146"/>
        <v>Jan</v>
      </c>
      <c r="N912" s="2">
        <v>42020.419004629628</v>
      </c>
      <c r="O912" s="1">
        <f t="shared" si="143"/>
        <v>16</v>
      </c>
      <c r="P912" s="1">
        <f t="shared" si="144"/>
        <v>6</v>
      </c>
      <c r="Q912" s="1">
        <f t="shared" si="145"/>
        <v>10</v>
      </c>
      <c r="S912"/>
      <c r="T912"/>
      <c r="U912"/>
    </row>
    <row r="913" spans="1:21" s="1" customFormat="1" x14ac:dyDescent="0.25">
      <c r="A913" s="1">
        <v>958</v>
      </c>
      <c r="B913" s="1" t="s">
        <v>96</v>
      </c>
      <c r="C913" s="1" t="s">
        <v>865</v>
      </c>
      <c r="D913" s="2">
        <v>42192.091064814813</v>
      </c>
      <c r="E913" s="2">
        <v>42191.924421296295</v>
      </c>
      <c r="F913" s="1">
        <v>1</v>
      </c>
      <c r="G913" s="1">
        <v>6</v>
      </c>
      <c r="H913" s="1">
        <v>8</v>
      </c>
      <c r="I913" s="1">
        <v>4</v>
      </c>
      <c r="J913" s="1">
        <v>2</v>
      </c>
      <c r="K913" s="1">
        <v>4</v>
      </c>
      <c r="L913" s="3">
        <v>18</v>
      </c>
      <c r="M913" s="3" t="str">
        <f t="shared" si="146"/>
        <v>Jul</v>
      </c>
      <c r="N913" s="2">
        <v>42191.927465277775</v>
      </c>
      <c r="O913" s="1">
        <f t="shared" si="143"/>
        <v>6</v>
      </c>
      <c r="P913" s="1">
        <f t="shared" si="144"/>
        <v>2</v>
      </c>
      <c r="Q913" s="1">
        <f t="shared" si="145"/>
        <v>22</v>
      </c>
      <c r="S913"/>
      <c r="T913"/>
      <c r="U913"/>
    </row>
    <row r="914" spans="1:21" s="1" customFormat="1" x14ac:dyDescent="0.25">
      <c r="A914" s="1">
        <v>959</v>
      </c>
      <c r="D914" s="2">
        <v>42026.986076388886</v>
      </c>
      <c r="E914" s="2">
        <v>42026.986932870372</v>
      </c>
      <c r="F914" s="1">
        <v>1</v>
      </c>
      <c r="G914" s="1">
        <v>0</v>
      </c>
      <c r="H914" s="1">
        <v>8</v>
      </c>
      <c r="I914" s="1">
        <v>34</v>
      </c>
      <c r="J914" s="1">
        <v>1</v>
      </c>
      <c r="K914" s="1">
        <v>3</v>
      </c>
      <c r="L914" s="4">
        <v>18</v>
      </c>
      <c r="M914" s="3" t="str">
        <f t="shared" si="146"/>
        <v>Jan</v>
      </c>
      <c r="N914" s="2">
        <v>42026.990902777776</v>
      </c>
      <c r="O914" s="1">
        <f t="shared" si="143"/>
        <v>22</v>
      </c>
      <c r="P914" s="1">
        <f t="shared" si="144"/>
        <v>5</v>
      </c>
      <c r="Q914" s="1">
        <f t="shared" si="145"/>
        <v>23</v>
      </c>
      <c r="S914"/>
      <c r="T914"/>
      <c r="U914"/>
    </row>
    <row r="915" spans="1:21" s="1" customFormat="1" x14ac:dyDescent="0.25">
      <c r="A915" s="1">
        <v>960</v>
      </c>
      <c r="B915" s="1" t="s">
        <v>100</v>
      </c>
      <c r="C915" s="1" t="s">
        <v>866</v>
      </c>
      <c r="D915" s="2">
        <v>42007.762048611112</v>
      </c>
      <c r="E915" s="2">
        <v>42008.746377314812</v>
      </c>
      <c r="F915" s="1">
        <v>2</v>
      </c>
      <c r="G915" s="1">
        <v>4</v>
      </c>
      <c r="H915" s="1">
        <v>4</v>
      </c>
      <c r="I915" s="1">
        <v>2</v>
      </c>
      <c r="J915" s="1">
        <v>1</v>
      </c>
      <c r="K915" s="1">
        <v>2</v>
      </c>
      <c r="L915" s="4">
        <v>9</v>
      </c>
      <c r="M915" s="3" t="str">
        <f t="shared" si="146"/>
        <v>Jan</v>
      </c>
      <c r="N915" s="2">
        <v>42007.762071759258</v>
      </c>
      <c r="O915" s="1">
        <f t="shared" si="143"/>
        <v>3</v>
      </c>
      <c r="P915" s="1">
        <f t="shared" si="144"/>
        <v>7</v>
      </c>
      <c r="Q915" s="1">
        <f t="shared" si="145"/>
        <v>18</v>
      </c>
      <c r="S915"/>
      <c r="T915"/>
      <c r="U915"/>
    </row>
    <row r="916" spans="1:21" s="1" customFormat="1" x14ac:dyDescent="0.25">
      <c r="A916" s="1">
        <v>961</v>
      </c>
      <c r="B916" s="1" t="s">
        <v>134</v>
      </c>
      <c r="C916" s="1" t="s">
        <v>867</v>
      </c>
      <c r="D916" s="2">
        <v>42190.618009259262</v>
      </c>
      <c r="E916" s="2">
        <v>42190.618043981478</v>
      </c>
      <c r="F916" s="1">
        <v>1</v>
      </c>
      <c r="G916" s="1">
        <v>4</v>
      </c>
      <c r="H916" s="1">
        <v>2</v>
      </c>
      <c r="I916" s="1">
        <v>2</v>
      </c>
      <c r="J916" s="1">
        <v>1</v>
      </c>
      <c r="K916" s="1">
        <v>4</v>
      </c>
      <c r="L916" s="3">
        <v>28.8</v>
      </c>
      <c r="M916" s="3" t="str">
        <f t="shared" si="146"/>
        <v>Jul</v>
      </c>
      <c r="N916" s="2">
        <v>42190.618009259262</v>
      </c>
      <c r="O916" s="1">
        <f t="shared" si="143"/>
        <v>5</v>
      </c>
      <c r="P916" s="1">
        <f t="shared" si="144"/>
        <v>1</v>
      </c>
      <c r="Q916" s="1">
        <f t="shared" si="145"/>
        <v>14</v>
      </c>
      <c r="S916"/>
      <c r="T916"/>
      <c r="U916"/>
    </row>
    <row r="917" spans="1:21" s="1" customFormat="1" x14ac:dyDescent="0.25">
      <c r="A917" s="1">
        <v>962</v>
      </c>
      <c r="B917" s="1" t="s">
        <v>96</v>
      </c>
      <c r="C917" s="1" t="s">
        <v>868</v>
      </c>
      <c r="D917" s="2">
        <v>42174.469560185185</v>
      </c>
      <c r="E917" s="2">
        <v>42174.469606481478</v>
      </c>
      <c r="F917" s="1">
        <v>1</v>
      </c>
      <c r="G917" s="1">
        <v>2</v>
      </c>
      <c r="H917" s="1">
        <v>2</v>
      </c>
      <c r="I917" s="1">
        <v>2</v>
      </c>
      <c r="J917" s="1">
        <v>1</v>
      </c>
      <c r="K917" s="1">
        <v>1</v>
      </c>
      <c r="L917" s="3">
        <v>39.6</v>
      </c>
      <c r="M917" s="3" t="str">
        <f t="shared" si="146"/>
        <v>Jun</v>
      </c>
      <c r="N917" s="2">
        <v>42174.469571759262</v>
      </c>
      <c r="O917" s="1">
        <f t="shared" si="143"/>
        <v>19</v>
      </c>
      <c r="P917" s="1">
        <f t="shared" si="144"/>
        <v>6</v>
      </c>
      <c r="Q917" s="1">
        <f t="shared" si="145"/>
        <v>11</v>
      </c>
      <c r="S917"/>
      <c r="T917"/>
      <c r="U917"/>
    </row>
    <row r="918" spans="1:21" s="1" customFormat="1" x14ac:dyDescent="0.25">
      <c r="A918" s="1">
        <v>963</v>
      </c>
      <c r="B918" s="1" t="s">
        <v>116</v>
      </c>
      <c r="C918" s="1" t="s">
        <v>869</v>
      </c>
      <c r="D918" s="2">
        <v>42071.593530092592</v>
      </c>
      <c r="E918" s="2">
        <v>42071.593611111108</v>
      </c>
      <c r="F918" s="1">
        <v>1</v>
      </c>
      <c r="G918" s="1">
        <v>4</v>
      </c>
      <c r="H918" s="1">
        <v>2</v>
      </c>
      <c r="I918" s="1">
        <v>1</v>
      </c>
      <c r="J918" s="1">
        <v>1</v>
      </c>
      <c r="K918" s="1">
        <v>1</v>
      </c>
      <c r="L918" s="4">
        <v>28.8</v>
      </c>
      <c r="M918" s="3" t="str">
        <f t="shared" si="146"/>
        <v>Mar</v>
      </c>
      <c r="N918" s="2">
        <v>42071.593541666669</v>
      </c>
      <c r="O918" s="1">
        <f t="shared" si="143"/>
        <v>8</v>
      </c>
      <c r="P918" s="1">
        <f t="shared" si="144"/>
        <v>1</v>
      </c>
      <c r="Q918" s="1">
        <f t="shared" si="145"/>
        <v>14</v>
      </c>
      <c r="S918"/>
      <c r="T918"/>
      <c r="U918"/>
    </row>
    <row r="919" spans="1:21" s="1" customFormat="1" x14ac:dyDescent="0.25">
      <c r="A919" s="1">
        <v>964</v>
      </c>
      <c r="B919" s="1" t="s">
        <v>198</v>
      </c>
      <c r="C919" s="1" t="s">
        <v>870</v>
      </c>
      <c r="D919" s="2">
        <v>42040.496388888889</v>
      </c>
      <c r="E919" s="2">
        <v>42040.496446759258</v>
      </c>
      <c r="F919" s="1">
        <v>1</v>
      </c>
      <c r="G919" s="1">
        <v>2</v>
      </c>
      <c r="H919" s="1">
        <v>18</v>
      </c>
      <c r="I919" s="1">
        <v>2</v>
      </c>
      <c r="J919" s="1">
        <v>1</v>
      </c>
      <c r="K919" s="1">
        <v>4</v>
      </c>
      <c r="L919" s="4">
        <v>28.8</v>
      </c>
      <c r="M919" s="3" t="str">
        <f t="shared" si="146"/>
        <v>Feb</v>
      </c>
      <c r="N919" s="2">
        <v>42040.498472222222</v>
      </c>
      <c r="O919" s="1">
        <f t="shared" si="143"/>
        <v>5</v>
      </c>
      <c r="P919" s="1">
        <f t="shared" si="144"/>
        <v>5</v>
      </c>
      <c r="Q919" s="1">
        <f t="shared" si="145"/>
        <v>11</v>
      </c>
      <c r="S919"/>
      <c r="T919"/>
      <c r="U919"/>
    </row>
    <row r="920" spans="1:21" s="1" customFormat="1" x14ac:dyDescent="0.25">
      <c r="A920" s="1">
        <v>966</v>
      </c>
      <c r="B920" s="1" t="s">
        <v>123</v>
      </c>
      <c r="C920" s="1" t="s">
        <v>871</v>
      </c>
      <c r="D920" s="2">
        <v>42150.949641203704</v>
      </c>
      <c r="E920" s="2">
        <v>42150.949687499997</v>
      </c>
      <c r="F920" s="1">
        <v>1</v>
      </c>
      <c r="G920" s="1">
        <v>0</v>
      </c>
      <c r="H920" s="1">
        <v>2</v>
      </c>
      <c r="I920" s="1">
        <v>2</v>
      </c>
      <c r="J920" s="1">
        <v>1</v>
      </c>
      <c r="K920" s="1">
        <v>1</v>
      </c>
      <c r="L920" s="3">
        <v>28.8</v>
      </c>
      <c r="M920" s="3" t="str">
        <f t="shared" si="146"/>
        <v>May</v>
      </c>
      <c r="N920" s="2">
        <v>42150.949641203704</v>
      </c>
      <c r="O920" s="1">
        <f t="shared" ref="O920:O983" si="147">DAY(N920)</f>
        <v>26</v>
      </c>
      <c r="P920" s="1">
        <f t="shared" ref="P920:P983" si="148">WEEKDAY(N920,1)</f>
        <v>3</v>
      </c>
      <c r="Q920" s="1">
        <f t="shared" ref="Q920:Q983" si="149">HOUR(N920)</f>
        <v>22</v>
      </c>
      <c r="S920"/>
      <c r="T920"/>
      <c r="U920"/>
    </row>
    <row r="921" spans="1:21" s="1" customFormat="1" x14ac:dyDescent="0.25">
      <c r="A921" s="1">
        <v>967</v>
      </c>
      <c r="D921" s="2">
        <v>42158.547546296293</v>
      </c>
      <c r="E921" s="2">
        <v>42158.380914351852</v>
      </c>
      <c r="F921" s="1">
        <v>1</v>
      </c>
      <c r="G921" s="1">
        <v>8</v>
      </c>
      <c r="H921" s="1">
        <v>16</v>
      </c>
      <c r="I921" s="1">
        <v>6</v>
      </c>
      <c r="J921" s="1">
        <v>1</v>
      </c>
      <c r="K921" s="1">
        <v>6</v>
      </c>
      <c r="L921" s="3">
        <v>43.2</v>
      </c>
      <c r="M921" s="3" t="str">
        <f t="shared" si="146"/>
        <v>Jun</v>
      </c>
      <c r="N921" s="2">
        <v>42158.384710648148</v>
      </c>
      <c r="O921" s="1">
        <f t="shared" si="147"/>
        <v>3</v>
      </c>
      <c r="P921" s="1">
        <f t="shared" si="148"/>
        <v>4</v>
      </c>
      <c r="Q921" s="1">
        <f t="shared" si="149"/>
        <v>9</v>
      </c>
      <c r="S921"/>
      <c r="T921"/>
      <c r="U921"/>
    </row>
    <row r="922" spans="1:21" s="1" customFormat="1" x14ac:dyDescent="0.25">
      <c r="A922" s="1">
        <v>968</v>
      </c>
      <c r="B922" s="1" t="s">
        <v>100</v>
      </c>
      <c r="C922" s="1" t="s">
        <v>872</v>
      </c>
      <c r="D922" s="2">
        <v>42157.949618055558</v>
      </c>
      <c r="E922" s="2">
        <v>42157.949675925927</v>
      </c>
      <c r="F922" s="1">
        <v>1</v>
      </c>
      <c r="G922" s="1">
        <v>2</v>
      </c>
      <c r="H922" s="1">
        <v>2</v>
      </c>
      <c r="I922" s="1">
        <v>2</v>
      </c>
      <c r="J922" s="1">
        <v>1</v>
      </c>
      <c r="K922" s="1">
        <v>1</v>
      </c>
      <c r="L922" s="3">
        <v>28.8</v>
      </c>
      <c r="M922" s="3" t="str">
        <f t="shared" si="146"/>
        <v>Jun</v>
      </c>
      <c r="N922" s="2">
        <v>42157.949629629627</v>
      </c>
      <c r="O922" s="1">
        <f t="shared" si="147"/>
        <v>2</v>
      </c>
      <c r="P922" s="1">
        <f t="shared" si="148"/>
        <v>3</v>
      </c>
      <c r="Q922" s="1">
        <f t="shared" si="149"/>
        <v>22</v>
      </c>
      <c r="S922"/>
      <c r="T922"/>
      <c r="U922"/>
    </row>
    <row r="923" spans="1:21" s="1" customFormat="1" x14ac:dyDescent="0.25">
      <c r="A923" s="1">
        <v>969</v>
      </c>
      <c r="B923" s="1" t="s">
        <v>123</v>
      </c>
      <c r="C923" s="1" t="s">
        <v>188</v>
      </c>
      <c r="D923" s="2">
        <v>42072.679664351854</v>
      </c>
      <c r="E923" s="2">
        <v>42072.6797337963</v>
      </c>
      <c r="F923" s="1">
        <v>1</v>
      </c>
      <c r="G923" s="1">
        <v>0</v>
      </c>
      <c r="H923" s="1">
        <v>10</v>
      </c>
      <c r="I923" s="1">
        <v>1</v>
      </c>
      <c r="J923" s="1">
        <v>1</v>
      </c>
      <c r="K923" s="1">
        <v>4</v>
      </c>
      <c r="L923" s="4">
        <v>28.8</v>
      </c>
      <c r="M923" s="3" t="str">
        <f t="shared" si="146"/>
        <v>Mar</v>
      </c>
      <c r="N923" s="2">
        <v>42072.679675925923</v>
      </c>
      <c r="O923" s="1">
        <f t="shared" si="147"/>
        <v>9</v>
      </c>
      <c r="P923" s="1">
        <f t="shared" si="148"/>
        <v>2</v>
      </c>
      <c r="Q923" s="1">
        <f t="shared" si="149"/>
        <v>16</v>
      </c>
      <c r="S923"/>
      <c r="T923"/>
      <c r="U923"/>
    </row>
    <row r="924" spans="1:21" s="1" customFormat="1" x14ac:dyDescent="0.25">
      <c r="A924" s="1">
        <v>970</v>
      </c>
      <c r="B924" s="1" t="s">
        <v>116</v>
      </c>
      <c r="C924" s="1" t="s">
        <v>873</v>
      </c>
      <c r="D924" s="2">
        <v>42171.643414351849</v>
      </c>
      <c r="E924" s="2">
        <v>42172.652812499997</v>
      </c>
      <c r="F924" s="1">
        <v>2</v>
      </c>
      <c r="G924" s="1">
        <v>10</v>
      </c>
      <c r="H924" s="1">
        <v>3</v>
      </c>
      <c r="I924" s="1">
        <v>7</v>
      </c>
      <c r="J924" s="1">
        <v>1</v>
      </c>
      <c r="K924" s="1">
        <v>1</v>
      </c>
      <c r="L924" s="3">
        <v>23.04</v>
      </c>
      <c r="M924" s="3" t="str">
        <f t="shared" si="146"/>
        <v>Jun</v>
      </c>
      <c r="N924" s="2">
        <v>42172.654351851852</v>
      </c>
      <c r="O924" s="1">
        <f t="shared" si="147"/>
        <v>17</v>
      </c>
      <c r="P924" s="1">
        <f t="shared" si="148"/>
        <v>4</v>
      </c>
      <c r="Q924" s="1">
        <f t="shared" si="149"/>
        <v>15</v>
      </c>
      <c r="S924"/>
      <c r="T924"/>
      <c r="U924"/>
    </row>
    <row r="925" spans="1:21" s="1" customFormat="1" x14ac:dyDescent="0.25">
      <c r="A925" s="1">
        <v>971</v>
      </c>
      <c r="B925" s="1" t="s">
        <v>123</v>
      </c>
      <c r="C925" s="1" t="s">
        <v>679</v>
      </c>
      <c r="D925" s="2">
        <v>42073.912638888891</v>
      </c>
      <c r="E925" s="2">
        <v>42073.91269675926</v>
      </c>
      <c r="F925" s="1">
        <v>1</v>
      </c>
      <c r="G925" s="1">
        <v>4</v>
      </c>
      <c r="H925" s="1">
        <v>6</v>
      </c>
      <c r="I925" s="1">
        <v>2</v>
      </c>
      <c r="J925" s="1">
        <v>1</v>
      </c>
      <c r="K925" s="1">
        <v>3</v>
      </c>
      <c r="L925" s="4">
        <v>20.8</v>
      </c>
      <c r="M925" s="3" t="str">
        <f t="shared" si="146"/>
        <v>Mar</v>
      </c>
      <c r="N925" s="2">
        <v>42073.91265046296</v>
      </c>
      <c r="O925" s="1">
        <f t="shared" si="147"/>
        <v>10</v>
      </c>
      <c r="P925" s="1">
        <f t="shared" si="148"/>
        <v>3</v>
      </c>
      <c r="Q925" s="1">
        <f t="shared" si="149"/>
        <v>21</v>
      </c>
      <c r="S925"/>
      <c r="T925"/>
      <c r="U925"/>
    </row>
    <row r="926" spans="1:21" s="1" customFormat="1" x14ac:dyDescent="0.25">
      <c r="A926" s="1">
        <v>972</v>
      </c>
      <c r="B926" s="1" t="s">
        <v>96</v>
      </c>
      <c r="C926" s="1" t="s">
        <v>874</v>
      </c>
      <c r="D926" s="2">
        <v>42161.687442129631</v>
      </c>
      <c r="E926" s="2">
        <v>42161.520833333336</v>
      </c>
      <c r="F926" s="1">
        <v>1</v>
      </c>
      <c r="G926" s="1">
        <v>0</v>
      </c>
      <c r="H926" s="1">
        <v>2</v>
      </c>
      <c r="I926" s="1">
        <v>2</v>
      </c>
      <c r="J926" s="1">
        <v>1</v>
      </c>
      <c r="K926" s="1">
        <v>1</v>
      </c>
      <c r="L926" s="3">
        <v>28.8</v>
      </c>
      <c r="M926" s="3" t="str">
        <f t="shared" si="146"/>
        <v>Jun</v>
      </c>
      <c r="N926" s="2">
        <v>42161.520787037036</v>
      </c>
      <c r="O926" s="1">
        <f t="shared" si="147"/>
        <v>6</v>
      </c>
      <c r="P926" s="1">
        <f t="shared" si="148"/>
        <v>7</v>
      </c>
      <c r="Q926" s="1">
        <f t="shared" si="149"/>
        <v>12</v>
      </c>
      <c r="S926"/>
      <c r="T926"/>
      <c r="U926"/>
    </row>
    <row r="927" spans="1:21" s="1" customFormat="1" x14ac:dyDescent="0.25">
      <c r="A927" s="1">
        <v>973</v>
      </c>
      <c r="B927" s="1" t="s">
        <v>123</v>
      </c>
      <c r="C927" s="1" t="s">
        <v>875</v>
      </c>
      <c r="D927" s="2">
        <v>42064.589270833334</v>
      </c>
      <c r="E927" s="2">
        <v>42064.589328703703</v>
      </c>
      <c r="F927" s="1">
        <v>1</v>
      </c>
      <c r="G927" s="1">
        <v>2</v>
      </c>
      <c r="H927" s="1">
        <v>2</v>
      </c>
      <c r="I927" s="1">
        <v>1</v>
      </c>
      <c r="J927" s="1">
        <v>1</v>
      </c>
      <c r="K927" s="1">
        <v>4</v>
      </c>
      <c r="L927" s="4">
        <v>28.8</v>
      </c>
      <c r="M927" s="3" t="str">
        <f t="shared" si="146"/>
        <v>Mar</v>
      </c>
      <c r="N927" s="2">
        <v>42064.589282407411</v>
      </c>
      <c r="O927" s="1">
        <f t="shared" si="147"/>
        <v>1</v>
      </c>
      <c r="P927" s="1">
        <f t="shared" si="148"/>
        <v>1</v>
      </c>
      <c r="Q927" s="1">
        <f t="shared" si="149"/>
        <v>14</v>
      </c>
      <c r="S927"/>
      <c r="T927"/>
      <c r="U927"/>
    </row>
    <row r="928" spans="1:21" s="1" customFormat="1" x14ac:dyDescent="0.25">
      <c r="A928" s="1">
        <v>974</v>
      </c>
      <c r="B928" s="1" t="s">
        <v>212</v>
      </c>
      <c r="C928" s="1" t="s">
        <v>876</v>
      </c>
      <c r="D928" s="2">
        <v>42225.896678240744</v>
      </c>
      <c r="E928" s="2">
        <v>42226.383090277777</v>
      </c>
      <c r="F928" s="1">
        <v>3</v>
      </c>
      <c r="G928" s="1">
        <v>2</v>
      </c>
      <c r="H928" s="1">
        <v>2</v>
      </c>
      <c r="I928" s="1">
        <v>2</v>
      </c>
      <c r="J928" s="1">
        <v>1</v>
      </c>
      <c r="K928" s="1">
        <v>1</v>
      </c>
      <c r="L928" s="3">
        <v>28.05</v>
      </c>
      <c r="M928" s="3" t="str">
        <f t="shared" si="146"/>
        <v>Aug</v>
      </c>
      <c r="N928" s="2">
        <v>42225.896678240744</v>
      </c>
      <c r="O928" s="1">
        <f t="shared" si="147"/>
        <v>9</v>
      </c>
      <c r="P928" s="1">
        <f t="shared" si="148"/>
        <v>1</v>
      </c>
      <c r="Q928" s="1">
        <f t="shared" si="149"/>
        <v>21</v>
      </c>
      <c r="S928"/>
      <c r="T928"/>
      <c r="U928"/>
    </row>
    <row r="929" spans="1:21" s="1" customFormat="1" x14ac:dyDescent="0.25">
      <c r="A929" s="1">
        <v>975</v>
      </c>
      <c r="B929" s="1" t="s">
        <v>80</v>
      </c>
      <c r="C929" s="1" t="s">
        <v>877</v>
      </c>
      <c r="D929" s="2">
        <v>42239.904942129629</v>
      </c>
      <c r="E929" s="2">
        <v>42239.738287037035</v>
      </c>
      <c r="F929" s="1">
        <v>1</v>
      </c>
      <c r="G929" s="1">
        <v>12</v>
      </c>
      <c r="H929" s="1">
        <v>2</v>
      </c>
      <c r="I929" s="1">
        <v>4</v>
      </c>
      <c r="J929" s="1">
        <v>1</v>
      </c>
      <c r="K929" s="1">
        <v>1</v>
      </c>
      <c r="L929" s="3">
        <v>56.32</v>
      </c>
      <c r="M929" s="3" t="str">
        <f t="shared" si="146"/>
        <v>Aug</v>
      </c>
      <c r="N929" s="2">
        <v>42239.739965277775</v>
      </c>
      <c r="O929" s="1">
        <f t="shared" si="147"/>
        <v>23</v>
      </c>
      <c r="P929" s="1">
        <f t="shared" si="148"/>
        <v>1</v>
      </c>
      <c r="Q929" s="1">
        <f t="shared" si="149"/>
        <v>17</v>
      </c>
      <c r="S929"/>
      <c r="T929"/>
      <c r="U929"/>
    </row>
    <row r="930" spans="1:21" s="1" customFormat="1" x14ac:dyDescent="0.25">
      <c r="A930" s="1">
        <v>976</v>
      </c>
      <c r="B930" s="1" t="s">
        <v>89</v>
      </c>
      <c r="C930" s="1" t="s">
        <v>878</v>
      </c>
      <c r="D930" s="2">
        <v>42045.43787037037</v>
      </c>
      <c r="E930" s="2">
        <v>42045.437928240739</v>
      </c>
      <c r="F930" s="1">
        <v>1</v>
      </c>
      <c r="G930" s="1">
        <v>0</v>
      </c>
      <c r="H930" s="1">
        <v>8</v>
      </c>
      <c r="I930" s="1">
        <v>1</v>
      </c>
      <c r="J930" s="1">
        <v>1</v>
      </c>
      <c r="K930" s="1">
        <v>4</v>
      </c>
      <c r="L930" s="4">
        <v>30.6</v>
      </c>
      <c r="M930" s="3" t="str">
        <f t="shared" si="146"/>
        <v>Feb</v>
      </c>
      <c r="N930" s="2">
        <v>42045.437881944446</v>
      </c>
      <c r="O930" s="1">
        <f t="shared" si="147"/>
        <v>10</v>
      </c>
      <c r="P930" s="1">
        <f t="shared" si="148"/>
        <v>3</v>
      </c>
      <c r="Q930" s="1">
        <f t="shared" si="149"/>
        <v>10</v>
      </c>
      <c r="S930"/>
      <c r="T930"/>
      <c r="U930"/>
    </row>
    <row r="931" spans="1:21" s="1" customFormat="1" x14ac:dyDescent="0.25">
      <c r="A931" s="1">
        <v>977</v>
      </c>
      <c r="B931" s="1" t="s">
        <v>341</v>
      </c>
      <c r="C931" s="1" t="s">
        <v>879</v>
      </c>
      <c r="D931" s="2">
        <v>42067.429594907408</v>
      </c>
      <c r="E931" s="2">
        <v>42068.930324074077</v>
      </c>
      <c r="F931" s="1">
        <v>5</v>
      </c>
      <c r="G931" s="1">
        <v>1</v>
      </c>
      <c r="H931" s="1">
        <v>4</v>
      </c>
      <c r="I931" s="1">
        <v>5</v>
      </c>
      <c r="J931" s="1">
        <v>1</v>
      </c>
      <c r="K931" s="1">
        <v>2</v>
      </c>
      <c r="L931" s="4">
        <v>9</v>
      </c>
      <c r="M931" s="3" t="str">
        <f t="shared" si="146"/>
        <v>Mar</v>
      </c>
      <c r="N931" s="2">
        <v>42067.429606481484</v>
      </c>
      <c r="O931" s="1">
        <f t="shared" si="147"/>
        <v>4</v>
      </c>
      <c r="P931" s="1">
        <f t="shared" si="148"/>
        <v>4</v>
      </c>
      <c r="Q931" s="1">
        <f t="shared" si="149"/>
        <v>10</v>
      </c>
      <c r="S931"/>
      <c r="T931"/>
      <c r="U931"/>
    </row>
    <row r="932" spans="1:21" s="1" customFormat="1" x14ac:dyDescent="0.25">
      <c r="A932" s="1">
        <v>978</v>
      </c>
      <c r="B932" s="1" t="s">
        <v>100</v>
      </c>
      <c r="C932" s="1" t="s">
        <v>880</v>
      </c>
      <c r="D932" s="2">
        <v>42027.571145833332</v>
      </c>
      <c r="E932" s="2">
        <v>42031.610439814816</v>
      </c>
      <c r="F932" s="1">
        <v>6</v>
      </c>
      <c r="G932" s="1">
        <v>0</v>
      </c>
      <c r="H932" s="1">
        <v>6</v>
      </c>
      <c r="I932" s="1">
        <v>6</v>
      </c>
      <c r="J932" s="1">
        <v>2</v>
      </c>
      <c r="K932" s="1">
        <v>3</v>
      </c>
      <c r="L932" s="4">
        <v>28.8</v>
      </c>
      <c r="M932" s="3" t="str">
        <f t="shared" si="146"/>
        <v>Jan</v>
      </c>
      <c r="N932" s="2">
        <v>42027.571168981478</v>
      </c>
      <c r="O932" s="1">
        <f t="shared" si="147"/>
        <v>23</v>
      </c>
      <c r="P932" s="1">
        <f t="shared" si="148"/>
        <v>6</v>
      </c>
      <c r="Q932" s="1">
        <f t="shared" si="149"/>
        <v>13</v>
      </c>
      <c r="S932"/>
      <c r="T932"/>
      <c r="U932"/>
    </row>
    <row r="933" spans="1:21" s="1" customFormat="1" x14ac:dyDescent="0.25">
      <c r="A933" s="1">
        <v>979</v>
      </c>
      <c r="B933" s="1" t="s">
        <v>85</v>
      </c>
      <c r="C933" s="1" t="s">
        <v>881</v>
      </c>
      <c r="D933" s="2">
        <v>42022.39234953704</v>
      </c>
      <c r="E933" s="2">
        <v>42022.392395833333</v>
      </c>
      <c r="F933" s="1">
        <v>1</v>
      </c>
      <c r="G933" s="1">
        <v>0</v>
      </c>
      <c r="H933" s="1">
        <v>2</v>
      </c>
      <c r="I933" s="1">
        <v>2</v>
      </c>
      <c r="J933" s="1">
        <v>1</v>
      </c>
      <c r="K933" s="1">
        <v>2</v>
      </c>
      <c r="L933" s="4">
        <v>18</v>
      </c>
      <c r="M933" s="3" t="str">
        <f t="shared" si="146"/>
        <v>Jan</v>
      </c>
      <c r="N933" s="2">
        <v>42022.392372685186</v>
      </c>
      <c r="O933" s="1">
        <f t="shared" si="147"/>
        <v>18</v>
      </c>
      <c r="P933" s="1">
        <f t="shared" si="148"/>
        <v>1</v>
      </c>
      <c r="Q933" s="1">
        <f t="shared" si="149"/>
        <v>9</v>
      </c>
      <c r="S933"/>
      <c r="T933"/>
      <c r="U933"/>
    </row>
    <row r="934" spans="1:21" s="1" customFormat="1" x14ac:dyDescent="0.25">
      <c r="A934" s="1">
        <v>980</v>
      </c>
      <c r="B934" s="1" t="s">
        <v>100</v>
      </c>
      <c r="C934" s="1" t="s">
        <v>882</v>
      </c>
      <c r="D934" s="2">
        <v>42168.033090277779</v>
      </c>
      <c r="E934" s="2">
        <v>42168.033125000002</v>
      </c>
      <c r="F934" s="1">
        <v>1</v>
      </c>
      <c r="G934" s="1">
        <v>6</v>
      </c>
      <c r="H934" s="1">
        <v>2</v>
      </c>
      <c r="I934" s="1">
        <v>2</v>
      </c>
      <c r="J934" s="1">
        <v>1</v>
      </c>
      <c r="K934" s="1">
        <v>1</v>
      </c>
      <c r="L934" s="3">
        <v>28.8</v>
      </c>
      <c r="M934" s="3" t="str">
        <f t="shared" si="146"/>
        <v>Jun</v>
      </c>
      <c r="N934" s="2">
        <v>42168.033090277779</v>
      </c>
      <c r="O934" s="1">
        <f t="shared" si="147"/>
        <v>13</v>
      </c>
      <c r="P934" s="1">
        <f t="shared" si="148"/>
        <v>7</v>
      </c>
      <c r="Q934" s="1">
        <f t="shared" si="149"/>
        <v>0</v>
      </c>
      <c r="S934"/>
      <c r="T934"/>
      <c r="U934"/>
    </row>
    <row r="935" spans="1:21" s="1" customFormat="1" x14ac:dyDescent="0.25">
      <c r="A935" s="1">
        <v>981</v>
      </c>
      <c r="B935" s="1" t="s">
        <v>123</v>
      </c>
      <c r="C935" s="1" t="s">
        <v>883</v>
      </c>
      <c r="D935" s="2">
        <v>42185.659004629626</v>
      </c>
      <c r="E935" s="2">
        <v>42185.492407407408</v>
      </c>
      <c r="F935" s="1">
        <v>1</v>
      </c>
      <c r="G935" s="1">
        <v>4</v>
      </c>
      <c r="H935" s="1">
        <v>4</v>
      </c>
      <c r="I935" s="1">
        <v>2</v>
      </c>
      <c r="J935" s="1">
        <v>1</v>
      </c>
      <c r="K935" s="1">
        <v>2</v>
      </c>
      <c r="L935" s="3">
        <v>72</v>
      </c>
      <c r="M935" s="3" t="str">
        <f t="shared" si="146"/>
        <v>Jun</v>
      </c>
      <c r="N935" s="2">
        <v>42185.492349537039</v>
      </c>
      <c r="O935" s="1">
        <f t="shared" si="147"/>
        <v>30</v>
      </c>
      <c r="P935" s="1">
        <f t="shared" si="148"/>
        <v>3</v>
      </c>
      <c r="Q935" s="1">
        <f t="shared" si="149"/>
        <v>11</v>
      </c>
      <c r="S935"/>
      <c r="T935"/>
      <c r="U935"/>
    </row>
    <row r="936" spans="1:21" s="1" customFormat="1" x14ac:dyDescent="0.25">
      <c r="A936" s="1">
        <v>982</v>
      </c>
      <c r="B936" s="1" t="s">
        <v>123</v>
      </c>
      <c r="C936" s="1" t="s">
        <v>884</v>
      </c>
      <c r="D936" s="2">
        <v>42208.975081018521</v>
      </c>
      <c r="E936" s="2">
        <v>42208.975127314814</v>
      </c>
      <c r="F936" s="1">
        <v>1</v>
      </c>
      <c r="G936" s="1">
        <v>6</v>
      </c>
      <c r="H936" s="1">
        <v>8</v>
      </c>
      <c r="I936" s="1">
        <v>2</v>
      </c>
      <c r="J936" s="1">
        <v>1</v>
      </c>
      <c r="K936" s="1">
        <v>4</v>
      </c>
      <c r="L936" s="3">
        <v>45</v>
      </c>
      <c r="M936" s="3" t="str">
        <f t="shared" si="146"/>
        <v>Jul</v>
      </c>
      <c r="N936" s="2">
        <v>42208.975081018521</v>
      </c>
      <c r="O936" s="1">
        <f t="shared" si="147"/>
        <v>23</v>
      </c>
      <c r="P936" s="1">
        <f t="shared" si="148"/>
        <v>5</v>
      </c>
      <c r="Q936" s="1">
        <f t="shared" si="149"/>
        <v>23</v>
      </c>
      <c r="S936"/>
      <c r="T936"/>
      <c r="U936"/>
    </row>
    <row r="937" spans="1:21" s="1" customFormat="1" x14ac:dyDescent="0.25">
      <c r="A937" s="1">
        <v>983</v>
      </c>
      <c r="B937" s="1" t="s">
        <v>285</v>
      </c>
      <c r="C937" s="1" t="s">
        <v>885</v>
      </c>
      <c r="D937" s="2">
        <v>42226.779108796298</v>
      </c>
      <c r="E937" s="2">
        <v>42226.61246527778</v>
      </c>
      <c r="F937" s="1">
        <v>1</v>
      </c>
      <c r="G937" s="1">
        <v>8</v>
      </c>
      <c r="H937" s="1">
        <v>2</v>
      </c>
      <c r="I937" s="1">
        <v>2</v>
      </c>
      <c r="J937" s="1">
        <v>1</v>
      </c>
      <c r="K937" s="1">
        <v>1</v>
      </c>
      <c r="L937" s="3">
        <v>32.64</v>
      </c>
      <c r="M937" s="3" t="str">
        <f t="shared" si="146"/>
        <v>Aug</v>
      </c>
      <c r="N937" s="2">
        <v>42226.648020833331</v>
      </c>
      <c r="O937" s="1">
        <f t="shared" si="147"/>
        <v>10</v>
      </c>
      <c r="P937" s="1">
        <f t="shared" si="148"/>
        <v>2</v>
      </c>
      <c r="Q937" s="1">
        <f t="shared" si="149"/>
        <v>15</v>
      </c>
      <c r="S937"/>
      <c r="T937"/>
      <c r="U937"/>
    </row>
    <row r="938" spans="1:21" s="1" customFormat="1" x14ac:dyDescent="0.25">
      <c r="A938" s="1">
        <v>984</v>
      </c>
      <c r="B938" s="1" t="s">
        <v>131</v>
      </c>
      <c r="C938" s="1" t="s">
        <v>886</v>
      </c>
      <c r="D938" s="2">
        <v>42210.860219907408</v>
      </c>
      <c r="E938" s="2">
        <v>42210.860266203701</v>
      </c>
      <c r="F938" s="1">
        <v>1</v>
      </c>
      <c r="G938" s="1">
        <v>0</v>
      </c>
      <c r="H938" s="1">
        <v>2</v>
      </c>
      <c r="I938" s="1">
        <v>2</v>
      </c>
      <c r="J938" s="1">
        <v>1</v>
      </c>
      <c r="K938" s="1">
        <v>1</v>
      </c>
      <c r="L938" s="3">
        <v>29.92</v>
      </c>
      <c r="M938" s="3" t="str">
        <f t="shared" si="146"/>
        <v>Jul</v>
      </c>
      <c r="N938" s="2">
        <v>42210.860231481478</v>
      </c>
      <c r="O938" s="1">
        <f t="shared" si="147"/>
        <v>25</v>
      </c>
      <c r="P938" s="1">
        <f t="shared" si="148"/>
        <v>7</v>
      </c>
      <c r="Q938" s="1">
        <f t="shared" si="149"/>
        <v>20</v>
      </c>
      <c r="S938"/>
      <c r="T938"/>
      <c r="U938"/>
    </row>
    <row r="939" spans="1:21" s="1" customFormat="1" x14ac:dyDescent="0.25">
      <c r="A939" s="1">
        <v>985</v>
      </c>
      <c r="B939" s="1" t="s">
        <v>76</v>
      </c>
      <c r="C939" s="1" t="s">
        <v>887</v>
      </c>
      <c r="D939" s="2">
        <v>42060.802824074075</v>
      </c>
      <c r="E939" s="2">
        <v>42060.965798611112</v>
      </c>
      <c r="F939" s="1">
        <v>3</v>
      </c>
      <c r="G939" s="1">
        <v>0</v>
      </c>
      <c r="H939" s="1">
        <v>8</v>
      </c>
      <c r="I939" s="1">
        <v>5</v>
      </c>
      <c r="J939" s="1">
        <v>1</v>
      </c>
      <c r="K939" s="1">
        <v>2</v>
      </c>
      <c r="L939" s="4">
        <v>9</v>
      </c>
      <c r="M939" s="3" t="str">
        <f t="shared" si="146"/>
        <v>Feb</v>
      </c>
      <c r="N939" s="2">
        <v>42060.804108796299</v>
      </c>
      <c r="O939" s="1">
        <f t="shared" si="147"/>
        <v>25</v>
      </c>
      <c r="P939" s="1">
        <f t="shared" si="148"/>
        <v>4</v>
      </c>
      <c r="Q939" s="1">
        <f t="shared" si="149"/>
        <v>19</v>
      </c>
      <c r="S939"/>
      <c r="T939"/>
      <c r="U939"/>
    </row>
    <row r="940" spans="1:21" s="1" customFormat="1" x14ac:dyDescent="0.25">
      <c r="A940" s="1">
        <v>986</v>
      </c>
      <c r="B940" s="1" t="s">
        <v>195</v>
      </c>
      <c r="C940" s="1" t="s">
        <v>888</v>
      </c>
      <c r="D940" s="2">
        <v>42054.857615740744</v>
      </c>
      <c r="E940" s="2">
        <v>42073.823912037034</v>
      </c>
      <c r="F940" s="1">
        <v>10</v>
      </c>
      <c r="G940" s="1">
        <v>0</v>
      </c>
      <c r="H940" s="1">
        <v>8</v>
      </c>
      <c r="I940" s="1">
        <v>8</v>
      </c>
      <c r="J940" s="1">
        <v>2</v>
      </c>
      <c r="K940" s="1">
        <v>6</v>
      </c>
      <c r="L940" s="4">
        <v>18</v>
      </c>
      <c r="M940" s="3" t="str">
        <f t="shared" si="146"/>
        <v>Feb</v>
      </c>
      <c r="N940" s="2">
        <v>42054.860462962963</v>
      </c>
      <c r="O940" s="1">
        <f t="shared" si="147"/>
        <v>19</v>
      </c>
      <c r="P940" s="1">
        <f t="shared" si="148"/>
        <v>5</v>
      </c>
      <c r="Q940" s="1">
        <f t="shared" si="149"/>
        <v>20</v>
      </c>
      <c r="S940"/>
      <c r="T940"/>
      <c r="U940"/>
    </row>
    <row r="941" spans="1:21" s="1" customFormat="1" x14ac:dyDescent="0.25">
      <c r="A941" s="1">
        <v>987</v>
      </c>
      <c r="B941" s="1" t="s">
        <v>116</v>
      </c>
      <c r="C941" s="1" t="s">
        <v>889</v>
      </c>
      <c r="D941" s="2">
        <v>42052.521643518521</v>
      </c>
      <c r="E941" s="2">
        <v>42058.68236111111</v>
      </c>
      <c r="F941" s="1">
        <v>6</v>
      </c>
      <c r="G941" s="1">
        <v>0</v>
      </c>
      <c r="H941" s="1">
        <v>1</v>
      </c>
      <c r="I941" s="1">
        <v>3</v>
      </c>
      <c r="J941" s="1">
        <v>1</v>
      </c>
      <c r="K941" s="1">
        <v>1</v>
      </c>
      <c r="L941" s="4">
        <v>28.8</v>
      </c>
      <c r="M941" s="3" t="str">
        <f t="shared" si="146"/>
        <v>Feb</v>
      </c>
      <c r="N941" s="2">
        <v>42053.497141203705</v>
      </c>
      <c r="O941" s="1">
        <f t="shared" si="147"/>
        <v>18</v>
      </c>
      <c r="P941" s="1">
        <f t="shared" si="148"/>
        <v>4</v>
      </c>
      <c r="Q941" s="1">
        <f t="shared" si="149"/>
        <v>11</v>
      </c>
      <c r="S941"/>
      <c r="T941"/>
      <c r="U941"/>
    </row>
    <row r="942" spans="1:21" s="1" customFormat="1" x14ac:dyDescent="0.25">
      <c r="A942" s="1">
        <v>988</v>
      </c>
      <c r="B942" s="1" t="s">
        <v>123</v>
      </c>
      <c r="C942" s="1" t="s">
        <v>890</v>
      </c>
      <c r="D942" s="2">
        <v>42221.789560185185</v>
      </c>
      <c r="E942" s="2">
        <v>42221.62295138889</v>
      </c>
      <c r="F942" s="1">
        <v>1</v>
      </c>
      <c r="G942" s="1">
        <v>6</v>
      </c>
      <c r="H942" s="1">
        <v>4</v>
      </c>
      <c r="I942" s="1">
        <v>2</v>
      </c>
      <c r="J942" s="1">
        <v>1</v>
      </c>
      <c r="K942" s="1">
        <v>2</v>
      </c>
      <c r="L942" s="3">
        <v>38.72</v>
      </c>
      <c r="M942" s="3" t="str">
        <f t="shared" si="146"/>
        <v>Aug</v>
      </c>
      <c r="N942" s="2">
        <v>42221.62290509259</v>
      </c>
      <c r="O942" s="1">
        <f t="shared" si="147"/>
        <v>5</v>
      </c>
      <c r="P942" s="1">
        <f t="shared" si="148"/>
        <v>4</v>
      </c>
      <c r="Q942" s="1">
        <f t="shared" si="149"/>
        <v>14</v>
      </c>
      <c r="S942"/>
      <c r="T942"/>
      <c r="U942"/>
    </row>
    <row r="943" spans="1:21" s="1" customFormat="1" x14ac:dyDescent="0.25">
      <c r="A943" s="1">
        <v>989</v>
      </c>
      <c r="B943" s="1" t="s">
        <v>76</v>
      </c>
      <c r="C943" s="1" t="s">
        <v>247</v>
      </c>
      <c r="D943" s="2">
        <v>42256.683680555558</v>
      </c>
      <c r="E943" s="2">
        <v>42256.68372685185</v>
      </c>
      <c r="F943" s="1">
        <v>1</v>
      </c>
      <c r="G943" s="1">
        <v>0</v>
      </c>
      <c r="H943" s="1">
        <v>2</v>
      </c>
      <c r="I943" s="1">
        <v>2</v>
      </c>
      <c r="J943" s="1">
        <v>1</v>
      </c>
      <c r="K943" s="1">
        <v>1</v>
      </c>
      <c r="L943" s="3">
        <v>32.64</v>
      </c>
      <c r="M943" s="3" t="str">
        <f t="shared" si="146"/>
        <v>Sep</v>
      </c>
      <c r="N943" s="2">
        <v>42256.683680555558</v>
      </c>
      <c r="O943" s="1">
        <f t="shared" si="147"/>
        <v>9</v>
      </c>
      <c r="P943" s="1">
        <f t="shared" si="148"/>
        <v>4</v>
      </c>
      <c r="Q943" s="1">
        <f t="shared" si="149"/>
        <v>16</v>
      </c>
      <c r="S943"/>
      <c r="T943"/>
      <c r="U943"/>
    </row>
    <row r="944" spans="1:21" s="1" customFormat="1" x14ac:dyDescent="0.25">
      <c r="A944" s="1">
        <v>990</v>
      </c>
      <c r="B944" s="1" t="s">
        <v>239</v>
      </c>
      <c r="C944" s="1" t="s">
        <v>891</v>
      </c>
      <c r="D944" s="2">
        <v>41537.804780092592</v>
      </c>
      <c r="E944" s="2">
        <v>42207.376863425925</v>
      </c>
      <c r="F944" s="1">
        <v>3</v>
      </c>
      <c r="G944" s="1">
        <v>0</v>
      </c>
      <c r="H944" s="1">
        <v>1</v>
      </c>
      <c r="I944" s="1">
        <v>2</v>
      </c>
      <c r="J944" s="1">
        <v>1</v>
      </c>
      <c r="K944" s="1">
        <v>1</v>
      </c>
      <c r="L944" s="3">
        <v>37.4</v>
      </c>
      <c r="M944" s="3" t="str">
        <f t="shared" si="146"/>
        <v>Jul</v>
      </c>
      <c r="N944" s="2">
        <v>42207.379513888889</v>
      </c>
      <c r="O944" s="1">
        <f t="shared" si="147"/>
        <v>22</v>
      </c>
      <c r="P944" s="1">
        <f t="shared" si="148"/>
        <v>4</v>
      </c>
      <c r="Q944" s="1">
        <f t="shared" si="149"/>
        <v>9</v>
      </c>
      <c r="S944"/>
      <c r="T944"/>
      <c r="U944"/>
    </row>
    <row r="945" spans="1:21" s="1" customFormat="1" x14ac:dyDescent="0.25">
      <c r="A945" s="1">
        <v>991</v>
      </c>
      <c r="D945" s="2">
        <v>42031.538368055553</v>
      </c>
      <c r="E945" s="2">
        <v>42037.440694444442</v>
      </c>
      <c r="F945" s="1">
        <v>10</v>
      </c>
      <c r="G945" s="1">
        <v>2</v>
      </c>
      <c r="H945" s="1">
        <v>2</v>
      </c>
      <c r="I945" s="1">
        <v>7</v>
      </c>
      <c r="J945" s="1">
        <v>1</v>
      </c>
      <c r="K945" s="1">
        <v>1</v>
      </c>
      <c r="L945" s="4">
        <v>28.8</v>
      </c>
      <c r="M945" s="3" t="str">
        <f t="shared" si="146"/>
        <v>Jan</v>
      </c>
      <c r="N945" s="2">
        <v>42032.341377314813</v>
      </c>
      <c r="O945" s="1">
        <f t="shared" si="147"/>
        <v>28</v>
      </c>
      <c r="P945" s="1">
        <f t="shared" si="148"/>
        <v>4</v>
      </c>
      <c r="Q945" s="1">
        <f t="shared" si="149"/>
        <v>8</v>
      </c>
      <c r="S945"/>
      <c r="T945"/>
      <c r="U945"/>
    </row>
    <row r="946" spans="1:21" s="1" customFormat="1" x14ac:dyDescent="0.25">
      <c r="A946" s="1">
        <v>992</v>
      </c>
      <c r="B946" s="1" t="s">
        <v>103</v>
      </c>
      <c r="C946" s="1" t="s">
        <v>892</v>
      </c>
      <c r="D946" s="2">
        <v>42259.498773148145</v>
      </c>
      <c r="E946" s="2">
        <v>42259.498819444445</v>
      </c>
      <c r="F946" s="1">
        <v>1</v>
      </c>
      <c r="G946" s="1">
        <v>2</v>
      </c>
      <c r="H946" s="1">
        <v>2</v>
      </c>
      <c r="I946" s="1">
        <v>4</v>
      </c>
      <c r="J946" s="1">
        <v>1</v>
      </c>
      <c r="K946" s="1">
        <v>1</v>
      </c>
      <c r="L946" s="3">
        <v>21.76</v>
      </c>
      <c r="M946" s="3" t="str">
        <f t="shared" si="146"/>
        <v>Sep</v>
      </c>
      <c r="N946" s="2">
        <v>42259.498773148145</v>
      </c>
      <c r="O946" s="1">
        <f t="shared" si="147"/>
        <v>12</v>
      </c>
      <c r="P946" s="1">
        <f t="shared" si="148"/>
        <v>7</v>
      </c>
      <c r="Q946" s="1">
        <f t="shared" si="149"/>
        <v>11</v>
      </c>
      <c r="S946"/>
      <c r="T946"/>
      <c r="U946"/>
    </row>
    <row r="947" spans="1:21" s="1" customFormat="1" x14ac:dyDescent="0.25">
      <c r="A947" s="1">
        <v>993</v>
      </c>
      <c r="B947" s="1" t="s">
        <v>91</v>
      </c>
      <c r="C947" s="1" t="s">
        <v>770</v>
      </c>
      <c r="D947" s="2">
        <v>42232.572928240741</v>
      </c>
      <c r="E947" s="2">
        <v>42232.928819444445</v>
      </c>
      <c r="F947" s="1">
        <v>2</v>
      </c>
      <c r="G947" s="1">
        <v>3</v>
      </c>
      <c r="H947" s="1">
        <v>3</v>
      </c>
      <c r="I947" s="1">
        <v>6</v>
      </c>
      <c r="J947" s="1">
        <v>1</v>
      </c>
      <c r="K947" s="1">
        <v>1</v>
      </c>
      <c r="L947" s="3">
        <v>29.92</v>
      </c>
      <c r="M947" s="3" t="str">
        <f t="shared" si="146"/>
        <v>Aug</v>
      </c>
      <c r="N947" s="2">
        <v>42232.572939814818</v>
      </c>
      <c r="O947" s="1">
        <f t="shared" si="147"/>
        <v>16</v>
      </c>
      <c r="P947" s="1">
        <f t="shared" si="148"/>
        <v>1</v>
      </c>
      <c r="Q947" s="1">
        <f t="shared" si="149"/>
        <v>13</v>
      </c>
      <c r="S947"/>
      <c r="T947"/>
      <c r="U947"/>
    </row>
    <row r="948" spans="1:21" s="1" customFormat="1" x14ac:dyDescent="0.25">
      <c r="A948" s="1">
        <v>994</v>
      </c>
      <c r="B948" s="1" t="s">
        <v>893</v>
      </c>
      <c r="C948" s="1" t="s">
        <v>894</v>
      </c>
      <c r="D948" s="2">
        <v>42152.651782407411</v>
      </c>
      <c r="E948" s="2">
        <v>42152.651828703703</v>
      </c>
      <c r="F948" s="1">
        <v>1</v>
      </c>
      <c r="G948" s="1">
        <v>0</v>
      </c>
      <c r="H948" s="1">
        <v>2</v>
      </c>
      <c r="I948" s="1">
        <v>4</v>
      </c>
      <c r="J948" s="1">
        <v>1</v>
      </c>
      <c r="K948" s="1">
        <v>2</v>
      </c>
      <c r="L948" s="3">
        <v>18</v>
      </c>
      <c r="M948" s="3" t="str">
        <f t="shared" si="146"/>
        <v>May</v>
      </c>
      <c r="N948" s="2">
        <v>42152.65179398148</v>
      </c>
      <c r="O948" s="1">
        <f t="shared" si="147"/>
        <v>28</v>
      </c>
      <c r="P948" s="1">
        <f t="shared" si="148"/>
        <v>5</v>
      </c>
      <c r="Q948" s="1">
        <f t="shared" si="149"/>
        <v>15</v>
      </c>
      <c r="S948"/>
      <c r="T948"/>
      <c r="U948"/>
    </row>
    <row r="949" spans="1:21" s="1" customFormat="1" x14ac:dyDescent="0.25">
      <c r="A949" s="1">
        <v>995</v>
      </c>
      <c r="B949" s="1" t="s">
        <v>116</v>
      </c>
      <c r="C949" s="1" t="s">
        <v>895</v>
      </c>
      <c r="D949" s="2">
        <v>42222.172118055554</v>
      </c>
      <c r="E949" s="2">
        <v>42222.486712962964</v>
      </c>
      <c r="F949" s="1">
        <v>5</v>
      </c>
      <c r="G949" s="1">
        <v>8</v>
      </c>
      <c r="H949" s="1">
        <v>4</v>
      </c>
      <c r="I949" s="1">
        <v>2</v>
      </c>
      <c r="J949" s="1">
        <v>1</v>
      </c>
      <c r="K949" s="1">
        <v>2</v>
      </c>
      <c r="L949" s="3">
        <v>17.600000000000001</v>
      </c>
      <c r="M949" s="3" t="str">
        <f t="shared" si="146"/>
        <v>Aug</v>
      </c>
      <c r="N949" s="2">
        <v>42222.00545138889</v>
      </c>
      <c r="O949" s="1">
        <f t="shared" si="147"/>
        <v>6</v>
      </c>
      <c r="P949" s="1">
        <f t="shared" si="148"/>
        <v>5</v>
      </c>
      <c r="Q949" s="1">
        <f t="shared" si="149"/>
        <v>0</v>
      </c>
      <c r="S949"/>
      <c r="T949"/>
      <c r="U949"/>
    </row>
    <row r="950" spans="1:21" s="1" customFormat="1" x14ac:dyDescent="0.25">
      <c r="A950" s="1">
        <v>996</v>
      </c>
      <c r="B950" s="1" t="s">
        <v>112</v>
      </c>
      <c r="C950" s="1" t="s">
        <v>896</v>
      </c>
      <c r="D950" s="2">
        <v>42088.462592592594</v>
      </c>
      <c r="E950" s="2">
        <v>42088.462650462963</v>
      </c>
      <c r="F950" s="1">
        <v>1</v>
      </c>
      <c r="G950" s="1">
        <v>0</v>
      </c>
      <c r="H950" s="1">
        <v>2</v>
      </c>
      <c r="I950" s="1">
        <v>1</v>
      </c>
      <c r="J950" s="1">
        <v>1</v>
      </c>
      <c r="K950" s="1">
        <v>4</v>
      </c>
      <c r="L950" s="4">
        <v>28.8</v>
      </c>
      <c r="M950" s="3" t="str">
        <f t="shared" si="146"/>
        <v>Mar</v>
      </c>
      <c r="N950" s="2">
        <v>42088.462604166663</v>
      </c>
      <c r="O950" s="1">
        <f t="shared" si="147"/>
        <v>25</v>
      </c>
      <c r="P950" s="1">
        <f t="shared" si="148"/>
        <v>4</v>
      </c>
      <c r="Q950" s="1">
        <f t="shared" si="149"/>
        <v>11</v>
      </c>
      <c r="S950"/>
      <c r="T950"/>
      <c r="U950"/>
    </row>
    <row r="951" spans="1:21" s="1" customFormat="1" x14ac:dyDescent="0.25">
      <c r="A951" s="1">
        <v>997</v>
      </c>
      <c r="B951" s="1" t="s">
        <v>107</v>
      </c>
      <c r="C951" s="1" t="s">
        <v>897</v>
      </c>
      <c r="D951" s="2">
        <v>42192.629224537035</v>
      </c>
      <c r="E951" s="2">
        <v>42192.46261574074</v>
      </c>
      <c r="F951" s="1">
        <v>1</v>
      </c>
      <c r="G951" s="1">
        <v>6</v>
      </c>
      <c r="H951" s="1">
        <v>6</v>
      </c>
      <c r="I951" s="1">
        <v>2</v>
      </c>
      <c r="J951" s="1">
        <v>1</v>
      </c>
      <c r="K951" s="1">
        <v>1</v>
      </c>
      <c r="L951" s="3">
        <v>28.8</v>
      </c>
      <c r="M951" s="3" t="str">
        <f t="shared" si="146"/>
        <v>Jul</v>
      </c>
      <c r="N951" s="2">
        <v>42192.462569444448</v>
      </c>
      <c r="O951" s="1">
        <f t="shared" si="147"/>
        <v>7</v>
      </c>
      <c r="P951" s="1">
        <f t="shared" si="148"/>
        <v>3</v>
      </c>
      <c r="Q951" s="1">
        <f t="shared" si="149"/>
        <v>11</v>
      </c>
      <c r="S951"/>
      <c r="T951"/>
      <c r="U951"/>
    </row>
    <row r="952" spans="1:21" s="1" customFormat="1" x14ac:dyDescent="0.25">
      <c r="A952" s="1">
        <v>998</v>
      </c>
      <c r="B952" s="1" t="s">
        <v>341</v>
      </c>
      <c r="C952" s="1" t="s">
        <v>898</v>
      </c>
      <c r="D952" s="2">
        <v>42087.933969907404</v>
      </c>
      <c r="E952" s="2">
        <v>42087.934016203704</v>
      </c>
      <c r="F952" s="1">
        <v>1</v>
      </c>
      <c r="G952" s="1">
        <v>2</v>
      </c>
      <c r="H952" s="1">
        <v>2</v>
      </c>
      <c r="I952" s="1">
        <v>1</v>
      </c>
      <c r="J952" s="1">
        <v>1</v>
      </c>
      <c r="K952" s="1">
        <v>6</v>
      </c>
      <c r="L952" s="4">
        <v>43.2</v>
      </c>
      <c r="M952" s="3" t="str">
        <f t="shared" si="146"/>
        <v>Mar</v>
      </c>
      <c r="N952" s="2">
        <v>42087.933981481481</v>
      </c>
      <c r="O952" s="1">
        <f t="shared" si="147"/>
        <v>24</v>
      </c>
      <c r="P952" s="1">
        <f t="shared" si="148"/>
        <v>3</v>
      </c>
      <c r="Q952" s="1">
        <f t="shared" si="149"/>
        <v>22</v>
      </c>
      <c r="S952"/>
      <c r="T952"/>
      <c r="U952"/>
    </row>
    <row r="953" spans="1:21" s="1" customFormat="1" x14ac:dyDescent="0.25">
      <c r="A953" s="1">
        <v>999</v>
      </c>
      <c r="B953" s="1" t="s">
        <v>210</v>
      </c>
      <c r="C953" s="1" t="s">
        <v>899</v>
      </c>
      <c r="D953" s="2">
        <v>42020.93546296296</v>
      </c>
      <c r="E953" s="2">
        <v>42020.935497685183</v>
      </c>
      <c r="F953" s="1">
        <v>1</v>
      </c>
      <c r="G953" s="1">
        <v>0</v>
      </c>
      <c r="H953" s="1">
        <v>4</v>
      </c>
      <c r="I953" s="1">
        <v>2</v>
      </c>
      <c r="J953" s="1">
        <v>1</v>
      </c>
      <c r="K953" s="1">
        <v>2</v>
      </c>
      <c r="L953" s="4">
        <v>72</v>
      </c>
      <c r="M953" s="3" t="str">
        <f t="shared" si="146"/>
        <v>Jan</v>
      </c>
      <c r="N953" s="2">
        <v>42020.935474537036</v>
      </c>
      <c r="O953" s="1">
        <f t="shared" si="147"/>
        <v>16</v>
      </c>
      <c r="P953" s="1">
        <f t="shared" si="148"/>
        <v>6</v>
      </c>
      <c r="Q953" s="1">
        <f t="shared" si="149"/>
        <v>22</v>
      </c>
      <c r="S953"/>
      <c r="T953"/>
      <c r="U953"/>
    </row>
    <row r="954" spans="1:21" s="1" customFormat="1" x14ac:dyDescent="0.25">
      <c r="A954" s="1">
        <v>1000</v>
      </c>
      <c r="B954" s="1" t="s">
        <v>116</v>
      </c>
      <c r="C954" s="1" t="s">
        <v>900</v>
      </c>
      <c r="D954" s="2">
        <v>42211.667199074072</v>
      </c>
      <c r="E954" s="2">
        <v>42211.500543981485</v>
      </c>
      <c r="F954" s="1">
        <v>1</v>
      </c>
      <c r="G954" s="1">
        <v>4</v>
      </c>
      <c r="H954" s="1">
        <v>8</v>
      </c>
      <c r="I954" s="1">
        <v>4</v>
      </c>
      <c r="J954" s="1">
        <v>1</v>
      </c>
      <c r="K954" s="1">
        <v>2</v>
      </c>
      <c r="L954" s="3">
        <v>22</v>
      </c>
      <c r="M954" s="3" t="str">
        <f t="shared" si="146"/>
        <v>Jul</v>
      </c>
      <c r="N954" s="2">
        <v>42211.502303240741</v>
      </c>
      <c r="O954" s="1">
        <f t="shared" si="147"/>
        <v>26</v>
      </c>
      <c r="P954" s="1">
        <f t="shared" si="148"/>
        <v>1</v>
      </c>
      <c r="Q954" s="1">
        <f t="shared" si="149"/>
        <v>12</v>
      </c>
      <c r="S954"/>
      <c r="T954"/>
      <c r="U954"/>
    </row>
    <row r="955" spans="1:21" s="1" customFormat="1" x14ac:dyDescent="0.25">
      <c r="A955" s="1">
        <v>1001</v>
      </c>
      <c r="B955" s="1" t="s">
        <v>123</v>
      </c>
      <c r="C955" s="1" t="s">
        <v>901</v>
      </c>
      <c r="D955" s="2">
        <v>42251.40351851852</v>
      </c>
      <c r="E955" s="2">
        <v>42257.041701388887</v>
      </c>
      <c r="F955" s="1">
        <v>12</v>
      </c>
      <c r="G955" s="1">
        <v>8</v>
      </c>
      <c r="H955" s="1">
        <v>2</v>
      </c>
      <c r="I955" s="1">
        <v>8</v>
      </c>
      <c r="J955" s="1">
        <v>1</v>
      </c>
      <c r="K955" s="1">
        <v>1</v>
      </c>
      <c r="L955" s="3">
        <v>56.32</v>
      </c>
      <c r="M955" s="3" t="str">
        <f t="shared" si="146"/>
        <v>Sep</v>
      </c>
      <c r="N955" s="2">
        <v>42251.236863425926</v>
      </c>
      <c r="O955" s="1">
        <f t="shared" si="147"/>
        <v>4</v>
      </c>
      <c r="P955" s="1">
        <f t="shared" si="148"/>
        <v>6</v>
      </c>
      <c r="Q955" s="1">
        <f t="shared" si="149"/>
        <v>5</v>
      </c>
      <c r="S955"/>
      <c r="T955"/>
      <c r="U955"/>
    </row>
    <row r="956" spans="1:21" s="1" customFormat="1" x14ac:dyDescent="0.25">
      <c r="A956" s="1">
        <v>1002</v>
      </c>
      <c r="B956" s="1" t="s">
        <v>85</v>
      </c>
      <c r="C956" s="1" t="s">
        <v>902</v>
      </c>
      <c r="D956" s="2">
        <v>42171.350983796299</v>
      </c>
      <c r="E956" s="2">
        <v>42171.351064814815</v>
      </c>
      <c r="F956" s="1">
        <v>1</v>
      </c>
      <c r="G956" s="1">
        <v>8</v>
      </c>
      <c r="H956" s="1">
        <v>8</v>
      </c>
      <c r="I956" s="1">
        <v>2</v>
      </c>
      <c r="J956" s="1">
        <v>1</v>
      </c>
      <c r="K956" s="1">
        <v>4</v>
      </c>
      <c r="L956" s="3">
        <v>31.2</v>
      </c>
      <c r="M956" s="3" t="str">
        <f t="shared" si="146"/>
        <v>Jun</v>
      </c>
      <c r="N956" s="2">
        <v>42171.351018518515</v>
      </c>
      <c r="O956" s="1">
        <f t="shared" si="147"/>
        <v>16</v>
      </c>
      <c r="P956" s="1">
        <f t="shared" si="148"/>
        <v>3</v>
      </c>
      <c r="Q956" s="1">
        <f t="shared" si="149"/>
        <v>8</v>
      </c>
      <c r="S956"/>
      <c r="T956"/>
      <c r="U956"/>
    </row>
    <row r="957" spans="1:21" s="1" customFormat="1" x14ac:dyDescent="0.25">
      <c r="A957" s="1">
        <v>1003</v>
      </c>
      <c r="B957" s="1" t="s">
        <v>341</v>
      </c>
      <c r="C957" s="1" t="s">
        <v>903</v>
      </c>
      <c r="D957" s="2">
        <v>42065.371157407404</v>
      </c>
      <c r="E957" s="2">
        <v>42065.371203703704</v>
      </c>
      <c r="F957" s="1">
        <v>1</v>
      </c>
      <c r="G957" s="1">
        <v>0</v>
      </c>
      <c r="H957" s="1">
        <v>2</v>
      </c>
      <c r="I957" s="1">
        <v>1</v>
      </c>
      <c r="J957" s="1">
        <v>1</v>
      </c>
      <c r="K957" s="1">
        <v>1</v>
      </c>
      <c r="L957" s="4">
        <v>57.6</v>
      </c>
      <c r="M957" s="3" t="str">
        <f t="shared" si="146"/>
        <v>Mar</v>
      </c>
      <c r="N957" s="2">
        <v>42065.371168981481</v>
      </c>
      <c r="O957" s="1">
        <f t="shared" si="147"/>
        <v>2</v>
      </c>
      <c r="P957" s="1">
        <f t="shared" si="148"/>
        <v>2</v>
      </c>
      <c r="Q957" s="1">
        <f t="shared" si="149"/>
        <v>8</v>
      </c>
      <c r="S957"/>
      <c r="T957"/>
      <c r="U957"/>
    </row>
    <row r="958" spans="1:21" s="1" customFormat="1" x14ac:dyDescent="0.25">
      <c r="A958" s="1">
        <v>1004</v>
      </c>
      <c r="B958" s="1" t="s">
        <v>96</v>
      </c>
      <c r="C958" s="1" t="s">
        <v>868</v>
      </c>
      <c r="D958" s="2">
        <v>42065.538368055553</v>
      </c>
      <c r="E958" s="2">
        <v>42065.538425925923</v>
      </c>
      <c r="F958" s="1">
        <v>1</v>
      </c>
      <c r="G958" s="1">
        <v>0</v>
      </c>
      <c r="H958" s="1">
        <v>2</v>
      </c>
      <c r="I958" s="1">
        <v>2</v>
      </c>
      <c r="J958" s="1">
        <v>1</v>
      </c>
      <c r="K958" s="1">
        <v>1</v>
      </c>
      <c r="L958" s="4">
        <v>61.2</v>
      </c>
      <c r="M958" s="3" t="str">
        <f t="shared" si="146"/>
        <v>Mar</v>
      </c>
      <c r="N958" s="2">
        <v>42065.53837962963</v>
      </c>
      <c r="O958" s="1">
        <f t="shared" si="147"/>
        <v>2</v>
      </c>
      <c r="P958" s="1">
        <f t="shared" si="148"/>
        <v>2</v>
      </c>
      <c r="Q958" s="1">
        <f t="shared" si="149"/>
        <v>12</v>
      </c>
      <c r="S958"/>
      <c r="T958"/>
      <c r="U958"/>
    </row>
    <row r="959" spans="1:21" s="1" customFormat="1" x14ac:dyDescent="0.25">
      <c r="A959" s="1">
        <v>1005</v>
      </c>
      <c r="B959" s="1" t="s">
        <v>89</v>
      </c>
      <c r="C959" s="1" t="s">
        <v>289</v>
      </c>
      <c r="D959" s="2">
        <v>42246.479166666664</v>
      </c>
      <c r="E959" s="2">
        <v>42246.479201388887</v>
      </c>
      <c r="F959" s="1">
        <v>1</v>
      </c>
      <c r="G959" s="1">
        <v>4</v>
      </c>
      <c r="H959" s="1">
        <v>4</v>
      </c>
      <c r="I959" s="1">
        <v>2</v>
      </c>
      <c r="J959" s="1">
        <v>1</v>
      </c>
      <c r="K959" s="1">
        <v>4</v>
      </c>
      <c r="L959" s="3">
        <v>35.200000000000003</v>
      </c>
      <c r="M959" s="3" t="str">
        <f t="shared" si="146"/>
        <v>Aug</v>
      </c>
      <c r="N959" s="2">
        <v>42246.479166666664</v>
      </c>
      <c r="O959" s="1">
        <f t="shared" si="147"/>
        <v>30</v>
      </c>
      <c r="P959" s="1">
        <f t="shared" si="148"/>
        <v>1</v>
      </c>
      <c r="Q959" s="1">
        <f t="shared" si="149"/>
        <v>11</v>
      </c>
      <c r="S959"/>
      <c r="T959"/>
      <c r="U959"/>
    </row>
    <row r="960" spans="1:21" s="1" customFormat="1" x14ac:dyDescent="0.25">
      <c r="A960" s="1">
        <v>1006</v>
      </c>
      <c r="B960" s="1" t="s">
        <v>285</v>
      </c>
      <c r="C960" s="1" t="s">
        <v>904</v>
      </c>
      <c r="D960" s="2">
        <v>42074.412418981483</v>
      </c>
      <c r="E960" s="2">
        <v>42074.412465277775</v>
      </c>
      <c r="F960" s="1">
        <v>1</v>
      </c>
      <c r="G960" s="1">
        <v>0</v>
      </c>
      <c r="H960" s="1">
        <v>6</v>
      </c>
      <c r="I960" s="1">
        <v>1</v>
      </c>
      <c r="J960" s="1">
        <v>1</v>
      </c>
      <c r="K960" s="1">
        <v>5</v>
      </c>
      <c r="L960" s="4">
        <v>52.8</v>
      </c>
      <c r="M960" s="3" t="str">
        <f t="shared" si="146"/>
        <v>Mar</v>
      </c>
      <c r="N960" s="2">
        <v>42074.412430555552</v>
      </c>
      <c r="O960" s="1">
        <f t="shared" si="147"/>
        <v>11</v>
      </c>
      <c r="P960" s="1">
        <f t="shared" si="148"/>
        <v>4</v>
      </c>
      <c r="Q960" s="1">
        <f t="shared" si="149"/>
        <v>9</v>
      </c>
      <c r="S960"/>
      <c r="T960"/>
      <c r="U960"/>
    </row>
    <row r="961" spans="1:21" s="1" customFormat="1" x14ac:dyDescent="0.25">
      <c r="A961" s="1">
        <v>1007</v>
      </c>
      <c r="B961" s="1" t="s">
        <v>212</v>
      </c>
      <c r="C961" s="1" t="s">
        <v>905</v>
      </c>
      <c r="D961" s="2">
        <v>42130.543645833335</v>
      </c>
      <c r="E961" s="2">
        <v>42130.543796296297</v>
      </c>
      <c r="F961" s="1">
        <v>1</v>
      </c>
      <c r="G961" s="1">
        <v>0</v>
      </c>
      <c r="H961" s="1">
        <v>2</v>
      </c>
      <c r="I961" s="1">
        <v>2</v>
      </c>
      <c r="J961" s="1">
        <v>1</v>
      </c>
      <c r="K961" s="1">
        <v>1</v>
      </c>
      <c r="L961" s="4">
        <v>28.8</v>
      </c>
      <c r="M961" s="3" t="str">
        <f t="shared" si="146"/>
        <v>May</v>
      </c>
      <c r="N961" s="2">
        <v>42130.543773148151</v>
      </c>
      <c r="O961" s="1">
        <f t="shared" si="147"/>
        <v>6</v>
      </c>
      <c r="P961" s="1">
        <f t="shared" si="148"/>
        <v>4</v>
      </c>
      <c r="Q961" s="1">
        <f t="shared" si="149"/>
        <v>13</v>
      </c>
      <c r="S961"/>
      <c r="T961"/>
      <c r="U961"/>
    </row>
    <row r="962" spans="1:21" s="1" customFormat="1" x14ac:dyDescent="0.25">
      <c r="A962" s="1">
        <v>1008</v>
      </c>
      <c r="B962" s="1" t="s">
        <v>764</v>
      </c>
      <c r="C962" s="1" t="s">
        <v>906</v>
      </c>
      <c r="D962" s="2">
        <v>42196.982581018521</v>
      </c>
      <c r="E962" s="2">
        <v>42196.815925925926</v>
      </c>
      <c r="F962" s="1">
        <v>1</v>
      </c>
      <c r="G962" s="1">
        <v>4</v>
      </c>
      <c r="H962" s="1">
        <v>4</v>
      </c>
      <c r="I962" s="1">
        <v>2</v>
      </c>
      <c r="J962" s="1">
        <v>1</v>
      </c>
      <c r="K962" s="1">
        <v>6</v>
      </c>
      <c r="L962" s="3">
        <v>43.2</v>
      </c>
      <c r="M962" s="3" t="str">
        <f t="shared" si="146"/>
        <v>Jul</v>
      </c>
      <c r="N962" s="2">
        <v>42196.819247685184</v>
      </c>
      <c r="O962" s="1">
        <f t="shared" si="147"/>
        <v>11</v>
      </c>
      <c r="P962" s="1">
        <f t="shared" si="148"/>
        <v>7</v>
      </c>
      <c r="Q962" s="1">
        <f t="shared" si="149"/>
        <v>19</v>
      </c>
      <c r="S962"/>
      <c r="T962"/>
      <c r="U962"/>
    </row>
    <row r="963" spans="1:21" s="1" customFormat="1" x14ac:dyDescent="0.25">
      <c r="A963" s="1">
        <v>1009</v>
      </c>
      <c r="B963" s="1" t="s">
        <v>123</v>
      </c>
      <c r="C963" s="1" t="s">
        <v>907</v>
      </c>
      <c r="D963" s="2">
        <v>42168.924733796295</v>
      </c>
      <c r="E963" s="2">
        <v>42168.758171296293</v>
      </c>
      <c r="F963" s="1">
        <v>1</v>
      </c>
      <c r="G963" s="1">
        <v>8</v>
      </c>
      <c r="H963" s="1">
        <v>8</v>
      </c>
      <c r="I963" s="1">
        <v>2</v>
      </c>
      <c r="J963" s="1">
        <v>1</v>
      </c>
      <c r="K963" s="1">
        <v>4</v>
      </c>
      <c r="L963" s="3">
        <v>124.8</v>
      </c>
      <c r="M963" s="3" t="str">
        <f t="shared" ref="M963:M1026" si="150">TEXT(N963,"mmm")</f>
        <v>Jun</v>
      </c>
      <c r="N963" s="2">
        <v>42168.758113425924</v>
      </c>
      <c r="O963" s="1">
        <f t="shared" si="147"/>
        <v>13</v>
      </c>
      <c r="P963" s="1">
        <f t="shared" si="148"/>
        <v>7</v>
      </c>
      <c r="Q963" s="1">
        <f t="shared" si="149"/>
        <v>18</v>
      </c>
      <c r="S963"/>
      <c r="T963"/>
      <c r="U963"/>
    </row>
    <row r="964" spans="1:21" s="1" customFormat="1" x14ac:dyDescent="0.25">
      <c r="A964" s="1">
        <v>1010</v>
      </c>
      <c r="B964" s="1" t="s">
        <v>103</v>
      </c>
      <c r="C964" s="1" t="s">
        <v>831</v>
      </c>
      <c r="D964" s="2">
        <v>42026.417303240742</v>
      </c>
      <c r="E964" s="2">
        <v>42039.735520833332</v>
      </c>
      <c r="F964" s="1">
        <v>2</v>
      </c>
      <c r="G964" s="1">
        <v>2</v>
      </c>
      <c r="H964" s="1">
        <v>6</v>
      </c>
      <c r="I964" s="1">
        <v>5</v>
      </c>
      <c r="J964" s="1">
        <v>2</v>
      </c>
      <c r="K964" s="1">
        <v>4</v>
      </c>
      <c r="L964" s="4">
        <v>9</v>
      </c>
      <c r="M964" s="3" t="str">
        <f t="shared" si="150"/>
        <v>Jan</v>
      </c>
      <c r="N964" s="2">
        <v>42026.417314814818</v>
      </c>
      <c r="O964" s="1">
        <f t="shared" si="147"/>
        <v>22</v>
      </c>
      <c r="P964" s="1">
        <f t="shared" si="148"/>
        <v>5</v>
      </c>
      <c r="Q964" s="1">
        <f t="shared" si="149"/>
        <v>10</v>
      </c>
      <c r="S964"/>
      <c r="T964"/>
      <c r="U964"/>
    </row>
    <row r="965" spans="1:21" s="1" customFormat="1" x14ac:dyDescent="0.25">
      <c r="A965" s="1">
        <v>1011</v>
      </c>
      <c r="B965" s="1" t="s">
        <v>112</v>
      </c>
      <c r="C965" s="1" t="s">
        <v>908</v>
      </c>
      <c r="D965" s="2">
        <v>42260.490787037037</v>
      </c>
      <c r="E965" s="2">
        <v>42260.490833333337</v>
      </c>
      <c r="F965" s="1">
        <v>1</v>
      </c>
      <c r="G965" s="1">
        <v>2</v>
      </c>
      <c r="H965" s="1">
        <v>2</v>
      </c>
      <c r="I965" s="1">
        <v>2</v>
      </c>
      <c r="J965" s="1">
        <v>1</v>
      </c>
      <c r="K965" s="1">
        <v>1</v>
      </c>
      <c r="L965" s="3">
        <v>56.32</v>
      </c>
      <c r="M965" s="3" t="str">
        <f t="shared" si="150"/>
        <v>Sep</v>
      </c>
      <c r="N965" s="2">
        <v>42260.490787037037</v>
      </c>
      <c r="O965" s="1">
        <f t="shared" si="147"/>
        <v>13</v>
      </c>
      <c r="P965" s="1">
        <f t="shared" si="148"/>
        <v>1</v>
      </c>
      <c r="Q965" s="1">
        <f t="shared" si="149"/>
        <v>11</v>
      </c>
      <c r="S965"/>
      <c r="T965"/>
      <c r="U965"/>
    </row>
    <row r="966" spans="1:21" s="1" customFormat="1" x14ac:dyDescent="0.25">
      <c r="A966" s="1">
        <v>1012</v>
      </c>
      <c r="B966" s="1" t="s">
        <v>112</v>
      </c>
      <c r="C966" s="1" t="s">
        <v>909</v>
      </c>
      <c r="D966" s="2">
        <v>42043.838807870372</v>
      </c>
      <c r="E966" s="2">
        <v>42043.838865740741</v>
      </c>
      <c r="F966" s="1">
        <v>1</v>
      </c>
      <c r="G966" s="1">
        <v>0</v>
      </c>
      <c r="H966" s="1">
        <v>4</v>
      </c>
      <c r="I966" s="1">
        <v>1</v>
      </c>
      <c r="J966" s="1">
        <v>1</v>
      </c>
      <c r="K966" s="1">
        <v>2</v>
      </c>
      <c r="L966" s="4">
        <v>18</v>
      </c>
      <c r="M966" s="3" t="str">
        <f t="shared" si="150"/>
        <v>Feb</v>
      </c>
      <c r="N966" s="2">
        <v>42043.838819444441</v>
      </c>
      <c r="O966" s="1">
        <f t="shared" si="147"/>
        <v>8</v>
      </c>
      <c r="P966" s="1">
        <f t="shared" si="148"/>
        <v>1</v>
      </c>
      <c r="Q966" s="1">
        <f t="shared" si="149"/>
        <v>20</v>
      </c>
      <c r="S966"/>
      <c r="T966"/>
      <c r="U966"/>
    </row>
    <row r="967" spans="1:21" s="1" customFormat="1" x14ac:dyDescent="0.25">
      <c r="A967" s="1">
        <v>1013</v>
      </c>
      <c r="B967" s="1" t="s">
        <v>85</v>
      </c>
      <c r="C967" s="1" t="s">
        <v>910</v>
      </c>
      <c r="D967" s="2">
        <v>42181.704768518517</v>
      </c>
      <c r="E967" s="2">
        <v>42181.704814814817</v>
      </c>
      <c r="F967" s="1">
        <v>1</v>
      </c>
      <c r="G967" s="1">
        <v>2</v>
      </c>
      <c r="H967" s="1">
        <v>6</v>
      </c>
      <c r="I967" s="1">
        <v>2</v>
      </c>
      <c r="J967" s="1">
        <v>1</v>
      </c>
      <c r="K967" s="1">
        <v>3</v>
      </c>
      <c r="L967" s="3">
        <v>20.25</v>
      </c>
      <c r="M967" s="3" t="str">
        <f t="shared" si="150"/>
        <v>Jun</v>
      </c>
      <c r="N967" s="2">
        <v>42181.704780092594</v>
      </c>
      <c r="O967" s="1">
        <f t="shared" si="147"/>
        <v>26</v>
      </c>
      <c r="P967" s="1">
        <f t="shared" si="148"/>
        <v>6</v>
      </c>
      <c r="Q967" s="1">
        <f t="shared" si="149"/>
        <v>16</v>
      </c>
      <c r="S967"/>
      <c r="T967"/>
      <c r="U967"/>
    </row>
    <row r="968" spans="1:21" s="1" customFormat="1" x14ac:dyDescent="0.25">
      <c r="A968" s="1">
        <v>1014</v>
      </c>
      <c r="B968" s="1" t="s">
        <v>112</v>
      </c>
      <c r="C968" s="1" t="s">
        <v>911</v>
      </c>
      <c r="D968" s="2">
        <v>42035.84820601852</v>
      </c>
      <c r="E968" s="2">
        <v>42035.848275462966</v>
      </c>
      <c r="F968" s="1">
        <v>1</v>
      </c>
      <c r="G968" s="1">
        <v>0</v>
      </c>
      <c r="H968" s="1">
        <v>4</v>
      </c>
      <c r="I968" s="1">
        <v>2</v>
      </c>
      <c r="J968" s="1">
        <v>1</v>
      </c>
      <c r="K968" s="1">
        <v>2</v>
      </c>
      <c r="L968" s="4">
        <v>18</v>
      </c>
      <c r="M968" s="3" t="str">
        <f t="shared" si="150"/>
        <v>Jan</v>
      </c>
      <c r="N968" s="2">
        <v>42035.848217592589</v>
      </c>
      <c r="O968" s="1">
        <f t="shared" si="147"/>
        <v>31</v>
      </c>
      <c r="P968" s="1">
        <f t="shared" si="148"/>
        <v>7</v>
      </c>
      <c r="Q968" s="1">
        <f t="shared" si="149"/>
        <v>20</v>
      </c>
      <c r="S968"/>
      <c r="T968"/>
      <c r="U968"/>
    </row>
    <row r="969" spans="1:21" s="1" customFormat="1" x14ac:dyDescent="0.25">
      <c r="A969" s="1">
        <v>1015</v>
      </c>
      <c r="B969" s="1" t="s">
        <v>96</v>
      </c>
      <c r="C969" s="1" t="s">
        <v>496</v>
      </c>
      <c r="D969" s="2">
        <v>42060.399016203701</v>
      </c>
      <c r="E969" s="2">
        <v>42060.399062500001</v>
      </c>
      <c r="F969" s="1">
        <v>1</v>
      </c>
      <c r="G969" s="1">
        <v>0</v>
      </c>
      <c r="H969" s="1">
        <v>2</v>
      </c>
      <c r="I969" s="1">
        <v>1</v>
      </c>
      <c r="J969" s="1">
        <v>1</v>
      </c>
      <c r="K969" s="1">
        <v>2</v>
      </c>
      <c r="L969" s="4">
        <v>57.6</v>
      </c>
      <c r="M969" s="3" t="str">
        <f t="shared" si="150"/>
        <v>Feb</v>
      </c>
      <c r="N969" s="2">
        <v>42060.399027777778</v>
      </c>
      <c r="O969" s="1">
        <f t="shared" si="147"/>
        <v>25</v>
      </c>
      <c r="P969" s="1">
        <f t="shared" si="148"/>
        <v>4</v>
      </c>
      <c r="Q969" s="1">
        <f t="shared" si="149"/>
        <v>9</v>
      </c>
      <c r="S969"/>
      <c r="T969"/>
      <c r="U969"/>
    </row>
    <row r="970" spans="1:21" s="1" customFormat="1" x14ac:dyDescent="0.25">
      <c r="A970" s="1">
        <v>1016</v>
      </c>
      <c r="B970" s="1" t="s">
        <v>83</v>
      </c>
      <c r="C970" s="1" t="s">
        <v>912</v>
      </c>
      <c r="D970" s="2">
        <v>42144.433379629627</v>
      </c>
      <c r="E970" s="2">
        <v>42144.43341435185</v>
      </c>
      <c r="F970" s="1">
        <v>1</v>
      </c>
      <c r="G970" s="1">
        <v>0</v>
      </c>
      <c r="H970" s="1">
        <v>2</v>
      </c>
      <c r="I970" s="1">
        <v>2</v>
      </c>
      <c r="J970" s="1">
        <v>1</v>
      </c>
      <c r="K970" s="1">
        <v>1</v>
      </c>
      <c r="L970" s="4">
        <v>27</v>
      </c>
      <c r="M970" s="3" t="str">
        <f t="shared" si="150"/>
        <v>May</v>
      </c>
      <c r="N970" s="2">
        <v>42144.433391203704</v>
      </c>
      <c r="O970" s="1">
        <f t="shared" si="147"/>
        <v>20</v>
      </c>
      <c r="P970" s="1">
        <f t="shared" si="148"/>
        <v>4</v>
      </c>
      <c r="Q970" s="1">
        <f t="shared" si="149"/>
        <v>10</v>
      </c>
      <c r="S970"/>
      <c r="T970"/>
      <c r="U970"/>
    </row>
    <row r="971" spans="1:21" s="1" customFormat="1" x14ac:dyDescent="0.25">
      <c r="A971" s="1">
        <v>1017</v>
      </c>
      <c r="B971" s="1" t="s">
        <v>100</v>
      </c>
      <c r="C971" s="1" t="s">
        <v>826</v>
      </c>
      <c r="D971" s="2">
        <v>42228.525057870371</v>
      </c>
      <c r="E971" s="2">
        <v>42228.525092592594</v>
      </c>
      <c r="F971" s="1">
        <v>1</v>
      </c>
      <c r="G971" s="1">
        <v>2</v>
      </c>
      <c r="H971" s="1">
        <v>6</v>
      </c>
      <c r="I971" s="1">
        <v>2</v>
      </c>
      <c r="J971" s="1">
        <v>1</v>
      </c>
      <c r="K971" s="1">
        <v>2</v>
      </c>
      <c r="L971" s="3">
        <v>16.5</v>
      </c>
      <c r="M971" s="3" t="str">
        <f t="shared" si="150"/>
        <v>Aug</v>
      </c>
      <c r="N971" s="2">
        <v>42228.525057870371</v>
      </c>
      <c r="O971" s="1">
        <f t="shared" si="147"/>
        <v>12</v>
      </c>
      <c r="P971" s="1">
        <f t="shared" si="148"/>
        <v>4</v>
      </c>
      <c r="Q971" s="1">
        <f t="shared" si="149"/>
        <v>12</v>
      </c>
      <c r="S971"/>
      <c r="T971"/>
      <c r="U971"/>
    </row>
    <row r="972" spans="1:21" s="1" customFormat="1" x14ac:dyDescent="0.25">
      <c r="A972" s="1">
        <v>1018</v>
      </c>
      <c r="B972" s="1" t="s">
        <v>100</v>
      </c>
      <c r="C972" s="1" t="s">
        <v>913</v>
      </c>
      <c r="D972" s="2">
        <v>42264.719942129632</v>
      </c>
      <c r="E972" s="2">
        <v>42264.553379629629</v>
      </c>
      <c r="F972" s="1">
        <v>1</v>
      </c>
      <c r="G972" s="1">
        <v>2</v>
      </c>
      <c r="H972" s="1">
        <v>4</v>
      </c>
      <c r="I972" s="1">
        <v>2</v>
      </c>
      <c r="J972" s="1">
        <v>1</v>
      </c>
      <c r="K972" s="1">
        <v>4</v>
      </c>
      <c r="L972" s="3">
        <v>56.32</v>
      </c>
      <c r="M972" s="3" t="str">
        <f t="shared" si="150"/>
        <v>Sep</v>
      </c>
      <c r="N972" s="2">
        <v>42264.553287037037</v>
      </c>
      <c r="O972" s="1">
        <f t="shared" si="147"/>
        <v>17</v>
      </c>
      <c r="P972" s="1">
        <f t="shared" si="148"/>
        <v>5</v>
      </c>
      <c r="Q972" s="1">
        <f t="shared" si="149"/>
        <v>13</v>
      </c>
      <c r="S972"/>
      <c r="T972"/>
      <c r="U972"/>
    </row>
    <row r="973" spans="1:21" s="1" customFormat="1" x14ac:dyDescent="0.25">
      <c r="A973" s="1">
        <v>1019</v>
      </c>
      <c r="B973" s="1" t="s">
        <v>234</v>
      </c>
      <c r="C973" s="1" t="s">
        <v>914</v>
      </c>
      <c r="D973" s="2">
        <v>42218.074421296296</v>
      </c>
      <c r="E973" s="2">
        <v>42217.907812500001</v>
      </c>
      <c r="F973" s="1">
        <v>1</v>
      </c>
      <c r="G973" s="1">
        <v>2</v>
      </c>
      <c r="H973" s="1">
        <v>2</v>
      </c>
      <c r="I973" s="1">
        <v>2</v>
      </c>
      <c r="J973" s="1">
        <v>1</v>
      </c>
      <c r="K973" s="1">
        <v>1</v>
      </c>
      <c r="L973" s="3">
        <v>29.92</v>
      </c>
      <c r="M973" s="3" t="str">
        <f t="shared" si="150"/>
        <v>Aug</v>
      </c>
      <c r="N973" s="2">
        <v>42217.907766203702</v>
      </c>
      <c r="O973" s="1">
        <f t="shared" si="147"/>
        <v>1</v>
      </c>
      <c r="P973" s="1">
        <f t="shared" si="148"/>
        <v>7</v>
      </c>
      <c r="Q973" s="1">
        <f t="shared" si="149"/>
        <v>21</v>
      </c>
      <c r="S973"/>
      <c r="T973"/>
      <c r="U973"/>
    </row>
    <row r="974" spans="1:21" s="1" customFormat="1" x14ac:dyDescent="0.25">
      <c r="A974" s="1">
        <v>1020</v>
      </c>
      <c r="D974" s="2">
        <v>42240.988587962966</v>
      </c>
      <c r="E974" s="2">
        <v>42240.821956018517</v>
      </c>
      <c r="F974" s="1">
        <v>1</v>
      </c>
      <c r="G974" s="1">
        <v>20</v>
      </c>
      <c r="H974" s="1">
        <v>13</v>
      </c>
      <c r="I974" s="1">
        <v>5</v>
      </c>
      <c r="J974" s="1">
        <v>1</v>
      </c>
      <c r="K974" s="1">
        <v>3</v>
      </c>
      <c r="L974" s="3">
        <v>133.65</v>
      </c>
      <c r="M974" s="3" t="str">
        <f t="shared" si="150"/>
        <v>Aug</v>
      </c>
      <c r="N974" s="2">
        <v>42240.834918981483</v>
      </c>
      <c r="O974" s="1">
        <f t="shared" si="147"/>
        <v>24</v>
      </c>
      <c r="P974" s="1">
        <f t="shared" si="148"/>
        <v>2</v>
      </c>
      <c r="Q974" s="1">
        <f t="shared" si="149"/>
        <v>20</v>
      </c>
      <c r="S974"/>
      <c r="T974"/>
      <c r="U974"/>
    </row>
    <row r="975" spans="1:21" s="1" customFormat="1" x14ac:dyDescent="0.25">
      <c r="A975" s="1">
        <v>1021</v>
      </c>
      <c r="B975" s="1" t="s">
        <v>94</v>
      </c>
      <c r="C975" s="1" t="s">
        <v>915</v>
      </c>
      <c r="D975" s="2">
        <v>42006.803668981483</v>
      </c>
      <c r="E975" s="2">
        <v>42026.998032407406</v>
      </c>
      <c r="F975" s="1">
        <v>8</v>
      </c>
      <c r="G975" s="1">
        <v>2</v>
      </c>
      <c r="H975" s="1">
        <v>10</v>
      </c>
      <c r="I975" s="1">
        <v>6</v>
      </c>
      <c r="J975" s="1">
        <v>1</v>
      </c>
      <c r="K975" s="1">
        <v>4</v>
      </c>
      <c r="L975" s="4">
        <v>28.8</v>
      </c>
      <c r="M975" s="3" t="str">
        <f t="shared" si="150"/>
        <v>Jan</v>
      </c>
      <c r="N975" s="2">
        <v>42006.807627314818</v>
      </c>
      <c r="O975" s="1">
        <f t="shared" si="147"/>
        <v>2</v>
      </c>
      <c r="P975" s="1">
        <f t="shared" si="148"/>
        <v>6</v>
      </c>
      <c r="Q975" s="1">
        <f t="shared" si="149"/>
        <v>19</v>
      </c>
      <c r="S975"/>
      <c r="T975"/>
      <c r="U975"/>
    </row>
    <row r="976" spans="1:21" s="1" customFormat="1" x14ac:dyDescent="0.25">
      <c r="A976" s="1">
        <v>1022</v>
      </c>
      <c r="B976" s="1" t="s">
        <v>96</v>
      </c>
      <c r="C976" s="1" t="s">
        <v>916</v>
      </c>
      <c r="D976" s="2">
        <v>42022.467048611114</v>
      </c>
      <c r="E976" s="2">
        <v>42022.467094907406</v>
      </c>
      <c r="F976" s="1">
        <v>1</v>
      </c>
      <c r="G976" s="1">
        <v>0</v>
      </c>
      <c r="H976" s="1">
        <v>10</v>
      </c>
      <c r="I976" s="1">
        <v>4</v>
      </c>
      <c r="J976" s="1">
        <v>1</v>
      </c>
      <c r="K976" s="1">
        <v>4</v>
      </c>
      <c r="L976" s="4">
        <v>28.8</v>
      </c>
      <c r="M976" s="3" t="str">
        <f t="shared" si="150"/>
        <v>Jan</v>
      </c>
      <c r="N976" s="2">
        <v>42022.467060185183</v>
      </c>
      <c r="O976" s="1">
        <f t="shared" si="147"/>
        <v>18</v>
      </c>
      <c r="P976" s="1">
        <f t="shared" si="148"/>
        <v>1</v>
      </c>
      <c r="Q976" s="1">
        <f t="shared" si="149"/>
        <v>11</v>
      </c>
      <c r="S976"/>
      <c r="T976"/>
      <c r="U976"/>
    </row>
    <row r="977" spans="1:21" s="1" customFormat="1" x14ac:dyDescent="0.25">
      <c r="A977" s="1">
        <v>1023</v>
      </c>
      <c r="B977" s="1" t="s">
        <v>94</v>
      </c>
      <c r="C977" s="1" t="s">
        <v>641</v>
      </c>
      <c r="D977" s="2">
        <v>42034.626956018517</v>
      </c>
      <c r="E977" s="2">
        <v>42038.996261574073</v>
      </c>
      <c r="F977" s="1">
        <v>6</v>
      </c>
      <c r="G977" s="1">
        <v>2</v>
      </c>
      <c r="H977" s="1">
        <v>12</v>
      </c>
      <c r="I977" s="1">
        <v>7</v>
      </c>
      <c r="J977" s="1">
        <v>1</v>
      </c>
      <c r="K977" s="1">
        <v>5</v>
      </c>
      <c r="L977" s="4">
        <v>57.6</v>
      </c>
      <c r="M977" s="3" t="str">
        <f t="shared" si="150"/>
        <v>Jan</v>
      </c>
      <c r="N977" s="2">
        <v>42034.626967592594</v>
      </c>
      <c r="O977" s="1">
        <f t="shared" si="147"/>
        <v>30</v>
      </c>
      <c r="P977" s="1">
        <f t="shared" si="148"/>
        <v>6</v>
      </c>
      <c r="Q977" s="1">
        <f t="shared" si="149"/>
        <v>15</v>
      </c>
      <c r="S977"/>
      <c r="T977"/>
      <c r="U977"/>
    </row>
    <row r="978" spans="1:21" s="1" customFormat="1" x14ac:dyDescent="0.25">
      <c r="A978" s="1">
        <v>1024</v>
      </c>
      <c r="B978" s="1" t="s">
        <v>100</v>
      </c>
      <c r="C978" s="1" t="s">
        <v>751</v>
      </c>
      <c r="D978" s="2">
        <v>42159.653784722221</v>
      </c>
      <c r="E978" s="2">
        <v>42159.487187500003</v>
      </c>
      <c r="F978" s="1">
        <v>1</v>
      </c>
      <c r="G978" s="1">
        <v>0</v>
      </c>
      <c r="H978" s="1">
        <v>2</v>
      </c>
      <c r="I978" s="1">
        <v>2</v>
      </c>
      <c r="J978" s="1">
        <v>1</v>
      </c>
      <c r="K978" s="1">
        <v>1</v>
      </c>
      <c r="L978" s="3">
        <v>27</v>
      </c>
      <c r="M978" s="3" t="str">
        <f t="shared" si="150"/>
        <v>Jun</v>
      </c>
      <c r="N978" s="2">
        <v>42159.487129629626</v>
      </c>
      <c r="O978" s="1">
        <f t="shared" si="147"/>
        <v>4</v>
      </c>
      <c r="P978" s="1">
        <f t="shared" si="148"/>
        <v>5</v>
      </c>
      <c r="Q978" s="1">
        <f t="shared" si="149"/>
        <v>11</v>
      </c>
      <c r="S978"/>
      <c r="T978"/>
      <c r="U978"/>
    </row>
    <row r="979" spans="1:21" s="1" customFormat="1" x14ac:dyDescent="0.25">
      <c r="A979" s="1">
        <v>1025</v>
      </c>
      <c r="B979" s="1" t="s">
        <v>100</v>
      </c>
      <c r="C979" s="1" t="s">
        <v>917</v>
      </c>
      <c r="D979" s="2">
        <v>42218.807500000003</v>
      </c>
      <c r="E979" s="2">
        <v>42218.807557870372</v>
      </c>
      <c r="F979" s="1">
        <v>1</v>
      </c>
      <c r="G979" s="1">
        <v>2</v>
      </c>
      <c r="H979" s="1">
        <v>8</v>
      </c>
      <c r="I979" s="1">
        <v>2</v>
      </c>
      <c r="J979" s="1">
        <v>1</v>
      </c>
      <c r="K979" s="1">
        <v>4</v>
      </c>
      <c r="L979" s="3">
        <v>35.200000000000003</v>
      </c>
      <c r="M979" s="3" t="str">
        <f t="shared" si="150"/>
        <v>Aug</v>
      </c>
      <c r="N979" s="2">
        <v>42218.807511574072</v>
      </c>
      <c r="O979" s="1">
        <f t="shared" si="147"/>
        <v>2</v>
      </c>
      <c r="P979" s="1">
        <f t="shared" si="148"/>
        <v>1</v>
      </c>
      <c r="Q979" s="1">
        <f t="shared" si="149"/>
        <v>19</v>
      </c>
      <c r="S979"/>
      <c r="T979"/>
      <c r="U979"/>
    </row>
    <row r="980" spans="1:21" s="1" customFormat="1" x14ac:dyDescent="0.25">
      <c r="A980" s="1">
        <v>1026</v>
      </c>
      <c r="B980" s="1" t="s">
        <v>441</v>
      </c>
      <c r="C980" s="1" t="s">
        <v>918</v>
      </c>
      <c r="D980" s="2">
        <v>42184.815347222226</v>
      </c>
      <c r="E980" s="2">
        <v>42184.648738425924</v>
      </c>
      <c r="F980" s="1">
        <v>1</v>
      </c>
      <c r="G980" s="1">
        <v>6</v>
      </c>
      <c r="H980" s="1">
        <v>12</v>
      </c>
      <c r="I980" s="1">
        <v>4</v>
      </c>
      <c r="J980" s="1">
        <v>1</v>
      </c>
      <c r="K980" s="1">
        <v>4</v>
      </c>
      <c r="L980" s="3">
        <v>28.8</v>
      </c>
      <c r="M980" s="3" t="str">
        <f t="shared" si="150"/>
        <v>Jun</v>
      </c>
      <c r="N980" s="2">
        <v>42184.648692129631</v>
      </c>
      <c r="O980" s="1">
        <f t="shared" si="147"/>
        <v>29</v>
      </c>
      <c r="P980" s="1">
        <f t="shared" si="148"/>
        <v>2</v>
      </c>
      <c r="Q980" s="1">
        <f t="shared" si="149"/>
        <v>15</v>
      </c>
      <c r="S980"/>
      <c r="T980"/>
      <c r="U980"/>
    </row>
    <row r="981" spans="1:21" s="1" customFormat="1" x14ac:dyDescent="0.25">
      <c r="A981" s="1">
        <v>1027</v>
      </c>
      <c r="B981" s="1" t="s">
        <v>96</v>
      </c>
      <c r="C981" s="1" t="s">
        <v>919</v>
      </c>
      <c r="D981" s="2">
        <v>42182.504907407405</v>
      </c>
      <c r="E981" s="2">
        <v>42182.504953703705</v>
      </c>
      <c r="F981" s="1">
        <v>1</v>
      </c>
      <c r="G981" s="1">
        <v>10</v>
      </c>
      <c r="H981" s="1">
        <v>8</v>
      </c>
      <c r="I981" s="1">
        <v>4</v>
      </c>
      <c r="J981" s="1">
        <v>1</v>
      </c>
      <c r="K981" s="1">
        <v>2</v>
      </c>
      <c r="L981" s="3">
        <v>57.6</v>
      </c>
      <c r="M981" s="3" t="str">
        <f t="shared" si="150"/>
        <v>Jun</v>
      </c>
      <c r="N981" s="2">
        <v>42182.504907407405</v>
      </c>
      <c r="O981" s="1">
        <f t="shared" si="147"/>
        <v>27</v>
      </c>
      <c r="P981" s="1">
        <f t="shared" si="148"/>
        <v>7</v>
      </c>
      <c r="Q981" s="1">
        <f t="shared" si="149"/>
        <v>12</v>
      </c>
      <c r="S981"/>
      <c r="T981"/>
      <c r="U981"/>
    </row>
    <row r="982" spans="1:21" s="1" customFormat="1" x14ac:dyDescent="0.25">
      <c r="A982" s="1">
        <v>1028</v>
      </c>
      <c r="D982" s="2">
        <v>42077.829456018517</v>
      </c>
      <c r="E982" s="2">
        <v>42077.829513888886</v>
      </c>
      <c r="F982" s="1">
        <v>1</v>
      </c>
      <c r="G982" s="1">
        <v>4</v>
      </c>
      <c r="H982" s="1">
        <v>6</v>
      </c>
      <c r="I982" s="1">
        <v>6</v>
      </c>
      <c r="J982" s="1">
        <v>1</v>
      </c>
      <c r="K982" s="1">
        <v>2</v>
      </c>
      <c r="L982" s="4">
        <v>18</v>
      </c>
      <c r="M982" s="3" t="str">
        <f t="shared" si="150"/>
        <v>Mar</v>
      </c>
      <c r="N982" s="2">
        <v>42077.859398148146</v>
      </c>
      <c r="O982" s="1">
        <f t="shared" si="147"/>
        <v>14</v>
      </c>
      <c r="P982" s="1">
        <f t="shared" si="148"/>
        <v>7</v>
      </c>
      <c r="Q982" s="1">
        <f t="shared" si="149"/>
        <v>20</v>
      </c>
      <c r="S982"/>
      <c r="T982"/>
      <c r="U982"/>
    </row>
    <row r="983" spans="1:21" s="1" customFormat="1" x14ac:dyDescent="0.25">
      <c r="A983" s="1">
        <v>1029</v>
      </c>
      <c r="B983" s="1" t="s">
        <v>85</v>
      </c>
      <c r="C983" s="1" t="s">
        <v>115</v>
      </c>
      <c r="D983" s="2">
        <v>42250.640208333331</v>
      </c>
      <c r="E983" s="2">
        <v>42250.473587962966</v>
      </c>
      <c r="F983" s="1">
        <v>1</v>
      </c>
      <c r="G983" s="1">
        <v>16</v>
      </c>
      <c r="H983" s="1">
        <v>6</v>
      </c>
      <c r="I983" s="1">
        <v>2</v>
      </c>
      <c r="J983" s="1">
        <v>1</v>
      </c>
      <c r="K983" s="1">
        <v>1</v>
      </c>
      <c r="L983" s="3">
        <v>27.2</v>
      </c>
      <c r="M983" s="3" t="str">
        <f t="shared" si="150"/>
        <v>Sep</v>
      </c>
      <c r="N983" s="2">
        <v>42250.473541666666</v>
      </c>
      <c r="O983" s="1">
        <f t="shared" si="147"/>
        <v>3</v>
      </c>
      <c r="P983" s="1">
        <f t="shared" si="148"/>
        <v>5</v>
      </c>
      <c r="Q983" s="1">
        <f t="shared" si="149"/>
        <v>11</v>
      </c>
      <c r="S983"/>
      <c r="T983"/>
      <c r="U983"/>
    </row>
    <row r="984" spans="1:21" s="1" customFormat="1" x14ac:dyDescent="0.25">
      <c r="A984" s="1">
        <v>1030</v>
      </c>
      <c r="B984" s="1" t="s">
        <v>123</v>
      </c>
      <c r="C984" s="1" t="s">
        <v>920</v>
      </c>
      <c r="D984" s="2">
        <v>42024.899594907409</v>
      </c>
      <c r="E984" s="2">
        <v>42024.899629629632</v>
      </c>
      <c r="F984" s="1">
        <v>1</v>
      </c>
      <c r="G984" s="1">
        <v>0</v>
      </c>
      <c r="H984" s="1">
        <v>8</v>
      </c>
      <c r="I984" s="1">
        <v>2</v>
      </c>
      <c r="J984" s="1">
        <v>1</v>
      </c>
      <c r="K984" s="1">
        <v>4</v>
      </c>
      <c r="L984" s="4">
        <v>28.8</v>
      </c>
      <c r="M984" s="3" t="str">
        <f t="shared" si="150"/>
        <v>Jan</v>
      </c>
      <c r="N984" s="2">
        <v>42024.899606481478</v>
      </c>
      <c r="O984" s="1">
        <f t="shared" ref="O984:O987" si="151">DAY(N984)</f>
        <v>20</v>
      </c>
      <c r="P984" s="1">
        <f t="shared" ref="P984:P987" si="152">WEEKDAY(N984,1)</f>
        <v>3</v>
      </c>
      <c r="Q984" s="1">
        <f t="shared" ref="Q984:Q987" si="153">HOUR(N984)</f>
        <v>21</v>
      </c>
      <c r="S984"/>
      <c r="T984"/>
      <c r="U984"/>
    </row>
    <row r="985" spans="1:21" s="1" customFormat="1" x14ac:dyDescent="0.25">
      <c r="A985" s="1">
        <v>1031</v>
      </c>
      <c r="B985" s="1" t="s">
        <v>83</v>
      </c>
      <c r="C985" s="1" t="s">
        <v>921</v>
      </c>
      <c r="D985" s="2">
        <v>42178.372581018521</v>
      </c>
      <c r="E985" s="2">
        <v>42178.372615740744</v>
      </c>
      <c r="F985" s="1">
        <v>1</v>
      </c>
      <c r="G985" s="1">
        <v>4</v>
      </c>
      <c r="H985" s="1">
        <v>2</v>
      </c>
      <c r="I985" s="1">
        <v>2</v>
      </c>
      <c r="J985" s="1">
        <v>1</v>
      </c>
      <c r="K985" s="1">
        <v>1</v>
      </c>
      <c r="L985" s="3">
        <v>28.8</v>
      </c>
      <c r="M985" s="3" t="str">
        <f t="shared" si="150"/>
        <v>Jun</v>
      </c>
      <c r="N985" s="2">
        <v>42178.372581018521</v>
      </c>
      <c r="O985" s="1">
        <f t="shared" si="151"/>
        <v>23</v>
      </c>
      <c r="P985" s="1">
        <f t="shared" si="152"/>
        <v>3</v>
      </c>
      <c r="Q985" s="1">
        <f t="shared" si="153"/>
        <v>8</v>
      </c>
      <c r="S985"/>
      <c r="T985"/>
      <c r="U985"/>
    </row>
    <row r="986" spans="1:21" s="1" customFormat="1" x14ac:dyDescent="0.25">
      <c r="A986" s="1">
        <v>1032</v>
      </c>
      <c r="B986" s="1" t="s">
        <v>109</v>
      </c>
      <c r="C986" s="1" t="s">
        <v>922</v>
      </c>
      <c r="D986" s="2">
        <v>42161.561898148146</v>
      </c>
      <c r="E986" s="2">
        <v>42161.395300925928</v>
      </c>
      <c r="F986" s="1">
        <v>1</v>
      </c>
      <c r="G986" s="1">
        <v>0</v>
      </c>
      <c r="H986" s="1">
        <v>2</v>
      </c>
      <c r="I986" s="1">
        <v>2</v>
      </c>
      <c r="J986" s="1">
        <v>1</v>
      </c>
      <c r="K986" s="1">
        <v>1</v>
      </c>
      <c r="L986" s="3">
        <v>28.8</v>
      </c>
      <c r="M986" s="3" t="str">
        <f t="shared" si="150"/>
        <v>Jun</v>
      </c>
      <c r="N986" s="2">
        <v>42161.395243055558</v>
      </c>
      <c r="O986" s="1">
        <f t="shared" si="151"/>
        <v>6</v>
      </c>
      <c r="P986" s="1">
        <f t="shared" si="152"/>
        <v>7</v>
      </c>
      <c r="Q986" s="1">
        <f t="shared" si="153"/>
        <v>9</v>
      </c>
      <c r="S986"/>
      <c r="T986"/>
      <c r="U986"/>
    </row>
    <row r="987" spans="1:21" s="1" customFormat="1" x14ac:dyDescent="0.25">
      <c r="A987" s="1">
        <v>1033</v>
      </c>
      <c r="B987" s="1" t="s">
        <v>89</v>
      </c>
      <c r="C987" s="1" t="s">
        <v>923</v>
      </c>
      <c r="D987" s="2">
        <v>42242.557175925926</v>
      </c>
      <c r="E987" s="2">
        <v>42242.557210648149</v>
      </c>
      <c r="F987" s="1">
        <v>1</v>
      </c>
      <c r="G987" s="1">
        <v>2</v>
      </c>
      <c r="H987" s="1">
        <v>2</v>
      </c>
      <c r="I987" s="1">
        <v>4</v>
      </c>
      <c r="J987" s="1">
        <v>1</v>
      </c>
      <c r="K987" s="1">
        <v>1</v>
      </c>
      <c r="L987" s="3">
        <v>29.92</v>
      </c>
      <c r="M987" s="3" t="str">
        <f t="shared" si="150"/>
        <v>Aug</v>
      </c>
      <c r="N987" s="2">
        <v>42242.557175925926</v>
      </c>
      <c r="O987" s="1">
        <f t="shared" si="151"/>
        <v>26</v>
      </c>
      <c r="P987" s="1">
        <f t="shared" si="152"/>
        <v>4</v>
      </c>
      <c r="Q987" s="1">
        <f t="shared" si="153"/>
        <v>13</v>
      </c>
      <c r="S987"/>
      <c r="T987"/>
      <c r="U987"/>
    </row>
    <row r="988" spans="1:21" s="1" customFormat="1" x14ac:dyDescent="0.25">
      <c r="A988" s="1">
        <v>1035</v>
      </c>
      <c r="B988" s="1" t="s">
        <v>100</v>
      </c>
      <c r="C988" s="1" t="s">
        <v>924</v>
      </c>
      <c r="D988" s="2">
        <v>42147.813750000001</v>
      </c>
      <c r="E988" s="2">
        <v>42147.813784722224</v>
      </c>
      <c r="F988" s="1">
        <v>1</v>
      </c>
      <c r="G988" s="1">
        <v>2</v>
      </c>
      <c r="H988" s="1">
        <v>2</v>
      </c>
      <c r="I988" s="1">
        <v>2</v>
      </c>
      <c r="J988" s="1">
        <v>1</v>
      </c>
      <c r="K988" s="1">
        <v>2</v>
      </c>
      <c r="L988" s="3">
        <v>18</v>
      </c>
      <c r="M988" s="3" t="str">
        <f t="shared" si="150"/>
        <v>May</v>
      </c>
      <c r="N988" s="2">
        <v>42147.813761574071</v>
      </c>
      <c r="O988" s="1">
        <f t="shared" ref="O988:O998" si="154">DAY(N988)</f>
        <v>23</v>
      </c>
      <c r="P988" s="1">
        <f t="shared" ref="P988:P998" si="155">WEEKDAY(N988,1)</f>
        <v>7</v>
      </c>
      <c r="Q988" s="1">
        <f t="shared" ref="Q988:Q998" si="156">HOUR(N988)</f>
        <v>19</v>
      </c>
      <c r="S988"/>
      <c r="T988"/>
      <c r="U988"/>
    </row>
    <row r="989" spans="1:21" s="1" customFormat="1" x14ac:dyDescent="0.25">
      <c r="A989" s="1">
        <v>1036</v>
      </c>
      <c r="B989" s="1" t="s">
        <v>103</v>
      </c>
      <c r="C989" s="1" t="s">
        <v>925</v>
      </c>
      <c r="D989" s="2">
        <v>42053.466493055559</v>
      </c>
      <c r="E989" s="2">
        <v>42053.466550925928</v>
      </c>
      <c r="F989" s="1">
        <v>1</v>
      </c>
      <c r="G989" s="1">
        <v>2</v>
      </c>
      <c r="H989" s="1">
        <v>10</v>
      </c>
      <c r="I989" s="1">
        <v>1</v>
      </c>
      <c r="J989" s="1">
        <v>1</v>
      </c>
      <c r="K989" s="1">
        <v>4</v>
      </c>
      <c r="L989" s="4">
        <v>28.8</v>
      </c>
      <c r="M989" s="3" t="str">
        <f t="shared" si="150"/>
        <v>Feb</v>
      </c>
      <c r="N989" s="2">
        <v>42053.466504629629</v>
      </c>
      <c r="O989" s="1">
        <f t="shared" si="154"/>
        <v>18</v>
      </c>
      <c r="P989" s="1">
        <f t="shared" si="155"/>
        <v>4</v>
      </c>
      <c r="Q989" s="1">
        <f t="shared" si="156"/>
        <v>11</v>
      </c>
      <c r="S989"/>
      <c r="T989"/>
      <c r="U989"/>
    </row>
    <row r="990" spans="1:21" s="1" customFormat="1" x14ac:dyDescent="0.25">
      <c r="A990" s="1">
        <v>1037</v>
      </c>
      <c r="B990" s="1" t="s">
        <v>119</v>
      </c>
      <c r="C990" s="1" t="s">
        <v>926</v>
      </c>
      <c r="D990" s="2">
        <v>42088.74</v>
      </c>
      <c r="E990" s="2">
        <v>42088.740046296298</v>
      </c>
      <c r="F990" s="1">
        <v>1</v>
      </c>
      <c r="G990" s="1">
        <v>2</v>
      </c>
      <c r="H990" s="1">
        <v>20</v>
      </c>
      <c r="I990" s="1">
        <v>3</v>
      </c>
      <c r="J990" s="1">
        <v>1</v>
      </c>
      <c r="K990" s="1">
        <v>6</v>
      </c>
      <c r="L990" s="4">
        <v>43.2</v>
      </c>
      <c r="M990" s="3" t="str">
        <f t="shared" si="150"/>
        <v>Mar</v>
      </c>
      <c r="N990" s="2">
        <v>42088.741736111115</v>
      </c>
      <c r="O990" s="1">
        <f t="shared" si="154"/>
        <v>25</v>
      </c>
      <c r="P990" s="1">
        <f t="shared" si="155"/>
        <v>4</v>
      </c>
      <c r="Q990" s="1">
        <f t="shared" si="156"/>
        <v>17</v>
      </c>
      <c r="S990"/>
      <c r="T990"/>
      <c r="U990"/>
    </row>
    <row r="991" spans="1:21" s="1" customFormat="1" x14ac:dyDescent="0.25">
      <c r="A991" s="1">
        <v>1038</v>
      </c>
      <c r="B991" s="1" t="s">
        <v>893</v>
      </c>
      <c r="C991" s="1" t="s">
        <v>927</v>
      </c>
      <c r="D991" s="2">
        <v>42024.482037037036</v>
      </c>
      <c r="E991" s="2">
        <v>42024.482106481482</v>
      </c>
      <c r="F991" s="1">
        <v>1</v>
      </c>
      <c r="G991" s="1">
        <v>2</v>
      </c>
      <c r="H991" s="1">
        <v>10</v>
      </c>
      <c r="I991" s="1">
        <v>2</v>
      </c>
      <c r="J991" s="1">
        <v>1</v>
      </c>
      <c r="K991" s="1">
        <v>5</v>
      </c>
      <c r="L991" s="4">
        <v>36</v>
      </c>
      <c r="M991" s="3" t="str">
        <f t="shared" si="150"/>
        <v>Jan</v>
      </c>
      <c r="N991" s="2">
        <v>42024.482071759259</v>
      </c>
      <c r="O991" s="1">
        <f t="shared" si="154"/>
        <v>20</v>
      </c>
      <c r="P991" s="1">
        <f t="shared" si="155"/>
        <v>3</v>
      </c>
      <c r="Q991" s="1">
        <f t="shared" si="156"/>
        <v>11</v>
      </c>
      <c r="S991"/>
      <c r="T991"/>
      <c r="U991"/>
    </row>
    <row r="992" spans="1:21" s="1" customFormat="1" x14ac:dyDescent="0.25">
      <c r="A992" s="1">
        <v>1039</v>
      </c>
      <c r="D992" s="2">
        <v>41985.702430555553</v>
      </c>
      <c r="E992" s="2">
        <v>42170.398761574077</v>
      </c>
      <c r="F992" s="1">
        <v>3</v>
      </c>
      <c r="G992" s="1">
        <v>1</v>
      </c>
      <c r="H992" s="1">
        <v>3</v>
      </c>
      <c r="I992" s="1">
        <v>3</v>
      </c>
      <c r="J992" s="1">
        <v>1</v>
      </c>
      <c r="K992" s="1">
        <v>2</v>
      </c>
      <c r="L992" s="3">
        <v>9</v>
      </c>
      <c r="M992" s="3" t="str">
        <f t="shared" si="150"/>
        <v>Jun</v>
      </c>
      <c r="N992" s="2">
        <v>42170.40011574074</v>
      </c>
      <c r="O992" s="1">
        <f t="shared" si="154"/>
        <v>15</v>
      </c>
      <c r="P992" s="1">
        <f t="shared" si="155"/>
        <v>2</v>
      </c>
      <c r="Q992" s="1">
        <f t="shared" si="156"/>
        <v>9</v>
      </c>
      <c r="S992"/>
      <c r="T992"/>
      <c r="U992"/>
    </row>
    <row r="993" spans="1:21" s="1" customFormat="1" x14ac:dyDescent="0.25">
      <c r="A993" s="1">
        <v>1040</v>
      </c>
      <c r="D993" s="2">
        <v>42073.604085648149</v>
      </c>
      <c r="E993" s="2">
        <v>42073.60429398148</v>
      </c>
      <c r="F993" s="1">
        <v>1</v>
      </c>
      <c r="G993" s="1">
        <v>0</v>
      </c>
      <c r="H993" s="1">
        <v>6</v>
      </c>
      <c r="I993" s="1">
        <v>1</v>
      </c>
      <c r="J993" s="1">
        <v>1</v>
      </c>
      <c r="K993" s="1">
        <v>3</v>
      </c>
      <c r="L993" s="4">
        <v>21.6</v>
      </c>
      <c r="M993" s="3" t="str">
        <f t="shared" si="150"/>
        <v>Mar</v>
      </c>
      <c r="N993" s="2">
        <v>42073.604108796295</v>
      </c>
      <c r="O993" s="1">
        <f t="shared" si="154"/>
        <v>10</v>
      </c>
      <c r="P993" s="1">
        <f t="shared" si="155"/>
        <v>3</v>
      </c>
      <c r="Q993" s="1">
        <f t="shared" si="156"/>
        <v>14</v>
      </c>
      <c r="S993"/>
      <c r="T993"/>
      <c r="U993"/>
    </row>
    <row r="994" spans="1:21" s="1" customFormat="1" x14ac:dyDescent="0.25">
      <c r="A994" s="1">
        <v>1041</v>
      </c>
      <c r="B994" s="1" t="s">
        <v>100</v>
      </c>
      <c r="C994" s="1" t="s">
        <v>651</v>
      </c>
      <c r="D994" s="2">
        <v>42212.696817129632</v>
      </c>
      <c r="E994" s="2">
        <v>42212.696863425925</v>
      </c>
      <c r="F994" s="1">
        <v>1</v>
      </c>
      <c r="G994" s="1">
        <v>6</v>
      </c>
      <c r="H994" s="1">
        <v>8</v>
      </c>
      <c r="I994" s="1">
        <v>5</v>
      </c>
      <c r="J994" s="1">
        <v>1</v>
      </c>
      <c r="K994" s="1">
        <v>3</v>
      </c>
      <c r="L994" s="3">
        <v>50.24</v>
      </c>
      <c r="M994" s="3" t="str">
        <f t="shared" si="150"/>
        <v>Jul</v>
      </c>
      <c r="N994" s="2">
        <v>42212.696817129632</v>
      </c>
      <c r="O994" s="1">
        <f t="shared" si="154"/>
        <v>27</v>
      </c>
      <c r="P994" s="1">
        <f t="shared" si="155"/>
        <v>2</v>
      </c>
      <c r="Q994" s="1">
        <f t="shared" si="156"/>
        <v>16</v>
      </c>
      <c r="S994"/>
      <c r="T994"/>
      <c r="U994"/>
    </row>
    <row r="995" spans="1:21" s="1" customFormat="1" x14ac:dyDescent="0.25">
      <c r="A995" s="1">
        <v>1042</v>
      </c>
      <c r="B995" s="1" t="s">
        <v>137</v>
      </c>
      <c r="C995" s="1" t="s">
        <v>928</v>
      </c>
      <c r="D995" s="2">
        <v>42198.546041666668</v>
      </c>
      <c r="E995" s="2">
        <v>42198.379432870373</v>
      </c>
      <c r="F995" s="1">
        <v>1</v>
      </c>
      <c r="G995" s="1">
        <v>4</v>
      </c>
      <c r="H995" s="1">
        <v>4</v>
      </c>
      <c r="I995" s="1">
        <v>2</v>
      </c>
      <c r="J995" s="1">
        <v>1</v>
      </c>
      <c r="K995" s="1">
        <v>2</v>
      </c>
      <c r="L995" s="3">
        <v>57.6</v>
      </c>
      <c r="M995" s="3" t="str">
        <f t="shared" si="150"/>
        <v>Jul</v>
      </c>
      <c r="N995" s="2">
        <v>42198.379386574074</v>
      </c>
      <c r="O995" s="1">
        <f t="shared" si="154"/>
        <v>13</v>
      </c>
      <c r="P995" s="1">
        <f t="shared" si="155"/>
        <v>2</v>
      </c>
      <c r="Q995" s="1">
        <f t="shared" si="156"/>
        <v>9</v>
      </c>
      <c r="S995"/>
      <c r="T995"/>
      <c r="U995"/>
    </row>
    <row r="996" spans="1:21" s="1" customFormat="1" x14ac:dyDescent="0.25">
      <c r="A996" s="1">
        <v>1043</v>
      </c>
      <c r="B996" s="1" t="s">
        <v>400</v>
      </c>
      <c r="C996" s="1" t="s">
        <v>929</v>
      </c>
      <c r="D996" s="2">
        <v>42095.599641203706</v>
      </c>
      <c r="E996" s="2">
        <v>42095.599710648145</v>
      </c>
      <c r="F996" s="1">
        <v>1</v>
      </c>
      <c r="G996" s="1">
        <v>2</v>
      </c>
      <c r="H996" s="1">
        <v>6</v>
      </c>
      <c r="I996" s="1">
        <v>1</v>
      </c>
      <c r="J996" s="1">
        <v>1</v>
      </c>
      <c r="K996" s="1">
        <v>3</v>
      </c>
      <c r="L996" s="4">
        <v>27</v>
      </c>
      <c r="M996" s="3" t="str">
        <f t="shared" si="150"/>
        <v>Apr</v>
      </c>
      <c r="N996" s="2">
        <v>42095.599652777775</v>
      </c>
      <c r="O996" s="1">
        <f t="shared" si="154"/>
        <v>1</v>
      </c>
      <c r="P996" s="1">
        <f t="shared" si="155"/>
        <v>4</v>
      </c>
      <c r="Q996" s="1">
        <f t="shared" si="156"/>
        <v>14</v>
      </c>
      <c r="S996"/>
      <c r="T996"/>
      <c r="U996"/>
    </row>
    <row r="997" spans="1:21" s="1" customFormat="1" x14ac:dyDescent="0.25">
      <c r="A997" s="1">
        <v>1044</v>
      </c>
      <c r="B997" s="1" t="s">
        <v>83</v>
      </c>
      <c r="C997" s="1" t="s">
        <v>930</v>
      </c>
      <c r="D997" s="2">
        <v>42082.857152777775</v>
      </c>
      <c r="E997" s="2">
        <v>42082.857291666667</v>
      </c>
      <c r="F997" s="1">
        <v>1</v>
      </c>
      <c r="G997" s="1">
        <v>0</v>
      </c>
      <c r="H997" s="1">
        <v>6</v>
      </c>
      <c r="I997" s="1">
        <v>1</v>
      </c>
      <c r="J997" s="1">
        <v>1</v>
      </c>
      <c r="K997" s="1">
        <v>3</v>
      </c>
      <c r="L997" s="4">
        <v>21.6</v>
      </c>
      <c r="M997" s="3" t="str">
        <f t="shared" si="150"/>
        <v>Mar</v>
      </c>
      <c r="N997" s="2">
        <v>42082.857164351852</v>
      </c>
      <c r="O997" s="1">
        <f t="shared" si="154"/>
        <v>19</v>
      </c>
      <c r="P997" s="1">
        <f t="shared" si="155"/>
        <v>5</v>
      </c>
      <c r="Q997" s="1">
        <f t="shared" si="156"/>
        <v>20</v>
      </c>
      <c r="S997"/>
      <c r="T997"/>
      <c r="U997"/>
    </row>
    <row r="998" spans="1:21" s="1" customFormat="1" x14ac:dyDescent="0.25">
      <c r="A998" s="1">
        <v>1045</v>
      </c>
      <c r="B998" s="1" t="s">
        <v>100</v>
      </c>
      <c r="C998" s="1" t="s">
        <v>931</v>
      </c>
      <c r="D998" s="2">
        <v>42237.016516203701</v>
      </c>
      <c r="E998" s="2">
        <v>42236.849895833337</v>
      </c>
      <c r="F998" s="1">
        <v>1</v>
      </c>
      <c r="G998" s="1">
        <v>2</v>
      </c>
      <c r="H998" s="1">
        <v>2</v>
      </c>
      <c r="I998" s="1">
        <v>2</v>
      </c>
      <c r="J998" s="1">
        <v>1</v>
      </c>
      <c r="K998" s="1">
        <v>1</v>
      </c>
      <c r="L998" s="3">
        <v>56.32</v>
      </c>
      <c r="M998" s="3" t="str">
        <f t="shared" si="150"/>
        <v>Aug</v>
      </c>
      <c r="N998" s="2">
        <v>42236.849861111114</v>
      </c>
      <c r="O998" s="1">
        <f t="shared" si="154"/>
        <v>20</v>
      </c>
      <c r="P998" s="1">
        <f t="shared" si="155"/>
        <v>5</v>
      </c>
      <c r="Q998" s="1">
        <f t="shared" si="156"/>
        <v>20</v>
      </c>
      <c r="S998"/>
      <c r="T998"/>
      <c r="U998"/>
    </row>
    <row r="999" spans="1:21" s="1" customFormat="1" x14ac:dyDescent="0.25">
      <c r="A999" s="1">
        <v>1047</v>
      </c>
      <c r="D999" s="2">
        <v>42115.66646990741</v>
      </c>
      <c r="E999" s="2">
        <v>42116.856006944443</v>
      </c>
      <c r="F999" s="1">
        <v>2</v>
      </c>
      <c r="G999" s="1">
        <v>0</v>
      </c>
      <c r="H999" s="1">
        <v>10</v>
      </c>
      <c r="I999" s="1">
        <v>2</v>
      </c>
      <c r="J999" s="1">
        <v>1</v>
      </c>
      <c r="K999" s="1">
        <v>3</v>
      </c>
      <c r="L999" s="4">
        <v>43.2</v>
      </c>
      <c r="M999" s="3" t="str">
        <f t="shared" si="150"/>
        <v>Apr</v>
      </c>
      <c r="N999" s="2">
        <v>42115.666724537034</v>
      </c>
      <c r="O999" s="1">
        <f t="shared" ref="O999:O1001" si="157">DAY(N999)</f>
        <v>21</v>
      </c>
      <c r="P999" s="1">
        <f t="shared" ref="P999:P1001" si="158">WEEKDAY(N999,1)</f>
        <v>3</v>
      </c>
      <c r="Q999" s="1">
        <f t="shared" ref="Q999:Q1001" si="159">HOUR(N999)</f>
        <v>16</v>
      </c>
      <c r="S999"/>
      <c r="T999"/>
      <c r="U999"/>
    </row>
    <row r="1000" spans="1:21" s="1" customFormat="1" x14ac:dyDescent="0.25">
      <c r="A1000" s="1">
        <v>1048</v>
      </c>
      <c r="B1000" s="1" t="s">
        <v>195</v>
      </c>
      <c r="C1000" s="1" t="s">
        <v>932</v>
      </c>
      <c r="D1000" s="2">
        <v>42082.659687500003</v>
      </c>
      <c r="E1000" s="2">
        <v>42082.659722222219</v>
      </c>
      <c r="F1000" s="1">
        <v>1</v>
      </c>
      <c r="G1000" s="1">
        <v>0</v>
      </c>
      <c r="H1000" s="1">
        <v>2</v>
      </c>
      <c r="I1000" s="1">
        <v>2</v>
      </c>
      <c r="J1000" s="1">
        <v>1</v>
      </c>
      <c r="K1000" s="1">
        <v>1</v>
      </c>
      <c r="L1000" s="4">
        <v>36</v>
      </c>
      <c r="M1000" s="3" t="str">
        <f t="shared" si="150"/>
        <v>Mar</v>
      </c>
      <c r="N1000" s="2">
        <v>42082.661828703705</v>
      </c>
      <c r="O1000" s="1">
        <f t="shared" si="157"/>
        <v>19</v>
      </c>
      <c r="P1000" s="1">
        <f t="shared" si="158"/>
        <v>5</v>
      </c>
      <c r="Q1000" s="1">
        <f t="shared" si="159"/>
        <v>15</v>
      </c>
      <c r="S1000"/>
      <c r="T1000"/>
      <c r="U1000"/>
    </row>
    <row r="1001" spans="1:21" s="1" customFormat="1" x14ac:dyDescent="0.25">
      <c r="A1001" s="1">
        <v>1049</v>
      </c>
      <c r="B1001" s="1" t="s">
        <v>239</v>
      </c>
      <c r="C1001" s="1" t="s">
        <v>933</v>
      </c>
      <c r="D1001" s="2">
        <v>42095.393819444442</v>
      </c>
      <c r="E1001" s="2">
        <v>42095.393865740742</v>
      </c>
      <c r="F1001" s="1">
        <v>1</v>
      </c>
      <c r="G1001" s="1">
        <v>2</v>
      </c>
      <c r="H1001" s="1">
        <v>2</v>
      </c>
      <c r="I1001" s="1">
        <v>2</v>
      </c>
      <c r="J1001" s="1">
        <v>1</v>
      </c>
      <c r="K1001" s="1">
        <v>1</v>
      </c>
      <c r="L1001" s="4">
        <v>28.8</v>
      </c>
      <c r="M1001" s="3" t="str">
        <f t="shared" si="150"/>
        <v>Apr</v>
      </c>
      <c r="N1001" s="2">
        <v>42095.393831018519</v>
      </c>
      <c r="O1001" s="1">
        <f t="shared" si="157"/>
        <v>1</v>
      </c>
      <c r="P1001" s="1">
        <f t="shared" si="158"/>
        <v>4</v>
      </c>
      <c r="Q1001" s="1">
        <f t="shared" si="159"/>
        <v>9</v>
      </c>
      <c r="S1001"/>
      <c r="T1001"/>
      <c r="U1001"/>
    </row>
    <row r="1002" spans="1:21" s="1" customFormat="1" x14ac:dyDescent="0.25">
      <c r="A1002" s="1">
        <v>1051</v>
      </c>
      <c r="D1002" s="2">
        <v>42015.576053240744</v>
      </c>
      <c r="E1002" s="2">
        <v>42030.441076388888</v>
      </c>
      <c r="F1002" s="1">
        <v>4</v>
      </c>
      <c r="G1002" s="1">
        <v>4</v>
      </c>
      <c r="H1002" s="1">
        <v>11</v>
      </c>
      <c r="I1002" s="1">
        <v>3</v>
      </c>
      <c r="J1002" s="1">
        <v>1</v>
      </c>
      <c r="K1002" s="1">
        <v>2</v>
      </c>
      <c r="L1002" s="4">
        <v>72</v>
      </c>
      <c r="M1002" s="3" t="str">
        <f t="shared" si="150"/>
        <v>Jan</v>
      </c>
      <c r="N1002" s="2">
        <v>42030.444432870368</v>
      </c>
      <c r="O1002" s="1">
        <f t="shared" ref="O1002:O1015" si="160">DAY(N1002)</f>
        <v>26</v>
      </c>
      <c r="P1002" s="1">
        <f t="shared" ref="P1002:P1015" si="161">WEEKDAY(N1002,1)</f>
        <v>2</v>
      </c>
      <c r="Q1002" s="1">
        <f t="shared" ref="Q1002:Q1015" si="162">HOUR(N1002)</f>
        <v>10</v>
      </c>
      <c r="S1002"/>
      <c r="T1002"/>
      <c r="U1002"/>
    </row>
    <row r="1003" spans="1:21" s="1" customFormat="1" x14ac:dyDescent="0.25">
      <c r="A1003" s="1">
        <v>1052</v>
      </c>
      <c r="B1003" s="1" t="s">
        <v>109</v>
      </c>
      <c r="C1003" s="1" t="s">
        <v>934</v>
      </c>
      <c r="D1003" s="2">
        <v>42249.519363425927</v>
      </c>
      <c r="E1003" s="2">
        <v>42249.519409722219</v>
      </c>
      <c r="F1003" s="1">
        <v>1</v>
      </c>
      <c r="G1003" s="1">
        <v>2</v>
      </c>
      <c r="H1003" s="1">
        <v>2</v>
      </c>
      <c r="I1003" s="1">
        <v>4</v>
      </c>
      <c r="J1003" s="1">
        <v>1</v>
      </c>
      <c r="K1003" s="1">
        <v>1</v>
      </c>
      <c r="L1003" s="3">
        <v>29.92</v>
      </c>
      <c r="M1003" s="3" t="str">
        <f t="shared" si="150"/>
        <v>Sep</v>
      </c>
      <c r="N1003" s="2">
        <v>42249.519363425927</v>
      </c>
      <c r="O1003" s="1">
        <f t="shared" si="160"/>
        <v>2</v>
      </c>
      <c r="P1003" s="1">
        <f t="shared" si="161"/>
        <v>4</v>
      </c>
      <c r="Q1003" s="1">
        <f t="shared" si="162"/>
        <v>12</v>
      </c>
      <c r="S1003"/>
      <c r="T1003"/>
      <c r="U1003"/>
    </row>
    <row r="1004" spans="1:21" s="1" customFormat="1" x14ac:dyDescent="0.25">
      <c r="A1004" s="1">
        <v>1053</v>
      </c>
      <c r="B1004" s="1" t="s">
        <v>354</v>
      </c>
      <c r="C1004" s="1" t="s">
        <v>935</v>
      </c>
      <c r="D1004" s="2">
        <v>42080.577361111114</v>
      </c>
      <c r="E1004" s="2">
        <v>42080.57739583333</v>
      </c>
      <c r="F1004" s="1">
        <v>1</v>
      </c>
      <c r="G1004" s="1">
        <v>4</v>
      </c>
      <c r="H1004" s="1">
        <v>2</v>
      </c>
      <c r="I1004" s="1">
        <v>2</v>
      </c>
      <c r="J1004" s="1">
        <v>1</v>
      </c>
      <c r="K1004" s="1">
        <v>1</v>
      </c>
      <c r="L1004" s="4">
        <v>36</v>
      </c>
      <c r="M1004" s="3" t="str">
        <f t="shared" si="150"/>
        <v>Mar</v>
      </c>
      <c r="N1004" s="2">
        <v>42080.581423611111</v>
      </c>
      <c r="O1004" s="1">
        <f t="shared" si="160"/>
        <v>17</v>
      </c>
      <c r="P1004" s="1">
        <f t="shared" si="161"/>
        <v>3</v>
      </c>
      <c r="Q1004" s="1">
        <f t="shared" si="162"/>
        <v>13</v>
      </c>
      <c r="S1004"/>
      <c r="T1004"/>
      <c r="U1004"/>
    </row>
    <row r="1005" spans="1:21" s="1" customFormat="1" x14ac:dyDescent="0.25">
      <c r="A1005" s="1">
        <v>1054</v>
      </c>
      <c r="B1005" s="1" t="s">
        <v>96</v>
      </c>
      <c r="C1005" s="1" t="s">
        <v>936</v>
      </c>
      <c r="D1005" s="2">
        <v>42163.010358796295</v>
      </c>
      <c r="E1005" s="2">
        <v>42162.84375</v>
      </c>
      <c r="F1005" s="1">
        <v>1</v>
      </c>
      <c r="G1005" s="1">
        <v>0</v>
      </c>
      <c r="H1005" s="1">
        <v>2</v>
      </c>
      <c r="I1005" s="1">
        <v>2</v>
      </c>
      <c r="J1005" s="1">
        <v>1</v>
      </c>
      <c r="K1005" s="1">
        <v>1</v>
      </c>
      <c r="L1005" s="3">
        <v>27</v>
      </c>
      <c r="M1005" s="3" t="str">
        <f t="shared" si="150"/>
        <v>Jun</v>
      </c>
      <c r="N1005" s="2">
        <v>42162.8437037037</v>
      </c>
      <c r="O1005" s="1">
        <f t="shared" si="160"/>
        <v>7</v>
      </c>
      <c r="P1005" s="1">
        <f t="shared" si="161"/>
        <v>1</v>
      </c>
      <c r="Q1005" s="1">
        <f t="shared" si="162"/>
        <v>20</v>
      </c>
      <c r="S1005"/>
      <c r="T1005"/>
      <c r="U1005"/>
    </row>
    <row r="1006" spans="1:21" s="1" customFormat="1" x14ac:dyDescent="0.25">
      <c r="A1006" s="1">
        <v>1055</v>
      </c>
      <c r="B1006" s="1" t="s">
        <v>80</v>
      </c>
      <c r="C1006" s="1" t="s">
        <v>937</v>
      </c>
      <c r="D1006" s="2">
        <v>42153.873726851853</v>
      </c>
      <c r="E1006" s="2">
        <v>42153.873761574076</v>
      </c>
      <c r="F1006" s="1">
        <v>1</v>
      </c>
      <c r="G1006" s="1">
        <v>0</v>
      </c>
      <c r="H1006" s="1">
        <v>4</v>
      </c>
      <c r="I1006" s="1">
        <v>2</v>
      </c>
      <c r="J1006" s="1">
        <v>1</v>
      </c>
      <c r="K1006" s="1">
        <v>2</v>
      </c>
      <c r="L1006" s="3">
        <v>14.4</v>
      </c>
      <c r="M1006" s="3" t="str">
        <f t="shared" si="150"/>
        <v>May</v>
      </c>
      <c r="N1006" s="2">
        <v>42153.873726851853</v>
      </c>
      <c r="O1006" s="1">
        <f t="shared" si="160"/>
        <v>29</v>
      </c>
      <c r="P1006" s="1">
        <f t="shared" si="161"/>
        <v>6</v>
      </c>
      <c r="Q1006" s="1">
        <f t="shared" si="162"/>
        <v>20</v>
      </c>
      <c r="S1006"/>
      <c r="T1006"/>
      <c r="U1006"/>
    </row>
    <row r="1007" spans="1:21" s="1" customFormat="1" x14ac:dyDescent="0.25">
      <c r="A1007" s="1">
        <v>1056</v>
      </c>
      <c r="B1007" s="1" t="s">
        <v>94</v>
      </c>
      <c r="C1007" s="1" t="s">
        <v>938</v>
      </c>
      <c r="D1007" s="2">
        <v>42128.682337962964</v>
      </c>
      <c r="E1007" s="2">
        <v>42128.807800925926</v>
      </c>
      <c r="F1007" s="1">
        <v>3</v>
      </c>
      <c r="G1007" s="1">
        <v>0</v>
      </c>
      <c r="H1007" s="1">
        <v>6</v>
      </c>
      <c r="I1007" s="1">
        <v>2</v>
      </c>
      <c r="J1007" s="1">
        <v>1</v>
      </c>
      <c r="K1007" s="1">
        <v>3</v>
      </c>
      <c r="L1007" s="4">
        <v>27</v>
      </c>
      <c r="M1007" s="3" t="str">
        <f t="shared" si="150"/>
        <v>May</v>
      </c>
      <c r="N1007" s="2">
        <v>42128.682349537034</v>
      </c>
      <c r="O1007" s="1">
        <f t="shared" si="160"/>
        <v>4</v>
      </c>
      <c r="P1007" s="1">
        <f t="shared" si="161"/>
        <v>2</v>
      </c>
      <c r="Q1007" s="1">
        <f t="shared" si="162"/>
        <v>16</v>
      </c>
      <c r="S1007"/>
      <c r="T1007"/>
      <c r="U1007"/>
    </row>
    <row r="1008" spans="1:21" s="1" customFormat="1" x14ac:dyDescent="0.25">
      <c r="A1008" s="1">
        <v>1057</v>
      </c>
      <c r="B1008" s="1" t="s">
        <v>147</v>
      </c>
      <c r="C1008" s="1" t="s">
        <v>471</v>
      </c>
      <c r="D1008" s="2">
        <v>42145.583981481483</v>
      </c>
      <c r="E1008" s="2">
        <v>42145.584004629629</v>
      </c>
      <c r="F1008" s="1">
        <v>1</v>
      </c>
      <c r="G1008" s="1">
        <v>2</v>
      </c>
      <c r="H1008" s="1">
        <v>6</v>
      </c>
      <c r="I1008" s="1">
        <v>2</v>
      </c>
      <c r="J1008" s="1">
        <v>1</v>
      </c>
      <c r="K1008" s="1">
        <v>3</v>
      </c>
      <c r="L1008" s="4">
        <v>21.6</v>
      </c>
      <c r="M1008" s="3" t="str">
        <f t="shared" si="150"/>
        <v>May</v>
      </c>
      <c r="N1008" s="2">
        <v>42145.583981481483</v>
      </c>
      <c r="O1008" s="1">
        <f t="shared" si="160"/>
        <v>21</v>
      </c>
      <c r="P1008" s="1">
        <f t="shared" si="161"/>
        <v>5</v>
      </c>
      <c r="Q1008" s="1">
        <f t="shared" si="162"/>
        <v>14</v>
      </c>
      <c r="S1008"/>
      <c r="T1008"/>
      <c r="U1008"/>
    </row>
    <row r="1009" spans="1:21" s="1" customFormat="1" x14ac:dyDescent="0.25">
      <c r="A1009" s="1">
        <v>1058</v>
      </c>
      <c r="B1009" s="1" t="s">
        <v>83</v>
      </c>
      <c r="C1009" s="1" t="s">
        <v>939</v>
      </c>
      <c r="D1009" s="2">
        <v>42051.766423611109</v>
      </c>
      <c r="E1009" s="2">
        <v>42051.766516203701</v>
      </c>
      <c r="F1009" s="1">
        <v>1</v>
      </c>
      <c r="G1009" s="1">
        <v>0</v>
      </c>
      <c r="H1009" s="1">
        <v>16</v>
      </c>
      <c r="I1009" s="1">
        <v>1</v>
      </c>
      <c r="J1009" s="1">
        <v>1</v>
      </c>
      <c r="K1009" s="1">
        <v>7</v>
      </c>
      <c r="L1009" s="4">
        <v>49.99</v>
      </c>
      <c r="M1009" s="3" t="str">
        <f t="shared" si="150"/>
        <v>Feb</v>
      </c>
      <c r="N1009" s="2">
        <v>42051.766458333332</v>
      </c>
      <c r="O1009" s="1">
        <f t="shared" si="160"/>
        <v>16</v>
      </c>
      <c r="P1009" s="1">
        <f t="shared" si="161"/>
        <v>2</v>
      </c>
      <c r="Q1009" s="1">
        <f t="shared" si="162"/>
        <v>18</v>
      </c>
      <c r="S1009"/>
      <c r="T1009"/>
      <c r="U1009"/>
    </row>
    <row r="1010" spans="1:21" s="1" customFormat="1" x14ac:dyDescent="0.25">
      <c r="A1010" s="1">
        <v>1059</v>
      </c>
      <c r="D1010" s="2">
        <v>42033.465821759259</v>
      </c>
      <c r="E1010" s="2">
        <v>42033.4684837963</v>
      </c>
      <c r="F1010" s="1">
        <v>2</v>
      </c>
      <c r="G1010" s="1">
        <v>2</v>
      </c>
      <c r="H1010" s="1">
        <v>2</v>
      </c>
      <c r="I1010" s="1">
        <v>2</v>
      </c>
      <c r="J1010" s="1">
        <v>1</v>
      </c>
      <c r="K1010" s="1">
        <v>2</v>
      </c>
      <c r="L1010" s="4">
        <v>9</v>
      </c>
      <c r="M1010" s="3" t="str">
        <f t="shared" si="150"/>
        <v>Jan</v>
      </c>
      <c r="N1010" s="2">
        <v>42033.510011574072</v>
      </c>
      <c r="O1010" s="1">
        <f t="shared" si="160"/>
        <v>29</v>
      </c>
      <c r="P1010" s="1">
        <f t="shared" si="161"/>
        <v>5</v>
      </c>
      <c r="Q1010" s="1">
        <f t="shared" si="162"/>
        <v>12</v>
      </c>
      <c r="S1010"/>
      <c r="T1010"/>
      <c r="U1010"/>
    </row>
    <row r="1011" spans="1:21" s="1" customFormat="1" x14ac:dyDescent="0.25">
      <c r="A1011" s="1">
        <v>1060</v>
      </c>
      <c r="B1011" s="1" t="s">
        <v>98</v>
      </c>
      <c r="C1011" s="1" t="s">
        <v>940</v>
      </c>
      <c r="D1011" s="2">
        <v>42243.346631944441</v>
      </c>
      <c r="E1011" s="2">
        <v>42243.346678240741</v>
      </c>
      <c r="F1011" s="1">
        <v>1</v>
      </c>
      <c r="G1011" s="1">
        <v>2</v>
      </c>
      <c r="H1011" s="1">
        <v>8</v>
      </c>
      <c r="I1011" s="1">
        <v>2</v>
      </c>
      <c r="J1011" s="1">
        <v>1</v>
      </c>
      <c r="K1011" s="1">
        <v>4</v>
      </c>
      <c r="L1011" s="3">
        <v>44</v>
      </c>
      <c r="M1011" s="3" t="str">
        <f t="shared" si="150"/>
        <v>Aug</v>
      </c>
      <c r="N1011" s="2">
        <v>42243.346643518518</v>
      </c>
      <c r="O1011" s="1">
        <f t="shared" si="160"/>
        <v>27</v>
      </c>
      <c r="P1011" s="1">
        <f t="shared" si="161"/>
        <v>5</v>
      </c>
      <c r="Q1011" s="1">
        <f t="shared" si="162"/>
        <v>8</v>
      </c>
      <c r="S1011"/>
      <c r="T1011"/>
      <c r="U1011"/>
    </row>
    <row r="1012" spans="1:21" s="1" customFormat="1" x14ac:dyDescent="0.25">
      <c r="A1012" s="1">
        <v>1061</v>
      </c>
      <c r="B1012" s="1" t="s">
        <v>341</v>
      </c>
      <c r="C1012" s="1" t="s">
        <v>941</v>
      </c>
      <c r="D1012" s="2">
        <v>42227.649733796294</v>
      </c>
      <c r="E1012" s="2">
        <v>42227.483078703706</v>
      </c>
      <c r="F1012" s="1">
        <v>1</v>
      </c>
      <c r="G1012" s="1">
        <v>6</v>
      </c>
      <c r="H1012" s="1">
        <v>18</v>
      </c>
      <c r="I1012" s="1">
        <v>7</v>
      </c>
      <c r="J1012" s="1">
        <v>2</v>
      </c>
      <c r="K1012" s="1">
        <v>6</v>
      </c>
      <c r="L1012" s="3">
        <v>33</v>
      </c>
      <c r="M1012" s="3" t="str">
        <f t="shared" si="150"/>
        <v>Aug</v>
      </c>
      <c r="N1012" s="2">
        <v>42227.491782407407</v>
      </c>
      <c r="O1012" s="1">
        <f t="shared" si="160"/>
        <v>11</v>
      </c>
      <c r="P1012" s="1">
        <f t="shared" si="161"/>
        <v>3</v>
      </c>
      <c r="Q1012" s="1">
        <f t="shared" si="162"/>
        <v>11</v>
      </c>
      <c r="S1012"/>
      <c r="T1012"/>
      <c r="U1012"/>
    </row>
    <row r="1013" spans="1:21" s="1" customFormat="1" x14ac:dyDescent="0.25">
      <c r="A1013" s="1">
        <v>1062</v>
      </c>
      <c r="B1013" s="1" t="s">
        <v>147</v>
      </c>
      <c r="C1013" s="1" t="s">
        <v>942</v>
      </c>
      <c r="D1013" s="2">
        <v>42039.767222222225</v>
      </c>
      <c r="E1013" s="2">
        <v>42040.950694444444</v>
      </c>
      <c r="F1013" s="1">
        <v>3</v>
      </c>
      <c r="G1013" s="1">
        <v>8</v>
      </c>
      <c r="H1013" s="1">
        <v>12</v>
      </c>
      <c r="I1013" s="1">
        <v>2</v>
      </c>
      <c r="J1013" s="1">
        <v>1</v>
      </c>
      <c r="K1013" s="1">
        <v>4</v>
      </c>
      <c r="L1013" s="4">
        <v>30.6</v>
      </c>
      <c r="M1013" s="3" t="str">
        <f t="shared" si="150"/>
        <v>Feb</v>
      </c>
      <c r="N1013" s="2">
        <v>42039.767233796294</v>
      </c>
      <c r="O1013" s="1">
        <f t="shared" si="160"/>
        <v>4</v>
      </c>
      <c r="P1013" s="1">
        <f t="shared" si="161"/>
        <v>4</v>
      </c>
      <c r="Q1013" s="1">
        <f t="shared" si="162"/>
        <v>18</v>
      </c>
      <c r="S1013"/>
      <c r="T1013"/>
      <c r="U1013"/>
    </row>
    <row r="1014" spans="1:21" s="1" customFormat="1" x14ac:dyDescent="0.25">
      <c r="A1014" s="1">
        <v>1063</v>
      </c>
      <c r="B1014" s="1" t="s">
        <v>85</v>
      </c>
      <c r="C1014" s="1" t="s">
        <v>943</v>
      </c>
      <c r="D1014" s="2">
        <v>42083.863587962966</v>
      </c>
      <c r="E1014" s="2">
        <v>42083.863668981481</v>
      </c>
      <c r="F1014" s="1">
        <v>1</v>
      </c>
      <c r="G1014" s="1">
        <v>0</v>
      </c>
      <c r="H1014" s="1">
        <v>22</v>
      </c>
      <c r="I1014" s="1">
        <v>1</v>
      </c>
      <c r="J1014" s="1">
        <v>1</v>
      </c>
      <c r="K1014" s="1">
        <v>6</v>
      </c>
      <c r="L1014" s="4">
        <v>43.2</v>
      </c>
      <c r="M1014" s="3" t="str">
        <f t="shared" si="150"/>
        <v>Mar</v>
      </c>
      <c r="N1014" s="2">
        <v>42083.863599537035</v>
      </c>
      <c r="O1014" s="1">
        <f t="shared" si="160"/>
        <v>20</v>
      </c>
      <c r="P1014" s="1">
        <f t="shared" si="161"/>
        <v>6</v>
      </c>
      <c r="Q1014" s="1">
        <f t="shared" si="162"/>
        <v>20</v>
      </c>
      <c r="S1014"/>
      <c r="T1014"/>
      <c r="U1014"/>
    </row>
    <row r="1015" spans="1:21" s="1" customFormat="1" x14ac:dyDescent="0.25">
      <c r="A1015" s="1">
        <v>1064</v>
      </c>
      <c r="B1015" s="1" t="s">
        <v>103</v>
      </c>
      <c r="C1015" s="1" t="s">
        <v>944</v>
      </c>
      <c r="D1015" s="2">
        <v>42166.330868055556</v>
      </c>
      <c r="E1015" s="2">
        <v>42166.33090277778</v>
      </c>
      <c r="F1015" s="1">
        <v>1</v>
      </c>
      <c r="G1015" s="1">
        <v>2</v>
      </c>
      <c r="H1015" s="1">
        <v>4</v>
      </c>
      <c r="I1015" s="1">
        <v>2</v>
      </c>
      <c r="J1015" s="1">
        <v>1</v>
      </c>
      <c r="K1015" s="1">
        <v>4</v>
      </c>
      <c r="L1015" s="3">
        <v>28.8</v>
      </c>
      <c r="M1015" s="3" t="str">
        <f t="shared" si="150"/>
        <v>Jun</v>
      </c>
      <c r="N1015" s="2">
        <v>42166.330868055556</v>
      </c>
      <c r="O1015" s="1">
        <f t="shared" si="160"/>
        <v>11</v>
      </c>
      <c r="P1015" s="1">
        <f t="shared" si="161"/>
        <v>5</v>
      </c>
      <c r="Q1015" s="1">
        <f t="shared" si="162"/>
        <v>7</v>
      </c>
      <c r="S1015"/>
      <c r="T1015"/>
      <c r="U1015"/>
    </row>
    <row r="1016" spans="1:21" s="1" customFormat="1" x14ac:dyDescent="0.25">
      <c r="A1016" s="1">
        <v>1066</v>
      </c>
      <c r="B1016" s="1" t="s">
        <v>234</v>
      </c>
      <c r="C1016" s="1" t="s">
        <v>945</v>
      </c>
      <c r="D1016" s="2">
        <v>42085.960196759261</v>
      </c>
      <c r="E1016" s="2">
        <v>42085.960266203707</v>
      </c>
      <c r="F1016" s="1">
        <v>1</v>
      </c>
      <c r="G1016" s="1">
        <v>0</v>
      </c>
      <c r="H1016" s="1">
        <v>6</v>
      </c>
      <c r="I1016" s="1">
        <v>1</v>
      </c>
      <c r="J1016" s="1">
        <v>1</v>
      </c>
      <c r="K1016" s="1">
        <v>3</v>
      </c>
      <c r="L1016" s="4">
        <v>27</v>
      </c>
      <c r="M1016" s="3" t="str">
        <f t="shared" si="150"/>
        <v>Mar</v>
      </c>
      <c r="N1016" s="2">
        <v>42085.96020833333</v>
      </c>
      <c r="O1016" s="1">
        <f t="shared" ref="O1016:O1050" si="163">DAY(N1016)</f>
        <v>22</v>
      </c>
      <c r="P1016" s="1">
        <f t="shared" ref="P1016:P1050" si="164">WEEKDAY(N1016,1)</f>
        <v>1</v>
      </c>
      <c r="Q1016" s="1">
        <f t="shared" ref="Q1016:Q1050" si="165">HOUR(N1016)</f>
        <v>23</v>
      </c>
      <c r="S1016"/>
      <c r="T1016"/>
      <c r="U1016"/>
    </row>
    <row r="1017" spans="1:21" s="1" customFormat="1" x14ac:dyDescent="0.25">
      <c r="A1017" s="1">
        <v>1067</v>
      </c>
      <c r="B1017" s="1" t="s">
        <v>85</v>
      </c>
      <c r="C1017" s="1" t="s">
        <v>946</v>
      </c>
      <c r="D1017" s="2">
        <v>42016.326111111113</v>
      </c>
      <c r="E1017" s="2">
        <v>42016.326168981483</v>
      </c>
      <c r="F1017" s="1">
        <v>1</v>
      </c>
      <c r="G1017" s="1">
        <v>6</v>
      </c>
      <c r="H1017" s="1">
        <v>2</v>
      </c>
      <c r="I1017" s="1">
        <v>2</v>
      </c>
      <c r="J1017" s="1">
        <v>1</v>
      </c>
      <c r="K1017" s="1">
        <v>1</v>
      </c>
      <c r="L1017" s="4">
        <v>57.6</v>
      </c>
      <c r="M1017" s="3" t="str">
        <f t="shared" si="150"/>
        <v>Jan</v>
      </c>
      <c r="N1017" s="2">
        <v>42016.32613425926</v>
      </c>
      <c r="O1017" s="1">
        <f t="shared" si="163"/>
        <v>12</v>
      </c>
      <c r="P1017" s="1">
        <f t="shared" si="164"/>
        <v>2</v>
      </c>
      <c r="Q1017" s="1">
        <f t="shared" si="165"/>
        <v>7</v>
      </c>
      <c r="S1017"/>
      <c r="T1017"/>
      <c r="U1017"/>
    </row>
    <row r="1018" spans="1:21" s="1" customFormat="1" x14ac:dyDescent="0.25">
      <c r="A1018" s="1">
        <v>1068</v>
      </c>
      <c r="B1018" s="1" t="s">
        <v>131</v>
      </c>
      <c r="C1018" s="1" t="s">
        <v>947</v>
      </c>
      <c r="D1018" s="2">
        <v>42043.452349537038</v>
      </c>
      <c r="E1018" s="2">
        <v>42043.452407407407</v>
      </c>
      <c r="F1018" s="1">
        <v>1</v>
      </c>
      <c r="G1018" s="1">
        <v>0</v>
      </c>
      <c r="H1018" s="1">
        <v>2</v>
      </c>
      <c r="I1018" s="1">
        <v>1</v>
      </c>
      <c r="J1018" s="1">
        <v>1</v>
      </c>
      <c r="K1018" s="1">
        <v>4</v>
      </c>
      <c r="L1018" s="4">
        <v>30.6</v>
      </c>
      <c r="M1018" s="3" t="str">
        <f t="shared" si="150"/>
        <v>Feb</v>
      </c>
      <c r="N1018" s="2">
        <v>42043.452361111114</v>
      </c>
      <c r="O1018" s="1">
        <f t="shared" si="163"/>
        <v>8</v>
      </c>
      <c r="P1018" s="1">
        <f t="shared" si="164"/>
        <v>1</v>
      </c>
      <c r="Q1018" s="1">
        <f t="shared" si="165"/>
        <v>10</v>
      </c>
      <c r="S1018"/>
      <c r="T1018"/>
      <c r="U1018"/>
    </row>
    <row r="1019" spans="1:21" s="1" customFormat="1" x14ac:dyDescent="0.25">
      <c r="A1019" s="1">
        <v>1069</v>
      </c>
      <c r="B1019" s="1" t="s">
        <v>96</v>
      </c>
      <c r="C1019" s="1" t="s">
        <v>948</v>
      </c>
      <c r="D1019" s="2">
        <v>42146.703379629631</v>
      </c>
      <c r="E1019" s="2">
        <v>42146.703425925924</v>
      </c>
      <c r="F1019" s="1">
        <v>1</v>
      </c>
      <c r="G1019" s="1">
        <v>2</v>
      </c>
      <c r="H1019" s="1">
        <v>4</v>
      </c>
      <c r="I1019" s="1">
        <v>4</v>
      </c>
      <c r="J1019" s="1">
        <v>1</v>
      </c>
      <c r="K1019" s="1">
        <v>2</v>
      </c>
      <c r="L1019" s="3">
        <v>57.6</v>
      </c>
      <c r="M1019" s="3" t="str">
        <f t="shared" si="150"/>
        <v>May</v>
      </c>
      <c r="N1019" s="2">
        <v>42146.7033912037</v>
      </c>
      <c r="O1019" s="1">
        <f t="shared" si="163"/>
        <v>22</v>
      </c>
      <c r="P1019" s="1">
        <f t="shared" si="164"/>
        <v>6</v>
      </c>
      <c r="Q1019" s="1">
        <f t="shared" si="165"/>
        <v>16</v>
      </c>
      <c r="S1019"/>
      <c r="T1019"/>
      <c r="U1019"/>
    </row>
    <row r="1020" spans="1:21" s="1" customFormat="1" x14ac:dyDescent="0.25">
      <c r="A1020" s="1">
        <v>1070</v>
      </c>
      <c r="B1020" s="1" t="s">
        <v>285</v>
      </c>
      <c r="C1020" s="1" t="s">
        <v>949</v>
      </c>
      <c r="D1020" s="2">
        <v>42209.770567129628</v>
      </c>
      <c r="E1020" s="2">
        <v>42209.603946759256</v>
      </c>
      <c r="F1020" s="1">
        <v>1</v>
      </c>
      <c r="G1020" s="1">
        <v>2</v>
      </c>
      <c r="H1020" s="1">
        <v>2</v>
      </c>
      <c r="I1020" s="1">
        <v>2</v>
      </c>
      <c r="J1020" s="1">
        <v>1</v>
      </c>
      <c r="K1020" s="1">
        <v>1</v>
      </c>
      <c r="L1020" s="3">
        <v>32.64</v>
      </c>
      <c r="M1020" s="3" t="str">
        <f t="shared" si="150"/>
        <v>Jul</v>
      </c>
      <c r="N1020" s="2">
        <v>42209.603900462964</v>
      </c>
      <c r="O1020" s="1">
        <f t="shared" si="163"/>
        <v>24</v>
      </c>
      <c r="P1020" s="1">
        <f t="shared" si="164"/>
        <v>6</v>
      </c>
      <c r="Q1020" s="1">
        <f t="shared" si="165"/>
        <v>14</v>
      </c>
      <c r="S1020"/>
      <c r="T1020"/>
      <c r="U1020"/>
    </row>
    <row r="1021" spans="1:21" s="1" customFormat="1" x14ac:dyDescent="0.25">
      <c r="A1021" s="1">
        <v>1071</v>
      </c>
      <c r="D1021" s="2">
        <v>42163.622754629629</v>
      </c>
      <c r="E1021" s="2">
        <v>42163.456111111111</v>
      </c>
      <c r="F1021" s="1">
        <v>1</v>
      </c>
      <c r="G1021" s="1">
        <v>2</v>
      </c>
      <c r="H1021" s="1">
        <v>2</v>
      </c>
      <c r="I1021" s="1">
        <v>2</v>
      </c>
      <c r="J1021" s="1">
        <v>1</v>
      </c>
      <c r="K1021" s="1">
        <v>2</v>
      </c>
      <c r="L1021" s="3">
        <v>18</v>
      </c>
      <c r="M1021" s="3" t="str">
        <f t="shared" si="150"/>
        <v>Jun</v>
      </c>
      <c r="N1021" s="2">
        <v>42163.45884259259</v>
      </c>
      <c r="O1021" s="1">
        <f t="shared" si="163"/>
        <v>8</v>
      </c>
      <c r="P1021" s="1">
        <f t="shared" si="164"/>
        <v>2</v>
      </c>
      <c r="Q1021" s="1">
        <f t="shared" si="165"/>
        <v>11</v>
      </c>
      <c r="S1021"/>
      <c r="T1021"/>
      <c r="U1021"/>
    </row>
    <row r="1022" spans="1:21" s="1" customFormat="1" x14ac:dyDescent="0.25">
      <c r="A1022" s="1">
        <v>1072</v>
      </c>
      <c r="B1022" s="1" t="s">
        <v>100</v>
      </c>
      <c r="C1022" s="1" t="s">
        <v>950</v>
      </c>
      <c r="D1022" s="2">
        <v>42101.724282407406</v>
      </c>
      <c r="E1022" s="2">
        <v>42101.724340277775</v>
      </c>
      <c r="F1022" s="1">
        <v>1</v>
      </c>
      <c r="G1022" s="1">
        <v>0</v>
      </c>
      <c r="H1022" s="1">
        <v>2</v>
      </c>
      <c r="I1022" s="1">
        <v>1</v>
      </c>
      <c r="J1022" s="1">
        <v>1</v>
      </c>
      <c r="K1022" s="1">
        <v>2</v>
      </c>
      <c r="L1022" s="4">
        <v>9</v>
      </c>
      <c r="M1022" s="3" t="str">
        <f t="shared" si="150"/>
        <v>Apr</v>
      </c>
      <c r="N1022" s="2">
        <v>42101.724293981482</v>
      </c>
      <c r="O1022" s="1">
        <f t="shared" si="163"/>
        <v>7</v>
      </c>
      <c r="P1022" s="1">
        <f t="shared" si="164"/>
        <v>3</v>
      </c>
      <c r="Q1022" s="1">
        <f t="shared" si="165"/>
        <v>17</v>
      </c>
      <c r="S1022"/>
      <c r="T1022"/>
      <c r="U1022"/>
    </row>
    <row r="1023" spans="1:21" s="1" customFormat="1" x14ac:dyDescent="0.25">
      <c r="A1023" s="1">
        <v>1073</v>
      </c>
      <c r="D1023" s="2">
        <v>41988.994166666664</v>
      </c>
      <c r="E1023" s="2">
        <v>42101.687662037039</v>
      </c>
      <c r="F1023" s="1">
        <v>3</v>
      </c>
      <c r="G1023" s="1">
        <v>2</v>
      </c>
      <c r="H1023" s="1">
        <v>11</v>
      </c>
      <c r="I1023" s="1">
        <v>13</v>
      </c>
      <c r="J1023" s="1">
        <v>1</v>
      </c>
      <c r="K1023" s="1">
        <v>6</v>
      </c>
      <c r="L1023" s="4">
        <v>43.2</v>
      </c>
      <c r="M1023" s="3" t="str">
        <f t="shared" si="150"/>
        <v>Apr</v>
      </c>
      <c r="N1023" s="2">
        <v>42101.689884259256</v>
      </c>
      <c r="O1023" s="1">
        <f t="shared" si="163"/>
        <v>7</v>
      </c>
      <c r="P1023" s="1">
        <f t="shared" si="164"/>
        <v>3</v>
      </c>
      <c r="Q1023" s="1">
        <f t="shared" si="165"/>
        <v>16</v>
      </c>
      <c r="S1023"/>
      <c r="T1023"/>
      <c r="U1023"/>
    </row>
    <row r="1024" spans="1:21" s="1" customFormat="1" x14ac:dyDescent="0.25">
      <c r="A1024" s="1">
        <v>1074</v>
      </c>
      <c r="B1024" s="1" t="s">
        <v>87</v>
      </c>
      <c r="C1024" s="1" t="s">
        <v>168</v>
      </c>
      <c r="D1024" s="2">
        <v>42007.323923611111</v>
      </c>
      <c r="E1024" s="2">
        <v>42007.323981481481</v>
      </c>
      <c r="F1024" s="1">
        <v>1</v>
      </c>
      <c r="G1024" s="1">
        <v>0</v>
      </c>
      <c r="H1024" s="1">
        <v>4</v>
      </c>
      <c r="I1024" s="1">
        <v>2</v>
      </c>
      <c r="J1024" s="1">
        <v>1</v>
      </c>
      <c r="K1024" s="1">
        <v>2</v>
      </c>
      <c r="L1024" s="4">
        <v>8</v>
      </c>
      <c r="M1024" s="3" t="str">
        <f t="shared" si="150"/>
        <v>Jan</v>
      </c>
      <c r="N1024" s="2">
        <v>42007.323935185188</v>
      </c>
      <c r="O1024" s="1">
        <f t="shared" si="163"/>
        <v>3</v>
      </c>
      <c r="P1024" s="1">
        <f t="shared" si="164"/>
        <v>7</v>
      </c>
      <c r="Q1024" s="1">
        <f t="shared" si="165"/>
        <v>7</v>
      </c>
      <c r="S1024"/>
      <c r="T1024"/>
      <c r="U1024"/>
    </row>
    <row r="1025" spans="1:21" s="1" customFormat="1" x14ac:dyDescent="0.25">
      <c r="A1025" s="1">
        <v>1075</v>
      </c>
      <c r="D1025" s="2">
        <v>42016.643761574072</v>
      </c>
      <c r="E1025" s="2">
        <v>42016.727222222224</v>
      </c>
      <c r="F1025" s="1">
        <v>2</v>
      </c>
      <c r="G1025" s="1">
        <v>0</v>
      </c>
      <c r="H1025" s="1">
        <v>15</v>
      </c>
      <c r="I1025" s="1">
        <v>8</v>
      </c>
      <c r="J1025" s="1">
        <v>1</v>
      </c>
      <c r="K1025" s="1">
        <v>5</v>
      </c>
      <c r="L1025" s="4">
        <v>36</v>
      </c>
      <c r="M1025" s="3" t="str">
        <f t="shared" si="150"/>
        <v>Jan</v>
      </c>
      <c r="N1025" s="2">
        <v>42016.735625000001</v>
      </c>
      <c r="O1025" s="1">
        <f t="shared" si="163"/>
        <v>12</v>
      </c>
      <c r="P1025" s="1">
        <f t="shared" si="164"/>
        <v>2</v>
      </c>
      <c r="Q1025" s="1">
        <f t="shared" si="165"/>
        <v>17</v>
      </c>
      <c r="S1025"/>
      <c r="T1025"/>
      <c r="U1025"/>
    </row>
    <row r="1026" spans="1:21" s="1" customFormat="1" x14ac:dyDescent="0.25">
      <c r="A1026" s="1">
        <v>1076</v>
      </c>
      <c r="B1026" s="1" t="s">
        <v>94</v>
      </c>
      <c r="C1026" s="1" t="s">
        <v>774</v>
      </c>
      <c r="D1026" s="2">
        <v>42181.678391203706</v>
      </c>
      <c r="E1026" s="2">
        <v>42181.678449074076</v>
      </c>
      <c r="F1026" s="1">
        <v>1</v>
      </c>
      <c r="G1026" s="1">
        <v>14</v>
      </c>
      <c r="H1026" s="1">
        <v>12</v>
      </c>
      <c r="I1026" s="1">
        <v>2</v>
      </c>
      <c r="J1026" s="1">
        <v>1</v>
      </c>
      <c r="K1026" s="1">
        <v>10</v>
      </c>
      <c r="L1026" s="3">
        <v>76.8</v>
      </c>
      <c r="M1026" s="3" t="str">
        <f t="shared" si="150"/>
        <v>Jun</v>
      </c>
      <c r="N1026" s="2">
        <v>42181.678402777776</v>
      </c>
      <c r="O1026" s="1">
        <f t="shared" si="163"/>
        <v>26</v>
      </c>
      <c r="P1026" s="1">
        <f t="shared" si="164"/>
        <v>6</v>
      </c>
      <c r="Q1026" s="1">
        <f t="shared" si="165"/>
        <v>16</v>
      </c>
      <c r="S1026"/>
      <c r="T1026"/>
      <c r="U1026"/>
    </row>
    <row r="1027" spans="1:21" s="1" customFormat="1" x14ac:dyDescent="0.25">
      <c r="A1027" s="1">
        <v>1077</v>
      </c>
      <c r="B1027" s="1" t="s">
        <v>119</v>
      </c>
      <c r="C1027" s="1" t="s">
        <v>951</v>
      </c>
      <c r="D1027" s="2">
        <v>42044.846990740742</v>
      </c>
      <c r="E1027" s="2">
        <v>42044.847060185188</v>
      </c>
      <c r="F1027" s="1">
        <v>1</v>
      </c>
      <c r="G1027" s="1">
        <v>4</v>
      </c>
      <c r="H1027" s="1">
        <v>10</v>
      </c>
      <c r="I1027" s="1">
        <v>1</v>
      </c>
      <c r="J1027" s="1">
        <v>1</v>
      </c>
      <c r="K1027" s="1">
        <v>4</v>
      </c>
      <c r="L1027" s="4">
        <v>30.6</v>
      </c>
      <c r="M1027" s="3" t="str">
        <f t="shared" ref="M1027:M1050" si="166">TEXT(N1027,"mmm")</f>
        <v>Feb</v>
      </c>
      <c r="N1027" s="2">
        <v>42044.847002314818</v>
      </c>
      <c r="O1027" s="1">
        <f t="shared" si="163"/>
        <v>9</v>
      </c>
      <c r="P1027" s="1">
        <f t="shared" si="164"/>
        <v>2</v>
      </c>
      <c r="Q1027" s="1">
        <f t="shared" si="165"/>
        <v>20</v>
      </c>
      <c r="S1027"/>
      <c r="T1027"/>
      <c r="U1027"/>
    </row>
    <row r="1028" spans="1:21" s="1" customFormat="1" x14ac:dyDescent="0.25">
      <c r="A1028" s="1">
        <v>1078</v>
      </c>
      <c r="B1028" s="1" t="s">
        <v>476</v>
      </c>
      <c r="C1028" s="1" t="s">
        <v>952</v>
      </c>
      <c r="D1028" s="2">
        <v>42207.329513888886</v>
      </c>
      <c r="E1028" s="2">
        <v>42207.329618055555</v>
      </c>
      <c r="F1028" s="1">
        <v>1</v>
      </c>
      <c r="G1028" s="1">
        <v>4</v>
      </c>
      <c r="H1028" s="1">
        <v>2</v>
      </c>
      <c r="I1028" s="1">
        <v>2</v>
      </c>
      <c r="J1028" s="1">
        <v>1</v>
      </c>
      <c r="K1028" s="1">
        <v>1</v>
      </c>
      <c r="L1028" s="3">
        <v>28.05</v>
      </c>
      <c r="M1028" s="3" t="str">
        <f t="shared" si="166"/>
        <v>Jul</v>
      </c>
      <c r="N1028" s="2">
        <v>42207.329525462963</v>
      </c>
      <c r="O1028" s="1">
        <f t="shared" si="163"/>
        <v>22</v>
      </c>
      <c r="P1028" s="1">
        <f t="shared" si="164"/>
        <v>4</v>
      </c>
      <c r="Q1028" s="1">
        <f t="shared" si="165"/>
        <v>7</v>
      </c>
      <c r="S1028"/>
      <c r="T1028"/>
      <c r="U1028"/>
    </row>
    <row r="1029" spans="1:21" s="1" customFormat="1" x14ac:dyDescent="0.25">
      <c r="A1029" s="1">
        <v>1079</v>
      </c>
      <c r="D1029" s="2">
        <v>42165.640717592592</v>
      </c>
      <c r="E1029" s="2">
        <v>42165.474074074074</v>
      </c>
      <c r="F1029" s="1">
        <v>1</v>
      </c>
      <c r="G1029" s="1">
        <v>0</v>
      </c>
      <c r="H1029" s="1">
        <v>2</v>
      </c>
      <c r="I1029" s="1">
        <v>1</v>
      </c>
      <c r="J1029" s="1">
        <v>1</v>
      </c>
      <c r="K1029" s="1">
        <v>2</v>
      </c>
      <c r="L1029" s="3">
        <v>18</v>
      </c>
      <c r="M1029" s="3" t="str">
        <f t="shared" si="166"/>
        <v>Jun</v>
      </c>
      <c r="N1029" s="2">
        <v>42165.477789351855</v>
      </c>
      <c r="O1029" s="1">
        <f t="shared" si="163"/>
        <v>10</v>
      </c>
      <c r="P1029" s="1">
        <f t="shared" si="164"/>
        <v>4</v>
      </c>
      <c r="Q1029" s="1">
        <f t="shared" si="165"/>
        <v>11</v>
      </c>
      <c r="S1029"/>
      <c r="T1029"/>
      <c r="U1029"/>
    </row>
    <row r="1030" spans="1:21" s="1" customFormat="1" x14ac:dyDescent="0.25">
      <c r="A1030" s="1">
        <v>1080</v>
      </c>
      <c r="B1030" s="1" t="s">
        <v>94</v>
      </c>
      <c r="C1030" s="1" t="s">
        <v>953</v>
      </c>
      <c r="D1030" s="2">
        <v>42199.892800925925</v>
      </c>
      <c r="E1030" s="2">
        <v>42200.500543981485</v>
      </c>
      <c r="F1030" s="1">
        <v>3</v>
      </c>
      <c r="G1030" s="1">
        <v>4</v>
      </c>
      <c r="H1030" s="1">
        <v>4</v>
      </c>
      <c r="I1030" s="1">
        <v>7</v>
      </c>
      <c r="J1030" s="1">
        <v>1</v>
      </c>
      <c r="K1030" s="1">
        <v>1</v>
      </c>
      <c r="L1030" s="3">
        <v>56.32</v>
      </c>
      <c r="M1030" s="3" t="str">
        <f t="shared" si="166"/>
        <v>Jul</v>
      </c>
      <c r="N1030" s="2">
        <v>42199.72792824074</v>
      </c>
      <c r="O1030" s="1">
        <f t="shared" si="163"/>
        <v>14</v>
      </c>
      <c r="P1030" s="1">
        <f t="shared" si="164"/>
        <v>3</v>
      </c>
      <c r="Q1030" s="1">
        <f t="shared" si="165"/>
        <v>17</v>
      </c>
      <c r="S1030"/>
      <c r="T1030"/>
      <c r="U1030"/>
    </row>
    <row r="1031" spans="1:21" s="1" customFormat="1" x14ac:dyDescent="0.25">
      <c r="A1031" s="1">
        <v>1081</v>
      </c>
      <c r="B1031" s="1" t="s">
        <v>119</v>
      </c>
      <c r="C1031" s="1" t="s">
        <v>954</v>
      </c>
      <c r="D1031" s="2">
        <v>42163.583564814813</v>
      </c>
      <c r="E1031" s="2">
        <v>42163.583912037036</v>
      </c>
      <c r="F1031" s="1">
        <v>1</v>
      </c>
      <c r="G1031" s="1">
        <v>0</v>
      </c>
      <c r="H1031" s="1">
        <v>2</v>
      </c>
      <c r="I1031" s="1">
        <v>2</v>
      </c>
      <c r="J1031" s="1">
        <v>1</v>
      </c>
      <c r="K1031" s="1">
        <v>1</v>
      </c>
      <c r="L1031" s="3">
        <v>9</v>
      </c>
      <c r="M1031" s="3" t="str">
        <f t="shared" si="166"/>
        <v>Jun</v>
      </c>
      <c r="N1031" s="2">
        <v>42163.58384259259</v>
      </c>
      <c r="O1031" s="1">
        <f t="shared" si="163"/>
        <v>8</v>
      </c>
      <c r="P1031" s="1">
        <f t="shared" si="164"/>
        <v>2</v>
      </c>
      <c r="Q1031" s="1">
        <f t="shared" si="165"/>
        <v>14</v>
      </c>
      <c r="S1031"/>
      <c r="T1031"/>
      <c r="U1031"/>
    </row>
    <row r="1032" spans="1:21" s="1" customFormat="1" x14ac:dyDescent="0.25">
      <c r="A1032" s="1">
        <v>1082</v>
      </c>
      <c r="B1032" s="1" t="s">
        <v>96</v>
      </c>
      <c r="C1032" s="1" t="s">
        <v>955</v>
      </c>
      <c r="D1032" s="2">
        <v>42145.428460648145</v>
      </c>
      <c r="E1032" s="2">
        <v>42145.428495370368</v>
      </c>
      <c r="F1032" s="1">
        <v>1</v>
      </c>
      <c r="G1032" s="1">
        <v>2</v>
      </c>
      <c r="H1032" s="1">
        <v>8</v>
      </c>
      <c r="I1032" s="1">
        <v>3</v>
      </c>
      <c r="J1032" s="1">
        <v>1</v>
      </c>
      <c r="K1032" s="1">
        <v>4</v>
      </c>
      <c r="L1032" s="4">
        <v>28.8</v>
      </c>
      <c r="M1032" s="3" t="str">
        <f t="shared" si="166"/>
        <v>May</v>
      </c>
      <c r="N1032" s="2">
        <v>42145.428472222222</v>
      </c>
      <c r="O1032" s="1">
        <f t="shared" si="163"/>
        <v>21</v>
      </c>
      <c r="P1032" s="1">
        <f t="shared" si="164"/>
        <v>5</v>
      </c>
      <c r="Q1032" s="1">
        <f t="shared" si="165"/>
        <v>10</v>
      </c>
      <c r="S1032"/>
      <c r="T1032"/>
      <c r="U1032"/>
    </row>
    <row r="1033" spans="1:21" s="1" customFormat="1" x14ac:dyDescent="0.25">
      <c r="A1033" s="1">
        <v>1083</v>
      </c>
      <c r="B1033" s="1" t="s">
        <v>89</v>
      </c>
      <c r="C1033" s="1" t="s">
        <v>956</v>
      </c>
      <c r="D1033" s="2">
        <v>42213.633483796293</v>
      </c>
      <c r="E1033" s="2">
        <v>42213.633518518516</v>
      </c>
      <c r="F1033" s="1">
        <v>1</v>
      </c>
      <c r="G1033" s="1">
        <v>8</v>
      </c>
      <c r="H1033" s="1">
        <v>4</v>
      </c>
      <c r="I1033" s="1">
        <v>2</v>
      </c>
      <c r="J1033" s="1">
        <v>1</v>
      </c>
      <c r="K1033" s="1">
        <v>2</v>
      </c>
      <c r="L1033" s="3">
        <v>16</v>
      </c>
      <c r="M1033" s="3" t="str">
        <f t="shared" si="166"/>
        <v>Jul</v>
      </c>
      <c r="N1033" s="2">
        <v>42213.633483796293</v>
      </c>
      <c r="O1033" s="1">
        <f t="shared" si="163"/>
        <v>28</v>
      </c>
      <c r="P1033" s="1">
        <f t="shared" si="164"/>
        <v>3</v>
      </c>
      <c r="Q1033" s="1">
        <f t="shared" si="165"/>
        <v>15</v>
      </c>
      <c r="S1033"/>
      <c r="T1033"/>
      <c r="U1033"/>
    </row>
    <row r="1034" spans="1:21" s="1" customFormat="1" x14ac:dyDescent="0.25">
      <c r="A1034" s="1">
        <v>1084</v>
      </c>
      <c r="B1034" s="1" t="s">
        <v>96</v>
      </c>
      <c r="C1034" s="1" t="s">
        <v>957</v>
      </c>
      <c r="D1034" s="2">
        <v>42079.378148148149</v>
      </c>
      <c r="E1034" s="2">
        <v>42079.378194444442</v>
      </c>
      <c r="F1034" s="1">
        <v>1</v>
      </c>
      <c r="G1034" s="1">
        <v>4</v>
      </c>
      <c r="H1034" s="1">
        <v>2</v>
      </c>
      <c r="I1034" s="1">
        <v>1</v>
      </c>
      <c r="J1034" s="1">
        <v>1</v>
      </c>
      <c r="K1034" s="1">
        <v>2</v>
      </c>
      <c r="L1034" s="4">
        <v>18</v>
      </c>
      <c r="M1034" s="3" t="str">
        <f t="shared" si="166"/>
        <v>Mar</v>
      </c>
      <c r="N1034" s="2">
        <v>42079.378159722219</v>
      </c>
      <c r="O1034" s="1">
        <f t="shared" si="163"/>
        <v>16</v>
      </c>
      <c r="P1034" s="1">
        <f t="shared" si="164"/>
        <v>2</v>
      </c>
      <c r="Q1034" s="1">
        <f t="shared" si="165"/>
        <v>9</v>
      </c>
      <c r="S1034"/>
      <c r="T1034"/>
      <c r="U1034"/>
    </row>
    <row r="1035" spans="1:21" s="1" customFormat="1" x14ac:dyDescent="0.25">
      <c r="A1035" s="1">
        <v>1085</v>
      </c>
      <c r="B1035" s="1" t="s">
        <v>147</v>
      </c>
      <c r="C1035" s="1" t="s">
        <v>958</v>
      </c>
      <c r="D1035" s="2">
        <v>42014.727129629631</v>
      </c>
      <c r="E1035" s="2">
        <v>42014.727164351854</v>
      </c>
      <c r="F1035" s="1">
        <v>1</v>
      </c>
      <c r="G1035" s="1">
        <v>2</v>
      </c>
      <c r="H1035" s="1">
        <v>8</v>
      </c>
      <c r="I1035" s="1">
        <v>2</v>
      </c>
      <c r="J1035" s="1">
        <v>1</v>
      </c>
      <c r="K1035" s="1">
        <v>4</v>
      </c>
      <c r="L1035" s="4">
        <v>36</v>
      </c>
      <c r="M1035" s="3" t="str">
        <f t="shared" si="166"/>
        <v>Jan</v>
      </c>
      <c r="N1035" s="2">
        <v>42014.730219907404</v>
      </c>
      <c r="O1035" s="1">
        <f t="shared" si="163"/>
        <v>10</v>
      </c>
      <c r="P1035" s="1">
        <f t="shared" si="164"/>
        <v>7</v>
      </c>
      <c r="Q1035" s="1">
        <f t="shared" si="165"/>
        <v>17</v>
      </c>
      <c r="S1035"/>
      <c r="T1035"/>
      <c r="U1035"/>
    </row>
    <row r="1036" spans="1:21" s="1" customFormat="1" x14ac:dyDescent="0.25">
      <c r="A1036" s="1">
        <v>1086</v>
      </c>
      <c r="B1036" s="1" t="s">
        <v>123</v>
      </c>
      <c r="C1036" s="1" t="s">
        <v>959</v>
      </c>
      <c r="D1036" s="2">
        <v>42201.898321759261</v>
      </c>
      <c r="E1036" s="2">
        <v>42201.731724537036</v>
      </c>
      <c r="F1036" s="1">
        <v>1</v>
      </c>
      <c r="G1036" s="1">
        <v>10</v>
      </c>
      <c r="H1036" s="1">
        <v>10</v>
      </c>
      <c r="I1036" s="1">
        <v>2</v>
      </c>
      <c r="J1036" s="1">
        <v>1</v>
      </c>
      <c r="K1036" s="1">
        <v>5</v>
      </c>
      <c r="L1036" s="3">
        <v>186.88</v>
      </c>
      <c r="M1036" s="3" t="str">
        <f t="shared" si="166"/>
        <v>Jul</v>
      </c>
      <c r="N1036" s="2">
        <v>42201.731678240743</v>
      </c>
      <c r="O1036" s="1">
        <f t="shared" si="163"/>
        <v>16</v>
      </c>
      <c r="P1036" s="1">
        <f t="shared" si="164"/>
        <v>5</v>
      </c>
      <c r="Q1036" s="1">
        <f t="shared" si="165"/>
        <v>17</v>
      </c>
      <c r="S1036"/>
      <c r="T1036"/>
      <c r="U1036"/>
    </row>
    <row r="1037" spans="1:21" s="1" customFormat="1" x14ac:dyDescent="0.25">
      <c r="A1037" s="1">
        <v>1087</v>
      </c>
      <c r="B1037" s="1" t="s">
        <v>195</v>
      </c>
      <c r="C1037" s="1" t="s">
        <v>960</v>
      </c>
      <c r="D1037" s="2">
        <v>42249.48369212963</v>
      </c>
      <c r="E1037" s="2">
        <v>42249.317094907405</v>
      </c>
      <c r="F1037" s="1">
        <v>1</v>
      </c>
      <c r="G1037" s="1">
        <v>2</v>
      </c>
      <c r="H1037" s="1">
        <v>2</v>
      </c>
      <c r="I1037" s="1">
        <v>2</v>
      </c>
      <c r="J1037" s="1">
        <v>1</v>
      </c>
      <c r="K1037" s="1">
        <v>1</v>
      </c>
      <c r="L1037" s="3">
        <v>29.92</v>
      </c>
      <c r="M1037" s="3" t="str">
        <f t="shared" si="166"/>
        <v>Sep</v>
      </c>
      <c r="N1037" s="2">
        <v>42249.317037037035</v>
      </c>
      <c r="O1037" s="1">
        <f t="shared" si="163"/>
        <v>2</v>
      </c>
      <c r="P1037" s="1">
        <f t="shared" si="164"/>
        <v>4</v>
      </c>
      <c r="Q1037" s="1">
        <f t="shared" si="165"/>
        <v>7</v>
      </c>
      <c r="S1037"/>
      <c r="T1037"/>
      <c r="U1037"/>
    </row>
    <row r="1038" spans="1:21" s="1" customFormat="1" x14ac:dyDescent="0.25">
      <c r="A1038" s="1">
        <v>1088</v>
      </c>
      <c r="B1038" s="1" t="s">
        <v>80</v>
      </c>
      <c r="C1038" s="1" t="s">
        <v>961</v>
      </c>
      <c r="D1038" s="2">
        <v>42198.912534722222</v>
      </c>
      <c r="E1038" s="2">
        <v>42198.912581018521</v>
      </c>
      <c r="F1038" s="1">
        <v>1</v>
      </c>
      <c r="G1038" s="1">
        <v>2</v>
      </c>
      <c r="H1038" s="1">
        <v>8</v>
      </c>
      <c r="I1038" s="1">
        <v>4</v>
      </c>
      <c r="J1038" s="1">
        <v>1</v>
      </c>
      <c r="K1038" s="1">
        <v>4</v>
      </c>
      <c r="L1038" s="3">
        <v>36</v>
      </c>
      <c r="M1038" s="3" t="str">
        <f t="shared" si="166"/>
        <v>Jul</v>
      </c>
      <c r="N1038" s="2">
        <v>42198.912534722222</v>
      </c>
      <c r="O1038" s="1">
        <f t="shared" si="163"/>
        <v>13</v>
      </c>
      <c r="P1038" s="1">
        <f t="shared" si="164"/>
        <v>2</v>
      </c>
      <c r="Q1038" s="1">
        <f t="shared" si="165"/>
        <v>21</v>
      </c>
      <c r="S1038"/>
      <c r="T1038"/>
      <c r="U1038"/>
    </row>
    <row r="1039" spans="1:21" s="1" customFormat="1" x14ac:dyDescent="0.25">
      <c r="A1039" s="1">
        <v>1089</v>
      </c>
      <c r="B1039" s="1" t="s">
        <v>91</v>
      </c>
      <c r="C1039" s="1" t="s">
        <v>962</v>
      </c>
      <c r="D1039" s="2">
        <v>42248.861145833333</v>
      </c>
      <c r="E1039" s="2">
        <v>42248.861180555556</v>
      </c>
      <c r="F1039" s="1">
        <v>1</v>
      </c>
      <c r="G1039" s="1">
        <v>2</v>
      </c>
      <c r="H1039" s="1">
        <v>4</v>
      </c>
      <c r="I1039" s="1">
        <v>2</v>
      </c>
      <c r="J1039" s="1">
        <v>1</v>
      </c>
      <c r="K1039" s="1">
        <v>2</v>
      </c>
      <c r="L1039" s="3">
        <v>59.84</v>
      </c>
      <c r="M1039" s="3" t="str">
        <f t="shared" si="166"/>
        <v>Sep</v>
      </c>
      <c r="N1039" s="2">
        <v>42248.861145833333</v>
      </c>
      <c r="O1039" s="1">
        <f t="shared" si="163"/>
        <v>1</v>
      </c>
      <c r="P1039" s="1">
        <f t="shared" si="164"/>
        <v>3</v>
      </c>
      <c r="Q1039" s="1">
        <f t="shared" si="165"/>
        <v>20</v>
      </c>
      <c r="S1039"/>
      <c r="T1039"/>
      <c r="U1039"/>
    </row>
    <row r="1040" spans="1:21" s="1" customFormat="1" x14ac:dyDescent="0.25">
      <c r="A1040" s="1">
        <v>1090</v>
      </c>
      <c r="B1040" s="1" t="s">
        <v>212</v>
      </c>
      <c r="C1040" s="1" t="s">
        <v>963</v>
      </c>
      <c r="D1040" s="2">
        <v>42163.549699074072</v>
      </c>
      <c r="E1040" s="2">
        <v>42163.549745370372</v>
      </c>
      <c r="F1040" s="1">
        <v>1</v>
      </c>
      <c r="G1040" s="1">
        <v>0</v>
      </c>
      <c r="H1040" s="1">
        <v>2</v>
      </c>
      <c r="I1040" s="1">
        <v>2</v>
      </c>
      <c r="J1040" s="1">
        <v>1</v>
      </c>
      <c r="K1040" s="1">
        <v>1</v>
      </c>
      <c r="L1040" s="3">
        <v>36</v>
      </c>
      <c r="M1040" s="3" t="str">
        <f t="shared" si="166"/>
        <v>Jun</v>
      </c>
      <c r="N1040" s="2">
        <v>42163.549710648149</v>
      </c>
      <c r="O1040" s="1">
        <f t="shared" si="163"/>
        <v>8</v>
      </c>
      <c r="P1040" s="1">
        <f t="shared" si="164"/>
        <v>2</v>
      </c>
      <c r="Q1040" s="1">
        <f t="shared" si="165"/>
        <v>13</v>
      </c>
      <c r="S1040"/>
      <c r="T1040"/>
      <c r="U1040"/>
    </row>
    <row r="1041" spans="1:21" s="1" customFormat="1" x14ac:dyDescent="0.25">
      <c r="A1041" s="1">
        <v>1091</v>
      </c>
      <c r="B1041" s="1" t="s">
        <v>131</v>
      </c>
      <c r="C1041" s="1" t="s">
        <v>964</v>
      </c>
      <c r="D1041" s="2">
        <v>42077.368703703702</v>
      </c>
      <c r="E1041" s="2">
        <v>42077.368750000001</v>
      </c>
      <c r="F1041" s="1">
        <v>1</v>
      </c>
      <c r="G1041" s="1">
        <v>0</v>
      </c>
      <c r="H1041" s="1">
        <v>2</v>
      </c>
      <c r="I1041" s="1">
        <v>1</v>
      </c>
      <c r="J1041" s="1">
        <v>1</v>
      </c>
      <c r="K1041" s="1">
        <v>4</v>
      </c>
      <c r="L1041" s="4">
        <v>28.8</v>
      </c>
      <c r="M1041" s="3" t="str">
        <f t="shared" si="166"/>
        <v>Mar</v>
      </c>
      <c r="N1041" s="2">
        <v>42077.368715277778</v>
      </c>
      <c r="O1041" s="1">
        <f t="shared" si="163"/>
        <v>14</v>
      </c>
      <c r="P1041" s="1">
        <f t="shared" si="164"/>
        <v>7</v>
      </c>
      <c r="Q1041" s="1">
        <f t="shared" si="165"/>
        <v>8</v>
      </c>
      <c r="S1041"/>
      <c r="T1041"/>
      <c r="U1041"/>
    </row>
    <row r="1042" spans="1:21" s="1" customFormat="1" x14ac:dyDescent="0.25">
      <c r="A1042" s="1">
        <v>1092</v>
      </c>
      <c r="B1042" s="1" t="s">
        <v>96</v>
      </c>
      <c r="C1042" s="1" t="s">
        <v>965</v>
      </c>
      <c r="D1042" s="2">
        <v>42084.677442129629</v>
      </c>
      <c r="E1042" s="2">
        <v>42084.677499999998</v>
      </c>
      <c r="F1042" s="1">
        <v>1</v>
      </c>
      <c r="G1042" s="1">
        <v>4</v>
      </c>
      <c r="H1042" s="1">
        <v>2</v>
      </c>
      <c r="I1042" s="1">
        <v>1</v>
      </c>
      <c r="J1042" s="1">
        <v>1</v>
      </c>
      <c r="K1042" s="1">
        <v>1</v>
      </c>
      <c r="L1042" s="4">
        <v>57.6</v>
      </c>
      <c r="M1042" s="3" t="str">
        <f t="shared" si="166"/>
        <v>Mar</v>
      </c>
      <c r="N1042" s="2">
        <v>42084.677453703705</v>
      </c>
      <c r="O1042" s="1">
        <f t="shared" si="163"/>
        <v>21</v>
      </c>
      <c r="P1042" s="1">
        <f t="shared" si="164"/>
        <v>7</v>
      </c>
      <c r="Q1042" s="1">
        <f t="shared" si="165"/>
        <v>16</v>
      </c>
      <c r="S1042"/>
      <c r="T1042"/>
      <c r="U1042"/>
    </row>
    <row r="1043" spans="1:21" s="1" customFormat="1" x14ac:dyDescent="0.25">
      <c r="A1043" s="1">
        <v>1093</v>
      </c>
      <c r="B1043" s="1" t="s">
        <v>94</v>
      </c>
      <c r="C1043" s="1" t="s">
        <v>966</v>
      </c>
      <c r="D1043" s="2">
        <v>42231.75509259259</v>
      </c>
      <c r="E1043" s="2">
        <v>42234.515034722222</v>
      </c>
      <c r="F1043" s="1">
        <v>3</v>
      </c>
      <c r="G1043" s="1">
        <v>2</v>
      </c>
      <c r="H1043" s="1">
        <v>3</v>
      </c>
      <c r="I1043" s="1">
        <v>8</v>
      </c>
      <c r="J1043" s="1">
        <v>1</v>
      </c>
      <c r="K1043" s="1">
        <v>1</v>
      </c>
      <c r="L1043" s="3">
        <v>37.4</v>
      </c>
      <c r="M1043" s="3" t="str">
        <f t="shared" si="166"/>
        <v>Aug</v>
      </c>
      <c r="N1043" s="2">
        <v>42234.518437500003</v>
      </c>
      <c r="O1043" s="1">
        <f t="shared" si="163"/>
        <v>18</v>
      </c>
      <c r="P1043" s="1">
        <f t="shared" si="164"/>
        <v>3</v>
      </c>
      <c r="Q1043" s="1">
        <f t="shared" si="165"/>
        <v>12</v>
      </c>
      <c r="S1043"/>
      <c r="T1043"/>
      <c r="U1043"/>
    </row>
    <row r="1044" spans="1:21" s="1" customFormat="1" x14ac:dyDescent="0.25">
      <c r="A1044" s="1">
        <v>1094</v>
      </c>
      <c r="B1044" s="1" t="s">
        <v>91</v>
      </c>
      <c r="C1044" s="1" t="s">
        <v>967</v>
      </c>
      <c r="D1044" s="2">
        <v>42165.582430555558</v>
      </c>
      <c r="E1044" s="2">
        <v>42165.582499999997</v>
      </c>
      <c r="F1044" s="1">
        <v>1</v>
      </c>
      <c r="G1044" s="1">
        <v>12</v>
      </c>
      <c r="H1044" s="1">
        <v>20</v>
      </c>
      <c r="I1044" s="1">
        <v>7</v>
      </c>
      <c r="J1044" s="1">
        <v>1</v>
      </c>
      <c r="K1044" s="1">
        <v>4</v>
      </c>
      <c r="L1044" s="3">
        <v>28.8</v>
      </c>
      <c r="M1044" s="3" t="str">
        <f t="shared" si="166"/>
        <v>Jun</v>
      </c>
      <c r="N1044" s="2">
        <v>42165.582453703704</v>
      </c>
      <c r="O1044" s="1">
        <f t="shared" si="163"/>
        <v>10</v>
      </c>
      <c r="P1044" s="1">
        <f t="shared" si="164"/>
        <v>4</v>
      </c>
      <c r="Q1044" s="1">
        <f t="shared" si="165"/>
        <v>13</v>
      </c>
      <c r="S1044"/>
      <c r="T1044"/>
      <c r="U1044"/>
    </row>
    <row r="1045" spans="1:21" s="1" customFormat="1" x14ac:dyDescent="0.25">
      <c r="A1045" s="1">
        <v>1095</v>
      </c>
      <c r="B1045" s="1" t="s">
        <v>83</v>
      </c>
      <c r="C1045" s="1" t="s">
        <v>939</v>
      </c>
      <c r="D1045" s="2">
        <v>42078.746701388889</v>
      </c>
      <c r="E1045" s="2">
        <v>42078.746759259258</v>
      </c>
      <c r="F1045" s="1">
        <v>1</v>
      </c>
      <c r="G1045" s="1">
        <v>2</v>
      </c>
      <c r="H1045" s="1">
        <v>6</v>
      </c>
      <c r="I1045" s="1">
        <v>1</v>
      </c>
      <c r="J1045" s="1">
        <v>1</v>
      </c>
      <c r="K1045" s="1">
        <v>2</v>
      </c>
      <c r="L1045" s="4">
        <v>14.4</v>
      </c>
      <c r="M1045" s="3" t="str">
        <f t="shared" si="166"/>
        <v>Mar</v>
      </c>
      <c r="N1045" s="2">
        <v>42078.746712962966</v>
      </c>
      <c r="O1045" s="1">
        <f t="shared" si="163"/>
        <v>15</v>
      </c>
      <c r="P1045" s="1">
        <f t="shared" si="164"/>
        <v>1</v>
      </c>
      <c r="Q1045" s="1">
        <f t="shared" si="165"/>
        <v>17</v>
      </c>
      <c r="S1045"/>
      <c r="T1045"/>
      <c r="U1045"/>
    </row>
    <row r="1046" spans="1:21" s="1" customFormat="1" x14ac:dyDescent="0.25">
      <c r="A1046" s="1">
        <v>1096</v>
      </c>
      <c r="B1046" s="1" t="s">
        <v>100</v>
      </c>
      <c r="C1046" s="1" t="s">
        <v>968</v>
      </c>
      <c r="D1046" s="2">
        <v>42018.749791666669</v>
      </c>
      <c r="E1046" s="2">
        <v>42018.749837962961</v>
      </c>
      <c r="F1046" s="1">
        <v>1</v>
      </c>
      <c r="G1046" s="1">
        <v>0</v>
      </c>
      <c r="H1046" s="1">
        <v>4</v>
      </c>
      <c r="I1046" s="1">
        <v>3</v>
      </c>
      <c r="J1046" s="1">
        <v>1</v>
      </c>
      <c r="K1046" s="1">
        <v>1</v>
      </c>
      <c r="L1046" s="4">
        <v>63</v>
      </c>
      <c r="M1046" s="3" t="str">
        <f t="shared" si="166"/>
        <v>Jan</v>
      </c>
      <c r="N1046" s="2">
        <v>42018.749814814815</v>
      </c>
      <c r="O1046" s="1">
        <f t="shared" si="163"/>
        <v>14</v>
      </c>
      <c r="P1046" s="1">
        <f t="shared" si="164"/>
        <v>4</v>
      </c>
      <c r="Q1046" s="1">
        <f t="shared" si="165"/>
        <v>17</v>
      </c>
      <c r="S1046"/>
      <c r="T1046"/>
      <c r="U1046"/>
    </row>
    <row r="1047" spans="1:21" s="1" customFormat="1" x14ac:dyDescent="0.25">
      <c r="A1047" s="1">
        <v>1097</v>
      </c>
      <c r="B1047" s="1" t="s">
        <v>212</v>
      </c>
      <c r="C1047" s="1" t="s">
        <v>969</v>
      </c>
      <c r="D1047" s="2">
        <v>42252.191354166665</v>
      </c>
      <c r="E1047" s="2">
        <v>42252.024745370371</v>
      </c>
      <c r="F1047" s="1">
        <v>1</v>
      </c>
      <c r="G1047" s="1">
        <v>2</v>
      </c>
      <c r="H1047" s="1">
        <v>4</v>
      </c>
      <c r="I1047" s="1">
        <v>5</v>
      </c>
      <c r="J1047" s="1">
        <v>1</v>
      </c>
      <c r="K1047" s="1">
        <v>2</v>
      </c>
      <c r="L1047" s="3">
        <v>59.84</v>
      </c>
      <c r="M1047" s="3" t="str">
        <f t="shared" si="166"/>
        <v>Sep</v>
      </c>
      <c r="N1047" s="2">
        <v>42252.024699074071</v>
      </c>
      <c r="O1047" s="1">
        <f t="shared" si="163"/>
        <v>5</v>
      </c>
      <c r="P1047" s="1">
        <f t="shared" si="164"/>
        <v>7</v>
      </c>
      <c r="Q1047" s="1">
        <f t="shared" si="165"/>
        <v>0</v>
      </c>
      <c r="S1047"/>
      <c r="T1047"/>
      <c r="U1047"/>
    </row>
    <row r="1048" spans="1:21" s="1" customFormat="1" x14ac:dyDescent="0.25">
      <c r="A1048" s="1">
        <v>1098</v>
      </c>
      <c r="B1048" s="1" t="s">
        <v>100</v>
      </c>
      <c r="C1048" s="1" t="s">
        <v>970</v>
      </c>
      <c r="D1048" s="2">
        <v>42231.863935185182</v>
      </c>
      <c r="E1048" s="2">
        <v>42231.863969907405</v>
      </c>
      <c r="F1048" s="1">
        <v>1</v>
      </c>
      <c r="G1048" s="1">
        <v>2</v>
      </c>
      <c r="H1048" s="1">
        <v>2</v>
      </c>
      <c r="I1048" s="1">
        <v>2</v>
      </c>
      <c r="J1048" s="1">
        <v>1</v>
      </c>
      <c r="K1048" s="1">
        <v>1</v>
      </c>
      <c r="L1048" s="3">
        <v>28.05</v>
      </c>
      <c r="M1048" s="3" t="str">
        <f t="shared" si="166"/>
        <v>Aug</v>
      </c>
      <c r="N1048" s="2">
        <v>42231.863935185182</v>
      </c>
      <c r="O1048" s="1">
        <f t="shared" si="163"/>
        <v>15</v>
      </c>
      <c r="P1048" s="1">
        <f t="shared" si="164"/>
        <v>7</v>
      </c>
      <c r="Q1048" s="1">
        <f t="shared" si="165"/>
        <v>20</v>
      </c>
      <c r="S1048"/>
      <c r="T1048"/>
      <c r="U1048"/>
    </row>
    <row r="1049" spans="1:21" s="1" customFormat="1" x14ac:dyDescent="0.25">
      <c r="A1049" s="1">
        <v>1099</v>
      </c>
      <c r="D1049" s="2">
        <v>42205.96539351852</v>
      </c>
      <c r="E1049" s="2">
        <v>42205.798750000002</v>
      </c>
      <c r="F1049" s="1">
        <v>1</v>
      </c>
      <c r="G1049" s="1">
        <v>0</v>
      </c>
      <c r="H1049" s="1">
        <v>2</v>
      </c>
      <c r="I1049" s="1">
        <v>2</v>
      </c>
      <c r="J1049" s="1">
        <v>1</v>
      </c>
      <c r="K1049" s="1">
        <v>1</v>
      </c>
      <c r="L1049" s="3">
        <v>29.92</v>
      </c>
      <c r="M1049" s="3" t="str">
        <f t="shared" si="166"/>
        <v>Jul</v>
      </c>
      <c r="N1049" s="2">
        <v>42205.801018518519</v>
      </c>
      <c r="O1049" s="1">
        <f t="shared" si="163"/>
        <v>20</v>
      </c>
      <c r="P1049" s="1">
        <f t="shared" si="164"/>
        <v>2</v>
      </c>
      <c r="Q1049" s="1">
        <f t="shared" si="165"/>
        <v>19</v>
      </c>
      <c r="S1049"/>
      <c r="T1049"/>
      <c r="U1049"/>
    </row>
    <row r="1050" spans="1:21" s="1" customFormat="1" x14ac:dyDescent="0.25">
      <c r="A1050" s="1">
        <v>1100</v>
      </c>
      <c r="B1050" s="1" t="s">
        <v>96</v>
      </c>
      <c r="C1050" s="1" t="s">
        <v>971</v>
      </c>
      <c r="D1050" s="2">
        <v>42153.210393518515</v>
      </c>
      <c r="E1050" s="2">
        <v>42153.210439814815</v>
      </c>
      <c r="F1050" s="1">
        <v>1</v>
      </c>
      <c r="G1050" s="1">
        <v>2</v>
      </c>
      <c r="H1050" s="1">
        <v>2</v>
      </c>
      <c r="I1050" s="1">
        <v>3</v>
      </c>
      <c r="J1050" s="1">
        <v>1</v>
      </c>
      <c r="K1050" s="1">
        <v>1</v>
      </c>
      <c r="L1050" s="3">
        <v>28.8</v>
      </c>
      <c r="M1050" s="3" t="str">
        <f t="shared" si="166"/>
        <v>May</v>
      </c>
      <c r="N1050" s="2">
        <v>42153.210405092592</v>
      </c>
      <c r="O1050" s="1">
        <f t="shared" si="163"/>
        <v>29</v>
      </c>
      <c r="P1050" s="1">
        <f t="shared" si="164"/>
        <v>6</v>
      </c>
      <c r="Q1050" s="1">
        <f t="shared" si="165"/>
        <v>5</v>
      </c>
      <c r="S1050"/>
      <c r="T1050"/>
      <c r="U1050"/>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69b4597-66f8-4285-95bb-2d40bec9c09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51A7902543BF4ABFEA08B0A2C8BAC5" ma:contentTypeVersion="12" ma:contentTypeDescription="Create a new document." ma:contentTypeScope="" ma:versionID="65c44bdf29d30b4dc64c599cc93698a3">
  <xsd:schema xmlns:xsd="http://www.w3.org/2001/XMLSchema" xmlns:xs="http://www.w3.org/2001/XMLSchema" xmlns:p="http://schemas.microsoft.com/office/2006/metadata/properties" xmlns:ns3="b69b4597-66f8-4285-95bb-2d40bec9c096" targetNamespace="http://schemas.microsoft.com/office/2006/metadata/properties" ma:root="true" ma:fieldsID="5eddf2c9c3cbd79bd541198889f958d3" ns3:_="">
    <xsd:import namespace="b69b4597-66f8-4285-95bb-2d40bec9c09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9b4597-66f8-4285-95bb-2d40bec9c0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4747B2-8479-4D5E-AF0C-48985B5169D9}">
  <ds:schemaRefs>
    <ds:schemaRef ds:uri="b69b4597-66f8-4285-95bb-2d40bec9c096"/>
    <ds:schemaRef ds:uri="http://schemas.openxmlformats.org/package/2006/metadata/core-properties"/>
    <ds:schemaRef ds:uri="http://schemas.microsoft.com/office/2006/metadata/properties"/>
    <ds:schemaRef ds:uri="http://purl.org/dc/dcmitype/"/>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A6575277-A087-4A6D-A44B-E1BE8DFE1B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9b4597-66f8-4285-95bb-2d40bec9c0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AA7727-CBC8-431C-BCDC-2CA6D834362A}">
  <ds:schemaRefs>
    <ds:schemaRef ds:uri="http://schemas.microsoft.com/sharepoint/v3/contenttype/forms"/>
  </ds:schemaRefs>
</ds:datastoreItem>
</file>

<file path=docMetadata/LabelInfo.xml><?xml version="1.0" encoding="utf-8"?>
<clbl:labelList xmlns:clbl="http://schemas.microsoft.com/office/2020/mipLabelMetadata">
  <clbl:label id="{27d49e9f-89e1-4aa0-99a3-d35b57b2ba03}" enabled="0" method="" siteId="{27d49e9f-89e1-4aa0-99a3-d35b57b2ba0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dictionary</vt:lpstr>
      <vt:lpstr>First Order Revenue</vt:lpstr>
      <vt:lpstr>Items Purchased</vt:lpstr>
      <vt:lpstr>First Order Purchase Day</vt:lpstr>
      <vt:lpstr>Count Of First Order Revenue </vt:lpstr>
      <vt:lpstr>Average Revenue by Month </vt:lpstr>
      <vt:lpstr>Average and Count</vt:lpstr>
      <vt:lpstr>Average Revenue By hour</vt:lpstr>
      <vt:lpstr>First Order Purchase Date</vt:lpstr>
      <vt:lpstr>Data</vt:lpstr>
    </vt:vector>
  </TitlesOfParts>
  <Manager/>
  <Company>Babson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Cade Eagan Miller</cp:lastModifiedBy>
  <cp:revision/>
  <dcterms:created xsi:type="dcterms:W3CDTF">2016-05-03T00:40:28Z</dcterms:created>
  <dcterms:modified xsi:type="dcterms:W3CDTF">2026-02-14T05:31:57Z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0x010100A751A7902543BF4ABFEA08B0A2C8BAC5</vt:lpwstr>
  </property>
</Properties>
</file>